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<sst xmlns="http://schemas.openxmlformats.org/spreadsheetml/2006/main" count="11020" uniqueCount="1455">
  <si>
    <t xml:space="preserve">10491 - Contas a Pagar - Merc. Oliveira</t>
  </si>
  <si>
    <t xml:space="preserve">Loja:  Multi-valor 3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</si>
  <si>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</si>
  <si>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</si>
  <si>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</si>
  <si>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</si>
  <si>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09:57:29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</si>
  <si>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</si>
  <si>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</si>
  <si>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</si>
  <si>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</si>
  <si>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</si>
  <si>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</si>
  <si>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</si>
  <si>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</si>
  <si>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</si>
  <si>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</si>
  <si>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</si>
  <si>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</si>
  <si>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</si>
  <si>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</si>
  <si>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</si>
  <si>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</si>
  <si>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</si>
  <si>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</si>
  <si>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</si>
  <si>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</si>
  <si>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</si>
  <si>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</si>
  <si>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</si>
  <si>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ADRIANA DISTRIBUIDORA DE PRODUTOS ALIMEN</t>
  </si>
  <si>
    <t xml:space="preserve">Compra a Prazo - Boletos</t>
  </si>
  <si>
    <t xml:space="preserve">FORNECEDORES DE MERCADORIA</t>
  </si>
  <si>
    <t xml:space="preserve">01</t>
  </si>
  <si>
    <t xml:space="preserve">AVU</t>
  </si>
  <si>
    <t xml:space="preserve">DEYSE REIS</t>
  </si>
  <si>
    <t xml:space="preserve">ESTOQUE DE MERCADORIAS</t>
  </si>
  <si>
    <t xml:space="preserve">MERCADORIAS P/REVENDA</t>
  </si>
  <si>
    <t xml:space="preserve">NF 876315 2/3 - ALICIA</t>
  </si>
  <si>
    <t xml:space="preserve">AGL DISTRIBUIDORA LIMITADA MATRIZ</t>
  </si>
  <si>
    <t xml:space="preserve">NFE</t>
  </si>
  <si>
    <t xml:space="preserve">NF 11971 1/1 - ALICIA </t>
  </si>
  <si>
    <t xml:space="preserve">AGM COMERCIO E DISTRIBUIDORA DE MATERIAS DE PERFUMARIA E LIMPEZA LTDA</t>
  </si>
  <si>
    <t xml:space="preserve">NF 160778 1/4 - ALICIA </t>
  </si>
  <si>
    <t xml:space="preserve">ALEXANDRE DA SILVA RUFINO</t>
  </si>
  <si>
    <t xml:space="preserve">S/NF COMPRAS CIGARROS - ALICIA</t>
  </si>
  <si>
    <t xml:space="preserve">ATIVA COM E REP</t>
  </si>
  <si>
    <t xml:space="preserve">NF 25331 1/2 - ALICIA </t>
  </si>
  <si>
    <t xml:space="preserve">BROTHERS  INDUSTRIA DE ALIMENTOS LTDA</t>
  </si>
  <si>
    <t xml:space="preserve">NF 1027742 1/1 - ALICIA</t>
  </si>
  <si>
    <t xml:space="preserve">CB COMERCIO E DISTRIBUIDORA DE ALIMENTOS</t>
  </si>
  <si>
    <t xml:space="preserve">NF 843062 1/3 - ALICIA </t>
  </si>
  <si>
    <t xml:space="preserve">CINTIA MACIEL PEREIRA SANTOS 95986138287</t>
  </si>
  <si>
    <t xml:space="preserve">NF 1340 1/1 - ALICIA </t>
  </si>
  <si>
    <t xml:space="preserve">COMERCIO DE FRIOS MANAUS LTDA</t>
  </si>
  <si>
    <t xml:space="preserve">NF 171649 1/1 - ALICIA </t>
  </si>
  <si>
    <t xml:space="preserve">NF 171605 1/1 - ALICIA </t>
  </si>
  <si>
    <t xml:space="preserve">COMERCIO E TRANSPORTE BRANDAO LTDA</t>
  </si>
  <si>
    <t xml:space="preserve">Transferencia Pix</t>
  </si>
  <si>
    <t xml:space="preserve">COMPRAS QUEIJO - CARLOS VERDURAS </t>
  </si>
  <si>
    <t xml:space="preserve">JHONATAS GUSMAO</t>
  </si>
  <si>
    <t xml:space="preserve">PGT CARLOS VERDURAS - JHONATAS </t>
  </si>
  <si>
    <t xml:space="preserve">DANIEL LOURENCO MENDONCA DE BRITO ME</t>
  </si>
  <si>
    <t xml:space="preserve">CONTAS A PAGAR</t>
  </si>
  <si>
    <t xml:space="preserve">DESPESAS OPERACIONAIS</t>
  </si>
  <si>
    <t xml:space="preserve">DESPESAS LOJA</t>
  </si>
  <si>
    <t xml:space="preserve">NF 3246 2/3 - ALICIA </t>
  </si>
  <si>
    <t xml:space="preserve">DISTRIBUIDORA FARIAS LTDA.</t>
  </si>
  <si>
    <t xml:space="preserve">NF 670462 3/3 - ALICIA</t>
  </si>
  <si>
    <t xml:space="preserve">DISTRIBUIDORA LOPES LTDA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</si>
  <si>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</si>
  <si>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</si>
  <si>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</si>
  <si>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</si>
  <si>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EDMARA COMERCIO DE HIGIENE PESSOAL LTDA</t>
  </si>
  <si>
    <t xml:space="preserve">NF 8058 1/3 - ALICIA </t>
  </si>
  <si>
    <t xml:space="preserve">ELZILENE DA SILVA</t>
  </si>
  <si>
    <t xml:space="preserve">NF 2347 1/1 - ALICIA </t>
  </si>
  <si>
    <t xml:space="preserve">FH DE OLIVEIRA PEIXOTO - EIRELI</t>
  </si>
  <si>
    <t xml:space="preserve">NF 189797 2/3 - ALICIA</t>
  </si>
  <si>
    <t xml:space="preserve">NF 189799 2/3 - ALICIA</t>
  </si>
  <si>
    <t xml:space="preserve">FORTVET DISTRIBUIDORA LTDA</t>
  </si>
  <si>
    <t xml:space="preserve">NF 2104 3/4 - ALICIA</t>
  </si>
  <si>
    <t xml:space="preserve">H G NUNES REPRESENTAÇÃO E COMERCIO</t>
  </si>
  <si>
    <t xml:space="preserve">NF 54575 2/3 - ALICIA</t>
  </si>
  <si>
    <t xml:space="preserve">H. L. DO NASCIMENTO</t>
  </si>
  <si>
    <t xml:space="preserve">NF 5672 1/1 - ALICIA </t>
  </si>
  <si>
    <t xml:space="preserve">L S M COMERCIO DE ALIMENTOS E NAVEGACAO</t>
  </si>
  <si>
    <t xml:space="preserve">NF 302391 3/3 - ALICIA</t>
  </si>
  <si>
    <t xml:space="preserve">NF 304174 1/3 - ALICIA</t>
  </si>
  <si>
    <t xml:space="preserve">LAYS MORETTI DA SILVA 01310766207</t>
  </si>
  <si>
    <t xml:space="preserve">Compra a Vista</t>
  </si>
  <si>
    <t xml:space="preserve">NF 1286 1/1 - ALICIA </t>
  </si>
  <si>
    <t xml:space="preserve">MARE DISTRIBUIDORA DE BEBIDAS E DE PRODUTOS ALIMENTICIOS LTDA</t>
  </si>
  <si>
    <t xml:space="preserve">NF 1364166 2/2 - ALICIA </t>
  </si>
  <si>
    <t xml:space="preserve">MARQUES &amp; MELO LTDA - FILIAL</t>
  </si>
  <si>
    <t xml:space="preserve">NF 491042 3/5 - ALICIA</t>
  </si>
  <si>
    <t xml:space="preserve">MAXFRI DISTRIUIDORA LTDA</t>
  </si>
  <si>
    <t xml:space="preserve">NF 14528 1/2 - ALICIA </t>
  </si>
  <si>
    <t xml:space="preserve">NESTLÉ BRASIL LTDA.</t>
  </si>
  <si>
    <t xml:space="preserve">NF 1415342 1/1 - ALICIA </t>
  </si>
  <si>
    <t xml:space="preserve">NSB COMERCIO ATACADISTA E VAREJISTA DE P</t>
  </si>
  <si>
    <t xml:space="preserve">NF 7711 2/3 - ALICIA</t>
  </si>
  <si>
    <t xml:space="preserve">OESA COMERCIO E REPRESENTACOES S/A</t>
  </si>
  <si>
    <t xml:space="preserve">NF 408637 3/3 - ALICIA</t>
  </si>
  <si>
    <t xml:space="preserve">NF 410209 3/3 - ALICIA</t>
  </si>
  <si>
    <t xml:space="preserve">OLIVEIRA E SILVA LTDA</t>
  </si>
  <si>
    <t xml:space="preserve">COMPRAS CARLOS VERDURAS </t>
  </si>
  <si>
    <t xml:space="preserve">COMPRAS CHEIRO VERDE </t>
  </si>
  <si>
    <t xml:space="preserve">compras 2cx banana prata - jhonatas </t>
  </si>
  <si>
    <t xml:space="preserve">ORIENTE COM. ATACADISTA E REPRES. LTDA</t>
  </si>
  <si>
    <t xml:space="preserve">NF 1960 2/3 - ALICIA </t>
  </si>
  <si>
    <t xml:space="preserve">PRIMICIA DISTRIBUIDORA DE FRIOS LTDA</t>
  </si>
  <si>
    <t xml:space="preserve">NF 2937 1/1 - ALICIA </t>
  </si>
  <si>
    <t xml:space="preserve">RCL COMERCIO DE PRODUTOS ALIMENTICIOS LT</t>
  </si>
  <si>
    <t xml:space="preserve">NF 213912 1/2 - ALICIA</t>
  </si>
  <si>
    <t xml:space="preserve">NF 213923 1/1 - ALICIA </t>
  </si>
  <si>
    <t xml:space="preserve">RISADINHA LTDA</t>
  </si>
  <si>
    <t xml:space="preserve">NF 656174 2/4 - ALICIA</t>
  </si>
  <si>
    <t xml:space="preserve">S E PEREIRA BARBOSA ME</t>
  </si>
  <si>
    <t xml:space="preserve">NF17861 1/1 - ALICIA</t>
  </si>
  <si>
    <t xml:space="preserve">SB COMERCIO LTDA</t>
  </si>
  <si>
    <t xml:space="preserve">NF 1954061 3/5 - ALICIA</t>
  </si>
  <si>
    <t xml:space="preserve">VIA CERTA IMPORTACAO E DISTRIBUICAO DE A</t>
  </si>
  <si>
    <t xml:space="preserve">NF 49883 1/3 - ALICIA </t>
  </si>
  <si>
    <t xml:space="preserve">AGRONORTE COMERCIAL</t>
  </si>
  <si>
    <t xml:space="preserve">NF 505 2/2 - ALICIA</t>
  </si>
  <si>
    <t xml:space="preserve">ATACADAO S.A.</t>
  </si>
  <si>
    <t xml:space="preserve">NF 1888476 1/1 - ALICIA</t>
  </si>
  <si>
    <t xml:space="preserve">CRBS S/A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</si>
  <si>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</si>
  <si>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</si>
  <si>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</si>
  <si>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</si>
  <si>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</si>
  <si>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</si>
  <si>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KEILA LIMA</t>
  </si>
  <si>
    <t xml:space="preserve">DESPESAS COM PESSOAL</t>
  </si>
  <si>
    <t xml:space="preserve">FERIAS</t>
  </si>
  <si>
    <t xml:space="preserve">FERIAS 2025/2026 MO4 - KEILA</t>
  </si>
  <si>
    <t xml:space="preserve">JUROS A FORNECEDOR</t>
  </si>
  <si>
    <t xml:space="preserve">ANDREZA ANDRADE</t>
  </si>
  <si>
    <t xml:space="preserve">juros fornecedores mo4</t>
  </si>
  <si>
    <t xml:space="preserve">COMPRAS DE BANANAS </t>
  </si>
  <si>
    <t xml:space="preserve">RANIELE OLIVEIRA</t>
  </si>
  <si>
    <t xml:space="preserve">60.729.628 LAURENA NUNES CALIXTO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</si>
  <si>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</si>
  <si>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</si>
  <si>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</si>
  <si>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</si>
  <si>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BRAGA DIST. E COM. DE PROD. ALIMENT</t>
  </si>
  <si>
    <t xml:space="preserve">NF 18657 2/3 - ALICIA</t>
  </si>
  <si>
    <t xml:space="preserve">NF 171756 1/1 - ALICIA </t>
  </si>
  <si>
    <t xml:space="preserve">NF 671810 2/3 - ALICIA</t>
  </si>
  <si>
    <t xml:space="preserve">NF 1668832 2/3 - ALICIA </t>
  </si>
  <si>
    <t xml:space="preserve">GELO DANGELO FABRICACAO DE GELO LTDA</t>
  </si>
  <si>
    <t xml:space="preserve">NF 333 1/1 - ALICIA</t>
  </si>
  <si>
    <t xml:space="preserve">J G COMERCIO DE PRODUTOS ALIMENTICIOS LTDA</t>
  </si>
  <si>
    <t xml:space="preserve">NF 385060 3/3 - ALICIA</t>
  </si>
  <si>
    <t xml:space="preserve">JUROS FORNECEDORES  MO4</t>
  </si>
  <si>
    <t xml:space="preserve">NATUPURE DA AMAZONIA</t>
  </si>
  <si>
    <t xml:space="preserve">NF 2656 3/3 - ALICIA</t>
  </si>
  <si>
    <t xml:space="preserve">COMPRAS BANANAS </t>
  </si>
  <si>
    <t xml:space="preserve">SANTANDER SA</t>
  </si>
  <si>
    <t xml:space="preserve">DESPESA TESTE NEILA</t>
  </si>
  <si>
    <t xml:space="preserve">DESPESAS FINANCEIRAS</t>
  </si>
  <si>
    <t xml:space="preserve">DESPESAS BANCARIAS</t>
  </si>
  <si>
    <t xml:space="preserve">TAR PIX BCO SANTANDER MO4</t>
  </si>
  <si>
    <t xml:space="preserve">SEFAZ DAR</t>
  </si>
  <si>
    <t xml:space="preserve">IMPOSTOS E CONTRIBUICOES A PAGAR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</si>
  <si>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</si>
  <si>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</si>
  <si>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</si>
  <si>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</si>
  <si>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</si>
  <si>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ICMS A PAGAR</t>
  </si>
  <si>
    <t xml:space="preserve">TAXA PR SERVICO EM DOC. DESEMBARAÇO NF MO4</t>
  </si>
  <si>
    <t xml:space="preserve">BANCO ITAU Lj 03</t>
  </si>
  <si>
    <t xml:space="preserve">TAXA PREST SERV DESEMBARACO NF - KEILA</t>
  </si>
  <si>
    <t xml:space="preserve">SOUZA CRUZ LTDA.</t>
  </si>
  <si>
    <t xml:space="preserve">NF 564106 1/1 - ALICIA </t>
  </si>
  <si>
    <t xml:space="preserve">TELEFONICA BRASIL S/A </t>
  </si>
  <si>
    <t xml:space="preserve">INTERNET</t>
  </si>
  <si>
    <t xml:space="preserve">CONTA VIVO MOVEL </t>
  </si>
  <si>
    <t xml:space="preserve">TRES CORACOES ALIMENTOS S.A.</t>
  </si>
  <si>
    <t xml:space="preserve">NF 346035 2/3 - ALICIA </t>
  </si>
  <si>
    <t xml:space="preserve">J. A. F. DE LIMA</t>
  </si>
  <si>
    <t xml:space="preserve">NF 154919 4/6 - ALICIA</t>
  </si>
  <si>
    <t xml:space="preserve">NF 2964 2/3 - ALICIA</t>
  </si>
  <si>
    <t xml:space="preserve">NF 189865 2/3 - ALICIA</t>
  </si>
  <si>
    <t xml:space="preserve">AMAZON MILK IND. E COMERCIO LTDA</t>
  </si>
  <si>
    <t xml:space="preserve">NF 202006 3/3 - ALICIA</t>
  </si>
  <si>
    <t xml:space="preserve">EMPRESA BRASILEIRA DE DISTRIBUICAO LTDA</t>
  </si>
  <si>
    <t xml:space="preserve">NF 2290883 2/3 - ALICIA</t>
  </si>
  <si>
    <t xml:space="preserve">NF 2867 2/2 - ALICIA </t>
  </si>
  <si>
    <t xml:space="preserve">DUNORTE DISTRIBUIDORA DE PRODUTOS DE CONSUMO LTDA</t>
  </si>
  <si>
    <t xml:space="preserve">NF 3198534 3/4 - ALICIA </t>
  </si>
  <si>
    <t xml:space="preserve">SL DISTRIBUIDORA COM. DE PROD. ALIMENTIC</t>
  </si>
  <si>
    <t xml:space="preserve">NF 10244 2/4 - ALICIA</t>
  </si>
  <si>
    <t xml:space="preserve">MARTINS COM SERV DISTR SA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</si>
  <si>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</si>
  <si>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</si>
  <si>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</si>
  <si>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</si>
  <si>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</si>
  <si>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AMAZONAS ENERGIA S/A</t>
  </si>
  <si>
    <t xml:space="preserve">DESPESAS COMERCIAIS</t>
  </si>
  <si>
    <t xml:space="preserve">ENERGIA ELETRICA</t>
  </si>
  <si>
    <t xml:space="preserve">ENERGIA </t>
  </si>
  <si>
    <t xml:space="preserve">BRF S A</t>
  </si>
  <si>
    <t xml:space="preserve">NF 1598348 2/3 - ALICIA </t>
  </si>
  <si>
    <t xml:space="preserve">BRAGA TABACARIA EIRELI ME</t>
  </si>
  <si>
    <t xml:space="preserve">NF 18793 1/3 -ALICIA </t>
  </si>
  <si>
    <t xml:space="preserve">ENERGIA ELETRICA </t>
  </si>
  <si>
    <t xml:space="preserve">TOYA INDUSTRIA E COMERCIO LTDA.</t>
  </si>
  <si>
    <t xml:space="preserve">NF 254081 1/2 - ALICIA </t>
  </si>
  <si>
    <t xml:space="preserve">NF 17914 1/1 - ALICIA </t>
  </si>
  <si>
    <t xml:space="preserve">PGT CARLOS VERUDRAS - JHONATAS </t>
  </si>
  <si>
    <t xml:space="preserve">RV TECNOLOGIA E SISTEMAS S.A</t>
  </si>
  <si>
    <t xml:space="preserve">RECARGA TELEFONICA</t>
  </si>
  <si>
    <t xml:space="preserve">ALICIA MELO GARCIA</t>
  </si>
  <si>
    <t xml:space="preserve">COMPRAS CHEIRO VERDE - ALICIA</t>
  </si>
  <si>
    <t xml:space="preserve">DESPESAS NAO OPERACIONAIS</t>
  </si>
  <si>
    <t xml:space="preserve">PAGAMENTOS OUTROS NAO OPERACIONAIS</t>
  </si>
  <si>
    <t xml:space="preserve">COBERTURA DE CONTA BANCO SANTANDER MO4</t>
  </si>
  <si>
    <t xml:space="preserve">JUROS FORNECEDORES MO4-ANDREZA</t>
  </si>
  <si>
    <t xml:space="preserve">ALIMENTACAO</t>
  </si>
  <si>
    <t xml:space="preserve">VALE ALIMENTACAO 07/2026 - ALICIA </t>
  </si>
  <si>
    <t xml:space="preserve">FRANK DOS SANTOS</t>
  </si>
  <si>
    <t xml:space="preserve">ADAILTON RODRIGUES LIMA</t>
  </si>
  <si>
    <t xml:space="preserve">KASSIO MEDEIROS DA SILVA</t>
  </si>
  <si>
    <t xml:space="preserve">VALDINILSON CRUZ BARROSOS</t>
  </si>
  <si>
    <t xml:space="preserve">AGEU JORGE DE SOUZA</t>
  </si>
  <si>
    <t xml:space="preserve">ANA CARLA MONTEIRO MO4</t>
  </si>
  <si>
    <t xml:space="preserve">JAMES ATKINSON JUNIOR</t>
  </si>
  <si>
    <t xml:space="preserve">NATANAEL AMORIM DA SILVA</t>
  </si>
  <si>
    <t xml:space="preserve">SUELEM LIMA DE ALMEIDA</t>
  </si>
  <si>
    <t xml:space="preserve">KAROLYNE DE LIRA CASTRO</t>
  </si>
  <si>
    <t xml:space="preserve">VALE TRANSPORTE</t>
  </si>
  <si>
    <t xml:space="preserve">VALE TRANSPORTE 07/2026</t>
  </si>
  <si>
    <t xml:space="preserve">ITAU SA</t>
  </si>
  <si>
    <t xml:space="preserve">CAPITALIZACAO BANCO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</si>
  <si>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</si>
  <si>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</si>
  <si>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</si>
  <si>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</si>
  <si>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</si>
  <si>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</si>
  <si>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MANAUS AMBIENTAL S/A </t>
  </si>
  <si>
    <t xml:space="preserve">AGUA</t>
  </si>
  <si>
    <t xml:space="preserve">AGUA </t>
  </si>
  <si>
    <t xml:space="preserve">NF 387572 1/3 - ALICIA</t>
  </si>
  <si>
    <t xml:space="preserve">BRASIL NORTE BEBIDAS S/A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</si>
  <si>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</si>
  <si>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</si>
  <si>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</si>
  <si>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</si>
  <si>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- OPERACOES FINANCEIRAS</t>
  </si>
  <si>
    <t xml:space="preserve">IOF BANCO SANTANDER MO4-ANDREZA</t>
  </si>
  <si>
    <t xml:space="preserve">IOF IMPOSTO  BANCO SANTANDER MO4-ANDREZA</t>
  </si>
  <si>
    <t xml:space="preserve">JUROS S/ EMPRESTIMOS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</si>
  <si>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</si>
  <si>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</si>
  <si>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</si>
  <si>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JUROS FORNECEDOR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</si>
  <si>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</si>
  <si>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</si>
  <si>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</si>
  <si>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</si>
  <si>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</si>
  <si>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</si>
  <si>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THALITA DE MATTOS PESTANA</t>
  </si>
  <si>
    <t xml:space="preserve">PG ALIMENTACAO FUNC, THALITA 07/26- MO4-ANDREZA</t>
  </si>
  <si>
    <t xml:space="preserve">OCIDENTAL COMERCIO DE FRIOS LTDA</t>
  </si>
  <si>
    <t xml:space="preserve">NF 1232607 3/3 - ALICIA</t>
  </si>
  <si>
    <t xml:space="preserve">NF 1234657 2/3 - ALICIA </t>
  </si>
  <si>
    <t xml:space="preserve">NATUREZA COMERCIO DE DESCARTAVEIS LTDA</t>
  </si>
  <si>
    <t xml:space="preserve">NF 726963 2/3 - ALICIA </t>
  </si>
  <si>
    <t xml:space="preserve">REAL BEBIDAS DA AMAZONIA LTDA</t>
  </si>
  <si>
    <t xml:space="preserve">NF 584765 2/2 - ALICIA</t>
  </si>
  <si>
    <t xml:space="preserve">ELFORT FRUIT COMERCIO DE PRODUTOS ALIME</t>
  </si>
  <si>
    <t xml:space="preserve">NF 26826 2/2 - ALICIA</t>
  </si>
  <si>
    <t xml:space="preserve">NF 1237464 1/1 - ALICIA </t>
  </si>
  <si>
    <t xml:space="preserve">NF 1237462 1/1 - ALICIA</t>
  </si>
  <si>
    <t xml:space="preserve">SILVA E SANTOS FRIGORIFICO LTDA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</si>
  <si>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</si>
  <si>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</si>
  <si>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</si>
  <si>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</si>
  <si>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</si>
  <si>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</si>
  <si>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</si>
  <si>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</si>
  <si>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VICTORIA COMERCIO INTERNACIONAL DE ALIME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</si>
  <si>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</si>
  <si>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</si>
  <si>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</si>
  <si>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RENATO DE O AZEVEDO E CIA LTDA - EPP</t>
  </si>
  <si>
    <t xml:space="preserve">HONORARIOS JURIDICOS</t>
  </si>
  <si>
    <t xml:space="preserve">MENSALIDADE ADVOGADO MO4 MES 04,05 E 06/26 - KEILA</t>
  </si>
  <si>
    <t xml:space="preserve">J W N DOS SANTOS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</si>
  <si>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</si>
  <si>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</si>
  <si>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</si>
  <si>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</si>
  <si>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</si>
  <si>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</si>
  <si>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</si>
  <si>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</si>
  <si>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</si>
  <si>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</si>
  <si>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</si>
  <si>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</si>
  <si>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</si>
  <si>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</si>
  <si>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</si>
  <si>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</si>
  <si>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</si>
  <si>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BF COMERCIO DE ALIMENTOS REPRESENTACAO L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</si>
  <si>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</si>
  <si>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</si>
  <si>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</si>
  <si>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</si>
  <si>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</si>
  <si>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</si>
  <si>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</si>
  <si>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</si>
  <si>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</si>
  <si>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P. S. DA C. AMORIM LTDA</t>
  </si>
  <si>
    <t xml:space="preserve">NF 2438 1/3 - ALICIA </t>
  </si>
  <si>
    <t xml:space="preserve">COMERCIAL DE ESTIVAS REGO LTDA</t>
  </si>
  <si>
    <t xml:space="preserve">NF 222263 1/4 - ALICIA </t>
  </si>
  <si>
    <t xml:space="preserve">NF 1773256 1/3 - ALICIA</t>
  </si>
  <si>
    <t xml:space="preserve">IRMÃOS LIMA  ATACADO  DE ALIMENTOS LTDA</t>
  </si>
  <si>
    <t xml:space="preserve">NF 293817 1/4 - ALICIA </t>
  </si>
  <si>
    <t xml:space="preserve">NF 1418632 1/1 - ALICIA</t>
  </si>
  <si>
    <t xml:space="preserve">CAMPOS E LIMA GESTAO EMPRESARIAL</t>
  </si>
  <si>
    <t xml:space="preserve">BENS INTANGIVEIS</t>
  </si>
  <si>
    <t xml:space="preserve">SISTEMAS APLICATIVOS</t>
  </si>
  <si>
    <t xml:space="preserve">MENSA SIST VAREJO MO4</t>
  </si>
  <si>
    <t xml:space="preserve">NF 12262 1/1 - ALICIA </t>
  </si>
  <si>
    <t xml:space="preserve">NF 1028803 1/1 - ALICIA </t>
  </si>
  <si>
    <t xml:space="preserve">S/NF COMPRAS CIGARROS </t>
  </si>
  <si>
    <t xml:space="preserve">ADICSO FABIAN GONZALEZ MONTILLA 70302186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</si>
  <si>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</si>
  <si>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</si>
  <si>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</si>
  <si>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</si>
  <si>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compras cheiro verde</t>
  </si>
  <si>
    <t xml:space="preserve">03</t>
  </si>
  <si>
    <t xml:space="preserve">CAPITALIZACAO ITAU 4 PARC 55/60 - KEILA</t>
  </si>
  <si>
    <t xml:space="preserve">NF 253203 1/1 - ALICIA </t>
  </si>
  <si>
    <t xml:space="preserve">GOLD SERVICE</t>
  </si>
  <si>
    <t xml:space="preserve">06</t>
  </si>
  <si>
    <t xml:space="preserve">HONORARIOS CONTABEIS</t>
  </si>
  <si>
    <t xml:space="preserve">MENSALIDADE GOLD MO4 - KEILA</t>
  </si>
  <si>
    <t xml:space="preserve">NF 3204265 1/3 - ALICIA </t>
  </si>
  <si>
    <t xml:space="preserve">SALARIOS</t>
  </si>
  <si>
    <t xml:space="preserve">SALARIO FUNCIONARIO 06/2026</t>
  </si>
  <si>
    <t xml:space="preserve">CONVENIO</t>
  </si>
  <si>
    <t xml:space="preserve">COMPRAS FUNCIONARIOS 06/2026</t>
  </si>
  <si>
    <t xml:space="preserve">TARCISIO FABIANO SILVA</t>
  </si>
  <si>
    <t xml:space="preserve">CHARLES ELETRICISTA MO4</t>
  </si>
  <si>
    <t xml:space="preserve">Dinheiro Cx Geral</t>
  </si>
  <si>
    <t xml:space="preserve">AJUDA DE CUSTO FUNCIONARIOS 06/2026</t>
  </si>
  <si>
    <t xml:space="preserve">RENATO DE OLIVEIRA AZEVEDO</t>
  </si>
  <si>
    <t xml:space="preserve">NF 346 1/1 - ALICIA </t>
  </si>
  <si>
    <t xml:space="preserve">07</t>
  </si>
  <si>
    <t xml:space="preserve">PL FABIANO 36/36 - ANDREZA</t>
  </si>
  <si>
    <t xml:space="preserve">JUROS FORNECEDORES MO4</t>
  </si>
  <si>
    <t xml:space="preserve">ICMS - MERCADORIA NACIONAL -MO4-ANDREZA</t>
  </si>
  <si>
    <t xml:space="preserve">04</t>
  </si>
  <si>
    <t xml:space="preserve">EMPRESTIMOS TERCEIROS</t>
  </si>
  <si>
    <t xml:space="preserve">PARC JUROS EMPRESTIMO AUGUSTA - KEILA</t>
  </si>
  <si>
    <t xml:space="preserve">SALARIO ELIANA MO4 PARTE ESO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</si>
  <si>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</si>
  <si>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</si>
  <si>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</si>
  <si>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</si>
  <si>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</si>
  <si>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</si>
  <si>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</si>
  <si>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</si>
  <si>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</si>
  <si>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GONCALES COMER DE HORT GRANJEIROS EIRELI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</si>
  <si>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</si>
  <si>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</si>
  <si>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</si>
  <si>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</si>
  <si>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ACAI PGT PIX:92991892419 NAILSON GARCES</t>
  </si>
  <si>
    <t xml:space="preserve">COMPRAS JOSE FARINHA PGT PIX</t>
  </si>
  <si>
    <t xml:space="preserve">COMPRAS CARLOS VERDURAS - ALICIA </t>
  </si>
  <si>
    <t xml:space="preserve">NF 1354 1/1 - ALICIA </t>
  </si>
  <si>
    <t xml:space="preserve">COMPRAS NA PORTA AVULSO</t>
  </si>
  <si>
    <t xml:space="preserve">S/NF COMPRAS HARINA  PAN </t>
  </si>
  <si>
    <t xml:space="preserve">NF 172079 1/1 - ALICIA </t>
  </si>
  <si>
    <t xml:space="preserve">COMPRAS ACAI PIX:92991892419 NAILSON GARCES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</si>
  <si>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</si>
  <si>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</si>
  <si>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</si>
  <si>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</si>
  <si>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CHEIRO VERDE</t>
  </si>
  <si>
    <t xml:space="preserve">COMPRAS ACAI DE ANORI</t>
  </si>
  <si>
    <t xml:space="preserve">FORNECEDORES</t>
  </si>
  <si>
    <t xml:space="preserve">COMPRAS BRIGADEIRO 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</si>
  <si>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</si>
  <si>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</si>
  <si>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</si>
  <si>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</si>
  <si>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18657 3/3 - ALICIA</t>
  </si>
  <si>
    <t xml:space="preserve">ROBSON - ROBINHO </t>
  </si>
  <si>
    <t xml:space="preserve">EMPRESTIMOS BANCARIOS</t>
  </si>
  <si>
    <t xml:space="preserve">EMPRESTIMOS BANCARIOS A PAGAR</t>
  </si>
  <si>
    <t xml:space="preserve">JUROS EMPRESTIMO MO4 FEZ COM ROBSON - KEILA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</si>
  <si>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</si>
  <si>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</si>
  <si>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</si>
  <si>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</si>
  <si>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</si>
  <si>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</si>
  <si>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</si>
  <si>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</si>
  <si>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</si>
  <si>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</si>
  <si>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</si>
  <si>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</si>
  <si>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</si>
  <si>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</si>
  <si>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</si>
  <si>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</si>
  <si>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</si>
  <si>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</si>
  <si>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</si>
  <si>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</si>
  <si>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</si>
  <si>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</si>
  <si>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</si>
  <si>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</si>
  <si>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</si>
  <si>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</si>
  <si>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</si>
  <si>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</si>
  <si>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</si>
  <si>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</si>
  <si>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</si>
  <si>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</si>
  <si>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</si>
  <si>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</si>
  <si>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</si>
  <si>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</si>
  <si>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</si>
  <si>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</si>
  <si>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</si>
  <si>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</si>
  <si>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</si>
  <si>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</si>
  <si>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</si>
  <si>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</si>
  <si>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</si>
  <si>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</si>
  <si>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</si>
  <si>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</si>
  <si>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T A DE MATTOS COMIM EIRELI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</si>
  <si>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</si>
  <si>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</si>
  <si>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</si>
  <si>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</si>
  <si>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</si>
  <si>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</si>
  <si>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JANETE DE LIMA ROOL 80938280287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</si>
  <si>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</si>
  <si>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</si>
  <si>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</si>
  <si>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</si>
  <si>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</si>
  <si>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</si>
  <si>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</si>
  <si>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</si>
  <si>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</si>
  <si>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REDE I C I LTDA (MANAUS ALARME)</t>
  </si>
  <si>
    <t xml:space="preserve">SEGURANCA E MONITORAMENTO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</si>
  <si>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</si>
  <si>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</si>
  <si>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</si>
  <si>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</si>
  <si>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</si>
  <si>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</si>
  <si>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EMERSON ANTONIO EIZIARIO</t>
  </si>
  <si>
    <t xml:space="preserve">ALUGUEIS PAGOS A PF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</si>
  <si>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</si>
  <si>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</si>
  <si>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</si>
  <si>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</si>
  <si>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</si>
  <si>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</si>
  <si>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</si>
  <si>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</si>
  <si>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</si>
  <si>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</si>
  <si>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</si>
  <si>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</si>
  <si>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</si>
  <si>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</si>
  <si>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</si>
  <si>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</si>
  <si>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</si>
  <si>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</si>
  <si>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</si>
  <si>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</si>
  <si>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</si>
  <si>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</si>
  <si>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</si>
  <si>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</si>
  <si>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</si>
  <si>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</si>
  <si>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</si>
  <si>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</si>
  <si>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</si>
  <si>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</si>
  <si>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</si>
  <si>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</si>
  <si>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</si>
  <si>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</si>
  <si>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</si>
  <si>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</si>
  <si>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</si>
  <si>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</si>
  <si>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ADRIANA G MACIEL COMERCIO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</si>
  <si>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</si>
  <si>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</si>
  <si>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</si>
  <si>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</si>
  <si>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</si>
  <si>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</si>
  <si>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</si>
  <si>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</si>
  <si>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</si>
  <si>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</si>
  <si>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</si>
  <si>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</si>
  <si>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</si>
  <si>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</si>
  <si>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</si>
  <si>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</si>
  <si>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</si>
  <si>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</si>
  <si>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</si>
  <si>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</si>
  <si>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</si>
  <si>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</si>
  <si>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RECARGA TELEFONICA 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</si>
  <si>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</si>
  <si>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</si>
  <si>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</si>
  <si>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PREFEITURA MUNICIPAL DE MANAUS - IPTU</t>
  </si>
  <si>
    <t xml:space="preserve">05</t>
  </si>
  <si>
    <t xml:space="preserve">DESPESAS TRIBUTARIAS</t>
  </si>
  <si>
    <t xml:space="preserve">IPTU</t>
  </si>
  <si>
    <t xml:space="preserve">PARC 05/10 MO4 LOJA - KEILA</t>
  </si>
  <si>
    <t xml:space="preserve">02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</si>
  <si>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</si>
  <si>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</si>
  <si>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</si>
  <si>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</si>
  <si>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TIM S.A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</si>
  <si>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</si>
  <si>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</si>
  <si>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</si>
  <si>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</si>
  <si>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</si>
  <si>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</si>
  <si>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</si>
  <si>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</si>
  <si>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A PRAZO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</si>
  <si>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</si>
  <si>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</si>
  <si>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</si>
  <si>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</si>
  <si>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</si>
  <si>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</si>
  <si>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</si>
  <si>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</si>
  <si>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</si>
  <si>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</si>
  <si>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</si>
  <si>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</si>
  <si>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</si>
  <si>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</si>
  <si>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</si>
  <si>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MENSALIDADE CONSULTORIA SISTEMA CISS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</si>
  <si>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</si>
  <si>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</si>
  <si>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</si>
  <si>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</si>
  <si>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</si>
  <si>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</si>
  <si>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</si>
  <si>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</si>
  <si>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</si>
  <si>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</si>
  <si>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</si>
  <si>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</si>
  <si>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</si>
  <si>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</si>
  <si>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</si>
  <si>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</si>
  <si>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</si>
  <si>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</si>
  <si>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</si>
  <si>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</si>
  <si>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AZEVEDO E SILVA LTDA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</si>
  <si>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</si>
  <si>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</si>
  <si>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</si>
  <si>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</si>
  <si>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</si>
  <si>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</si>
  <si>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</si>
  <si>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</si>
  <si>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</si>
  <si>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</si>
  <si>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</si>
  <si>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</si>
  <si>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</si>
  <si>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</si>
  <si>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</si>
  <si>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</si>
  <si>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</si>
  <si>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COMPRAS JOSE FARINHA </t>
  </si>
  <si>
    <t xml:space="preserve">NF 18119 1/1 - ALICIA </t>
  </si>
  <si>
    <t xml:space="preserve">CONTA VIVO MO4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</si>
  <si>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</si>
  <si>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</si>
  <si>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</si>
  <si>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</si>
  <si>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</si>
  <si>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</si>
  <si>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</si>
  <si>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</si>
  <si>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</si>
  <si>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</si>
  <si>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</si>
  <si>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</si>
  <si>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</si>
  <si>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</si>
  <si>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</si>
  <si>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</si>
  <si>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</si>
  <si>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</si>
  <si>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</si>
  <si>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</si>
  <si>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</si>
  <si>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</si>
  <si>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</si>
  <si>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</si>
  <si>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</si>
  <si>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</si>
  <si>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</si>
  <si>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</si>
  <si>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</si>
  <si>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</si>
  <si>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</si>
  <si>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</si>
  <si>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</si>
  <si>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</si>
  <si>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</si>
  <si>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</si>
  <si>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</si>
  <si>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</si>
  <si>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</si>
  <si>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</si>
  <si>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</si>
  <si>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DESPESAS A APROPRIAR</t>
  </si>
  <si>
    <t xml:space="preserve">CARTAO DE CREDITO - ANUIDADE</t>
  </si>
  <si>
    <t xml:space="preserve">anuidade cartao itau mo4-andreza</t>
  </si>
  <si>
    <t xml:space="preserve">09</t>
  </si>
  <si>
    <t xml:space="preserve">SEGUROS</t>
  </si>
  <si>
    <t xml:space="preserve">SEGURO ITAU 4 TRANSACAO 11/36</t>
  </si>
  <si>
    <t xml:space="preserve">EMPRESTIMO AMPLIAÇAÕ ENERGIA SOLAR MO4 PARC 10X36 - ANDREZA</t>
  </si>
  <si>
    <t xml:space="preserve">TAPAJOS COM DE PERFUMARIA COSMETICOS E G</t>
  </si>
  <si>
    <t xml:space="preserve">NF 576607 1/1 - ALICIA </t>
  </si>
  <si>
    <t xml:space="preserve">MENSALIDADE ADVOGADO MO4 - KEILA </t>
  </si>
  <si>
    <t xml:space="preserve">NF 1388539  1/2 - ALICIA</t>
  </si>
  <si>
    <t xml:space="preserve">CIOMPRAS CHEIRO VERDE - ALICIA</t>
  </si>
  <si>
    <t xml:space="preserve">NF 172840 1/1 - ALICIA 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</si>
  <si>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</si>
  <si>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</si>
  <si>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</si>
  <si>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</si>
  <si>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</si>
  <si>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</si>
  <si>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</si>
  <si>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</si>
  <si>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PIARARA COMERCIO, IMPORTACAO E EXPORTACAO LTDA</t>
  </si>
  <si>
    <t xml:space="preserve">NF 194114 1/3 - ALICIA </t>
  </si>
  <si>
    <t xml:space="preserve">EYES NWHERE SISTEMAS INTELIGENTES DE IMAGEM SA</t>
  </si>
  <si>
    <t xml:space="preserve">MENSALIDADE INTERNET MO4 - KEILA</t>
  </si>
  <si>
    <t xml:space="preserve">BM UCHOA ATACADISTA</t>
  </si>
  <si>
    <t xml:space="preserve">NF 1040 1/1 - ALICIA </t>
  </si>
  <si>
    <t xml:space="preserve">E S O CONSULTORIA EIRELI</t>
  </si>
  <si>
    <t xml:space="preserve">FGTS</t>
  </si>
  <si>
    <t xml:space="preserve">FGTS MO4 ESO 06/26 - KEILA</t>
  </si>
  <si>
    <t xml:space="preserve">INSS (PREVIDENCIA SOCIAL)</t>
  </si>
  <si>
    <t xml:space="preserve">INSS MO4 ESO 06/26 - KEILA</t>
  </si>
  <si>
    <t xml:space="preserve">SIMPLES FEDERAL A PAGAR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</si>
  <si>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</si>
  <si>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</si>
  <si>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</si>
  <si>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</si>
  <si>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PROPAGANDA PUBLICIDADE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</si>
  <si>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</si>
  <si>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</si>
  <si>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</si>
  <si>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</si>
  <si>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COBERTURA DE CONTA BCO SANTANDER MO4-ANDREZA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</si>
  <si>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</si>
  <si>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</si>
  <si>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</si>
  <si>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</si>
  <si>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</si>
  <si>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</si>
  <si>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</si>
  <si>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</si>
  <si>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</si>
  <si>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</si>
  <si>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</si>
  <si>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</si>
  <si>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</si>
  <si>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</si>
  <si>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</si>
  <si>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</si>
  <si>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</si>
  <si>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</si>
  <si>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</si>
  <si>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</si>
  <si>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</si>
  <si>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</si>
  <si>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</si>
  <si>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</si>
  <si>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</si>
  <si>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</si>
  <si>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</si>
  <si>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</si>
  <si>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</si>
  <si>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</si>
  <si>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</si>
  <si>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</si>
  <si>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</si>
  <si>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</si>
  <si>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</si>
  <si>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</si>
  <si>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</si>
  <si>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</si>
  <si>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</si>
  <si>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</si>
  <si>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</si>
  <si>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</si>
  <si>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</si>
  <si>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</si>
  <si>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</si>
  <si>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ADRIANO FEITOSA OLIVEIRA LTDA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</si>
  <si>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</si>
  <si>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</si>
  <si>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</si>
  <si>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</si>
  <si>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</si>
  <si>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</si>
  <si>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</si>
  <si>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</si>
  <si>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</si>
  <si>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OPPORTUNITY ALIMENTOS PARA ANIMAIS LTDA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</si>
  <si>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</si>
  <si>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</si>
  <si>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</si>
  <si>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</si>
  <si>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</si>
  <si>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</si>
  <si>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</si>
  <si>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</si>
  <si>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</si>
  <si>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</si>
  <si>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</si>
  <si>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</si>
  <si>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</si>
  <si>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</si>
  <si>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</si>
  <si>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</si>
  <si>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</si>
  <si>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</si>
  <si>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INFO STORE COMPUTADORES DA AMAZONIA LTDA</t>
  </si>
  <si>
    <t xml:space="preserve">OUTROS FORNECEDORES</t>
  </si>
  <si>
    <t xml:space="preserve">MATERIAL DE CONSUMO</t>
  </si>
  <si>
    <t xml:space="preserve">NF 86749 8/10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</si>
  <si>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</si>
  <si>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</si>
  <si>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CLEVERSON BARBOSA DA SILVA - ME</t>
  </si>
  <si>
    <t xml:space="preserve">NF 12945 - A PRAZO </t>
  </si>
  <si>
    <t xml:space="preserve">SHMILY COMERCIO DE ARTIGOS DO VESTUARIO</t>
  </si>
  <si>
    <t xml:space="preserve">NF 416 2/3 - A PRAZO </t>
  </si>
  <si>
    <t xml:space="preserve">A. CORREA JUNIOR</t>
  </si>
  <si>
    <t xml:space="preserve">NF 1820 2/3 - A PRAZO </t>
  </si>
  <si>
    <t xml:space="preserve">LUIS HENRIQUE FROTA MAGALHAES</t>
  </si>
  <si>
    <t xml:space="preserve">NF 1950 2/2 - A PRAZO</t>
  </si>
  <si>
    <t xml:space="preserve">NF 25051 1/1 - A PRAZO </t>
  </si>
  <si>
    <t xml:space="preserve">66.356.670 FRANCISCO CARLOS FERNANDES COSTA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</si>
  <si>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</si>
  <si>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</si>
  <si>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</si>
  <si>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</si>
  <si>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</si>
  <si>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STEFFANE VITORIA FERNANDES SILVA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</si>
  <si>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</si>
  <si>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</si>
  <si>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</si>
  <si>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</si>
  <si>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</si>
  <si>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</si>
  <si>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</si>
  <si>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</si>
  <si>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</si>
  <si>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</si>
  <si>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</si>
  <si>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FAROL FINANCEIRO</t>
  </si>
  <si>
    <t xml:space="preserve">MENSALIDADE CONCILIACAO BANCARIA</t>
  </si>
  <si>
    <t xml:space="preserve">MENSALIDADE FAROL CONCILIACAO MO4 - KEILA</t>
  </si>
  <si>
    <t xml:space="preserve">NF 2964 3/3 - ALICIA</t>
  </si>
  <si>
    <t xml:space="preserve">DUPORTO COM E SERV DE DIST LTDA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</si>
  <si>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</si>
  <si>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</si>
  <si>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</si>
  <si>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</si>
  <si>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</si>
  <si>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</si>
  <si>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</si>
  <si>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</si>
  <si>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</si>
  <si>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</si>
  <si>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</si>
  <si>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</si>
  <si>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</si>
  <si>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</si>
  <si>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</si>
  <si>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</si>
  <si>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</si>
  <si>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</si>
  <si>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</si>
  <si>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</si>
  <si>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</si>
  <si>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</si>
  <si>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</si>
  <si>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</si>
  <si>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</si>
  <si>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</si>
  <si>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</si>
  <si>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</si>
  <si>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</si>
  <si>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</si>
  <si>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</si>
  <si>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</si>
  <si>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</si>
  <si>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</si>
  <si>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</si>
  <si>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</si>
  <si>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</si>
  <si>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</si>
  <si>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</si>
  <si>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</si>
  <si>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</si>
  <si>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</si>
  <si>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</si>
  <si>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</si>
  <si>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</si>
  <si>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</si>
  <si>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</si>
  <si>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</si>
  <si>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</si>
  <si>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</si>
  <si>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</si>
  <si>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</si>
  <si>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</si>
  <si>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</si>
  <si>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</si>
  <si>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</si>
  <si>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</si>
  <si>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</si>
  <si>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</si>
  <si>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</si>
  <si>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FEMAR IND E COM DE BEBIDAS LTDA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</si>
  <si>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</si>
  <si>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</si>
  <si>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</si>
  <si>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</si>
  <si>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</si>
  <si>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</si>
  <si>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</si>
  <si>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</si>
  <si>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</si>
  <si>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</si>
  <si>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</si>
  <si>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</si>
  <si>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</si>
  <si>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</si>
  <si>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</si>
  <si>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</si>
  <si>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</si>
  <si>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173728 1/2 -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</si>
  <si>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</si>
  <si>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</si>
  <si>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</si>
  <si>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</si>
  <si>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</si>
  <si>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</si>
  <si>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</si>
  <si>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</si>
  <si>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</si>
  <si>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</si>
  <si>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</si>
  <si>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</si>
  <si>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</si>
  <si>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</si>
  <si>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</si>
  <si>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</si>
  <si>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</si>
  <si>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</si>
  <si>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</si>
  <si>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</si>
  <si>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</si>
  <si>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</si>
  <si>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</si>
  <si>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</si>
  <si>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</si>
  <si>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</si>
  <si>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</si>
  <si>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</si>
  <si>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</si>
  <si>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</si>
  <si>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ENERGIA ELETRICA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</si>
  <si>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</si>
  <si>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</si>
  <si>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</si>
  <si>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</si>
  <si>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</si>
  <si>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</si>
  <si>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</si>
  <si>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</si>
  <si>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</si>
  <si>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</si>
  <si>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</si>
  <si>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</si>
  <si>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</si>
  <si>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</si>
  <si>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</si>
  <si>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</si>
  <si>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</si>
  <si>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</si>
  <si>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</si>
  <si>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</si>
  <si>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</si>
  <si>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</si>
  <si>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</si>
  <si>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</si>
  <si>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</si>
  <si>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</si>
  <si>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IOF 6083.60899-9 GARANTIDA MO4 - KEILA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</si>
  <si>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</si>
  <si>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</si>
  <si>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</si>
  <si>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</si>
  <si>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</si>
  <si>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</si>
  <si>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</si>
  <si>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</si>
  <si>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</si>
  <si>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</si>
  <si>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</si>
  <si>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</si>
  <si>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</si>
  <si>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</si>
  <si>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</si>
  <si>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</si>
  <si>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</si>
  <si>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</si>
  <si>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</si>
  <si>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</si>
  <si>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</si>
  <si>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</si>
  <si>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</si>
  <si>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</si>
  <si>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</si>
  <si>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</si>
  <si>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</si>
  <si>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</si>
  <si>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</si>
  <si>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</si>
  <si>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</si>
  <si>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</si>
  <si>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</si>
  <si>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</si>
  <si>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</si>
  <si>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</si>
  <si>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</si>
  <si>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</si>
  <si>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</si>
  <si>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</si>
  <si>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</si>
  <si>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</si>
  <si>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</si>
  <si>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</si>
  <si>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</si>
  <si>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</si>
  <si>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</si>
  <si>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</si>
  <si>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</si>
  <si>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</si>
  <si>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</si>
  <si>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</si>
  <si>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PREVIA DOS EMPRESTIMOS</t>
  </si>
  <si>
    <t xml:space="preserve">PREVIA DE EMPRESTIMO A SER DEVOLVIDO AUGUSTA - KEIL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</si>
  <si>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</si>
  <si>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</si>
  <si>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</si>
  <si>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</si>
  <si>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</si>
  <si>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</si>
  <si>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</si>
  <si>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</si>
  <si>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 AJUDA DE CUSTO FUNCIONARIO -07/2026 - ALICIA </t>
  </si>
  <si>
    <t xml:space="preserve">AJUDA DE CUSTO FUNCIONARIO -07/2026 - ALICIA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</si>
  <si>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</si>
  <si>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</si>
  <si>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</si>
  <si>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</si>
  <si>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</si>
  <si>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</si>
  <si>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</si>
  <si>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PL FABIANO PARC 17//24 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</si>
  <si>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</si>
  <si>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</si>
  <si>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</si>
  <si>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</si>
  <si>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</si>
  <si>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CONTA DE AGUA 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</si>
  <si>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</si>
  <si>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</si>
  <si>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</si>
  <si>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</si>
  <si>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</si>
  <si>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</si>
  <si>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PREVIA EMPRESTIMO ROBSON 75MIL - KEILA</t>
  </si>
  <si>
    <t xml:space="preserve">NF 568665 1/2 - ALICIA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</si>
  <si>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</si>
  <si>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</si>
  <si>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</si>
  <si>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</si>
  <si>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</si>
  <si>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</si>
  <si>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</si>
  <si>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</si>
  <si>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</si>
  <si>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</si>
  <si>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</si>
  <si>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</si>
  <si>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</si>
  <si>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</si>
  <si>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</si>
  <si>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</si>
  <si>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</si>
  <si>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</si>
  <si>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</si>
  <si>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KAROLINY RODRIGUES SOUZA VENANCIO 915783</t>
  </si>
  <si>
    <t xml:space="preserve">NF 1716 1/1 - ALICIA </t>
  </si>
  <si>
    <t xml:space="preserve">NF 1250418 2/3 - ALICIA</t>
  </si>
  <si>
    <t xml:space="preserve">nf 1252896 1/1 - alicia</t>
  </si>
  <si>
    <t xml:space="preserve">NF 19509 2/3 - ALICIA</t>
  </si>
  <si>
    <t xml:space="preserve">RECIBO - 2/3 COMPRAS CIGARROS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</si>
  <si>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</si>
  <si>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</si>
  <si>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</si>
  <si>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</si>
  <si>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</si>
  <si>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</si>
  <si>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</si>
  <si>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34468 3/3 - ALICIA</t>
  </si>
  <si>
    <t xml:space="preserve">NF193402 1/2 -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</si>
  <si>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</si>
  <si>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</si>
  <si>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</si>
  <si>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</si>
  <si>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</si>
  <si>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</si>
  <si>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</si>
  <si>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SECRETARIA DE ESTADO DA FAZENDA DO AMAZONAS</t>
  </si>
  <si>
    <t xml:space="preserve">IMPOSTOS A PAGAR</t>
  </si>
  <si>
    <t xml:space="preserve">CTB</t>
  </si>
  <si>
    <t xml:space="preserve">(-) DEDUCOES DE VENDAS</t>
  </si>
  <si>
    <t xml:space="preserve">ICMS S/ VENDAS</t>
  </si>
  <si>
    <t xml:space="preserve">Título originado pela GIA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</si>
  <si>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</si>
  <si>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</si>
  <si>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</si>
  <si>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</si>
  <si>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</si>
  <si>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</si>
  <si>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</si>
  <si>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</si>
  <si>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</si>
  <si>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</si>
  <si>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</si>
  <si>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</si>
  <si>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</si>
  <si>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</si>
  <si>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</si>
  <si>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</si>
  <si>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27252 2/2 - ALICIA </t>
  </si>
  <si>
    <t xml:space="preserve">NF 2751 3/4 - ALICIA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</si>
  <si>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</si>
  <si>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</si>
  <si>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</si>
  <si>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</si>
  <si>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</si>
  <si>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</si>
  <si>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</si>
  <si>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</si>
  <si>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</si>
  <si>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</si>
  <si>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</si>
  <si>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</si>
  <si>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</si>
  <si>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PREVIA EMPRESTIMO AMAZONAS RENATO DEVOLVER 100I  </t>
  </si>
  <si>
    <t xml:space="preserve">NF 568665 2/2 - ALICIA</t>
  </si>
  <si>
    <t xml:space="preserve">NF 1704243 1/1 - ALICIA</t>
  </si>
  <si>
    <t xml:space="preserve">NF 3229254 1/4 - ALICIA</t>
  </si>
  <si>
    <t xml:space="preserve">GILBERTO SILVA NASCIMENTO</t>
  </si>
  <si>
    <t xml:space="preserve">NF 846 1/4 - ALICIA</t>
  </si>
  <si>
    <t xml:space="preserve">NF 1615570 2/3 - ALICIA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</si>
  <si>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</si>
  <si>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</si>
  <si>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</si>
  <si>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</si>
  <si>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</si>
  <si>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</si>
  <si>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</si>
  <si>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</si>
  <si>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</si>
  <si>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</si>
  <si>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</si>
  <si>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</si>
  <si>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</si>
  <si>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</si>
  <si>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</si>
  <si>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</si>
  <si>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</si>
  <si>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</si>
  <si>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</si>
  <si>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</si>
  <si>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</si>
  <si>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</si>
  <si>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</si>
  <si>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</si>
  <si>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</si>
  <si>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</si>
  <si>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SEGURO SANTANDER MO4 09/12 - KEILA</t>
  </si>
  <si>
    <t xml:space="preserve">PREVIA MENSALIDADE INSTAGRAM MO4 PARTE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</si>
  <si>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</si>
  <si>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</si>
  <si>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</si>
  <si>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</si>
  <si>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</si>
  <si>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</si>
  <si>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</si>
  <si>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</si>
  <si>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</si>
  <si>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</si>
  <si>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2751 4/4 - ALICIA </t>
  </si>
  <si>
    <t xml:space="preserve">NF 308737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</si>
  <si>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</si>
  <si>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</si>
  <si>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</si>
  <si>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</si>
  <si>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310154 1/3 - ALICIA</t>
  </si>
  <si>
    <t xml:space="preserve">NF 53548 1/3 - ALICIA</t>
  </si>
  <si>
    <t xml:space="preserve">NF 174518 2/2 - ALICIA</t>
  </si>
  <si>
    <t xml:space="preserve">PARC 44/48 EMPRESTIMO ENERGIA SOLAR - KEILA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</si>
  <si>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</si>
  <si>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</si>
  <si>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</si>
  <si>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</si>
  <si>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</si>
  <si>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</si>
  <si>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</si>
  <si>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1699133 3/3 - ALICIA</t>
  </si>
  <si>
    <t xml:space="preserve">NF 1413401 2/2 -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</si>
  <si>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</si>
  <si>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</si>
  <si>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</si>
  <si>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</si>
  <si>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</si>
  <si>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</si>
  <si>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</si>
  <si>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</si>
  <si>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</si>
  <si>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</si>
  <si>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</si>
  <si>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</si>
  <si>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</si>
  <si>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</si>
  <si>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MENS CONCILIACAO BANCARIA MO4 - KEILA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</si>
  <si>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</si>
  <si>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</si>
  <si>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</si>
  <si>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</si>
  <si>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</si>
  <si>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</si>
  <si>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</si>
  <si>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</si>
  <si>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</si>
  <si>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</si>
  <si>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</si>
  <si>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</si>
  <si>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</si>
  <si>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</si>
  <si>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</si>
  <si>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</si>
  <si>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</si>
  <si>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</si>
  <si>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</si>
  <si>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</si>
  <si>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</si>
  <si>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</si>
  <si>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12548 3/3 -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</si>
  <si>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</si>
  <si>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</si>
  <si>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</si>
  <si>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1703152 3/3 - ALICIA</t>
  </si>
  <si>
    <t xml:space="preserve">NF 310154 2/3 - ALICIA</t>
  </si>
  <si>
    <t xml:space="preserve">NF 53548 2/3 - ALICIA</t>
  </si>
  <si>
    <t xml:space="preserve">NF 3229254 3/4 - ALICIA</t>
  </si>
  <si>
    <t xml:space="preserve">NF 846 3/4 - ALICIA</t>
  </si>
  <si>
    <t xml:space="preserve">NF 224551 3/3 - ALICIA</t>
  </si>
  <si>
    <t xml:space="preserve">NF 356005 3/3 - ALICIA</t>
  </si>
  <si>
    <t xml:space="preserve">NF 7455920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</si>
  <si>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</si>
  <si>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</si>
  <si>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</si>
  <si>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</si>
  <si>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</si>
  <si>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</si>
  <si>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</si>
  <si>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</si>
  <si>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</si>
  <si>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</si>
  <si>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310154 3/3 - ALICIA</t>
  </si>
  <si>
    <t xml:space="preserve">NF 53548 3/3 -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</si>
  <si>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</si>
  <si>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</si>
  <si>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</si>
  <si>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889382 1/3 - ALICIA</t>
  </si>
  <si>
    <t xml:space="preserve">NF 1330 4/4 - ALICIA</t>
  </si>
  <si>
    <t xml:space="preserve">NF 1771475 3/4 - ALICIA</t>
  </si>
  <si>
    <t xml:space="preserve">NF 20469 1/1 - ALICIA</t>
  </si>
  <si>
    <t xml:space="preserve">PARC 07/10 MO4 LOJA - KEILA</t>
  </si>
  <si>
    <t xml:space="preserve">2/25 PARC EMPRESTIMO PAGAR CPF RENATO GUARDAR VALOR</t>
  </si>
  <si>
    <t xml:space="preserve">NF 1339 2/3 -DESPESAS COMPRAS ADUELA , FECHADURA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</si>
  <si>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</si>
  <si>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</si>
  <si>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</si>
  <si>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SEGURO SANTANDER MO4 10/12 - KEILA</t>
  </si>
  <si>
    <t xml:space="preserve">PARC 45/48 EMPRESTIMO ENERGIA SOLAR - KEILA</t>
  </si>
  <si>
    <t xml:space="preserve">NF 889382 2/3 -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</si>
  <si>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</si>
  <si>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</si>
  <si>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</si>
  <si>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PREVI 10/48 PARC EMPRESTIMO PARTE MO4 - PAGAR MO5</t>
  </si>
  <si>
    <t xml:space="preserve">CAPITALIZACAO ITAU 4 PARC 58/60 - KEILA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</si>
  <si>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</si>
  <si>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</si>
  <si>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</si>
  <si>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</si>
  <si>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</si>
  <si>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</si>
  <si>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</si>
  <si>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</si>
  <si>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</si>
  <si>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</si>
  <si>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</si>
  <si>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</si>
  <si>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</si>
  <si>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</si>
  <si>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</si>
  <si>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</si>
  <si>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</si>
  <si>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</si>
  <si>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</si>
  <si>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</si>
  <si>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</si>
  <si>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</si>
  <si>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</si>
  <si>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</si>
  <si>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</si>
  <si>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</si>
  <si>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</si>
  <si>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</si>
  <si>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</si>
  <si>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</si>
  <si>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</si>
  <si>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</si>
  <si>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</si>
  <si>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</si>
  <si>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</si>
  <si>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</si>
  <si>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</si>
  <si>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</si>
  <si>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</si>
  <si>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</si>
  <si>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</si>
  <si>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</si>
  <si>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</si>
  <si>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</si>
  <si>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</si>
  <si>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</si>
  <si>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</si>
  <si>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Salários</t>
  </si>
  <si>
    <t xml:space="preserve">n/d / a revisar</t>
  </si>
  <si>
    <t xml:space="preserve">Nota: as abas de resumo NAO incluem as classificacoes listadas em AE (lista editavel). Excluido do periodo: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</si>
  <si>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</si>
  <si>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</si>
  <si>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</si>
  <si>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</si>
  <si>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Outras Despesas</t>
  </si>
  <si>
    <t xml:space="preserve">Mercadorias P/Revenda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</si>
  <si>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</si>
  <si>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</si>
  <si>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</si>
  <si>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</si>
  <si>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</si>
  <si>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</si>
  <si>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</si>
  <si>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</si>
  <si>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</si>
  <si>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</si>
  <si>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</si>
  <si>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</si>
  <si>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</si>
  <si>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</si>
  <si>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</si>
  <si>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</si>
  <si>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</si>
  <si>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</si>
  <si>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</si>
  <si>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</si>
  <si>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</si>
  <si>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</si>
  <si>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</si>
  <si>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</si>
  <si>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</si>
  <si>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</si>
  <si>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</si>
  <si>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</si>
  <si>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</si>
  <si>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</si>
  <si>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</si>
  <si>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</si>
  <si>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</si>
  <si>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</si>
  <si>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</si>
  <si>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</si>
  <si>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</si>
  <si>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</si>
  <si>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</si>
  <si>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</si>
  <si>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</si>
  <si>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</si>
  <si>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</si>
  <si>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</si>
  <si>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</si>
  <si>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</si>
  <si>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</si>
  <si>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</si>
  <si>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</si>
  <si>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</si>
  <si>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</si>
  <si>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</si>
  <si>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</si>
  <si>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</si>
  <si>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</si>
  <si>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</si>
  <si>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</si>
  <si>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</si>
  <si>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</si>
  <si>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</si>
  <si>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</si>
  <si>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</si>
  <si>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</si>
  <si>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</si>
  <si>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</si>
  <si>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</si>
  <si>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</si>
  <si>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</si>
  <si>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</si>
  <si>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</si>
  <si>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</si>
  <si>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</si>
  <si>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</si>
  <si>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</si>
  <si>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</si>
  <si>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</si>
  <si>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</si>
  <si>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</si>
  <si>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</si>
  <si>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</si>
  <si>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</si>
  <si>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</si>
  <si>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</si>
  <si>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</si>
  <si>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</si>
  <si>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</si>
  <si>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</si>
  <si>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</si>
  <si>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</si>
  <si>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</si>
  <si>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</si>
  <si>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</si>
  <si>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</si>
  <si>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</si>
  <si>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</si>
  <si>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</si>
  <si>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</si>
  <si>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</si>
  <si>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</si>
  <si>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</si>
  <si>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</si>
  <si>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</si>
  <si>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</si>
  <si>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</si>
  <si>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</si>
  <si>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</si>
  <si>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</si>
  <si>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MO4</t>
  </si>
  <si>
    <t xml:space="preserve">Fonte: VENDA ANUAL MO4.xls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</si>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</sst>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mmm/yyyy"/>
    <numFmt numFmtId="170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9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1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54.75" hidden="false" customHeight="true" outlineLevel="0" collapsed="false">
      <c r="A10" s="10" t="n">
        <v>3</v>
      </c>
      <c r="B10" s="11" t="n">
        <v>46175</v>
      </c>
      <c r="C10" s="11" t="n">
        <v>46200</v>
      </c>
      <c r="D10" s="10" t="n">
        <v>1659</v>
      </c>
      <c r="E10" s="12" t="s">
        <v>30</v>
      </c>
      <c r="F10" s="10" t="n">
        <v>24</v>
      </c>
      <c r="G10" s="12" t="s">
        <v>31</v>
      </c>
      <c r="H10" s="10" t="n">
        <v>2110101</v>
      </c>
      <c r="I10" s="12" t="s">
        <v>32</v>
      </c>
      <c r="J10" s="10" t="n">
        <v>1197356</v>
      </c>
      <c r="L10" s="10" t="n">
        <v>8763152</v>
      </c>
      <c r="M10" s="12" t="s">
        <v>33</v>
      </c>
      <c r="N10" s="12" t="s">
        <v>34</v>
      </c>
      <c r="P10" s="10" t="n">
        <v>128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434.48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3</v>
      </c>
      <c r="B11" s="11" t="n">
        <v>46191</v>
      </c>
      <c r="C11" s="11" t="n">
        <v>46200</v>
      </c>
      <c r="D11" s="10" t="n">
        <v>1457</v>
      </c>
      <c r="E11" s="12" t="s">
        <v>39</v>
      </c>
      <c r="F11" s="10" t="n">
        <v>24</v>
      </c>
      <c r="G11" s="12" t="s">
        <v>31</v>
      </c>
      <c r="H11" s="10" t="n">
        <v>2110101</v>
      </c>
      <c r="I11" s="12" t="s">
        <v>32</v>
      </c>
      <c r="J11" s="10" t="n">
        <v>1268668</v>
      </c>
      <c r="L11" s="10" t="n">
        <v>11971</v>
      </c>
      <c r="M11" s="12" t="s">
        <v>33</v>
      </c>
      <c r="N11" s="12" t="s">
        <v>40</v>
      </c>
      <c r="P11" s="10" t="n">
        <v>128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180.27</v>
      </c>
      <c r="W11" s="13" t="n">
        <v>0</v>
      </c>
      <c r="X11" s="12" t="s">
        <v>41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45.75" hidden="false" customHeight="true" outlineLevel="0" collapsed="false">
      <c r="A12" s="10" t="n">
        <v>3</v>
      </c>
      <c r="B12" s="11" t="n">
        <v>46185</v>
      </c>
      <c r="C12" s="11" t="n">
        <v>46200</v>
      </c>
      <c r="D12" s="10" t="n">
        <v>1678</v>
      </c>
      <c r="E12" s="12" t="s">
        <v>42</v>
      </c>
      <c r="F12" s="10" t="n">
        <v>24</v>
      </c>
      <c r="G12" s="12" t="s">
        <v>31</v>
      </c>
      <c r="H12" s="10" t="n">
        <v>2110101</v>
      </c>
      <c r="I12" s="12" t="s">
        <v>32</v>
      </c>
      <c r="J12" s="10" t="n">
        <v>1243946</v>
      </c>
      <c r="L12" s="10" t="n">
        <v>2557321</v>
      </c>
      <c r="M12" s="12" t="s">
        <v>33</v>
      </c>
      <c r="N12" s="12" t="s">
        <v>34</v>
      </c>
      <c r="P12" s="10" t="n">
        <v>128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870.75</v>
      </c>
      <c r="W12" s="13" t="n">
        <v>0</v>
      </c>
      <c r="X12" s="12" t="s">
        <v>43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45.75" hidden="false" customHeight="true" outlineLevel="0" collapsed="false">
      <c r="A13" s="10" t="n">
        <v>3</v>
      </c>
      <c r="B13" s="11" t="n">
        <v>46191</v>
      </c>
      <c r="C13" s="11" t="n">
        <v>46200</v>
      </c>
      <c r="D13" s="10" t="n">
        <v>10038</v>
      </c>
      <c r="E13" s="12" t="s">
        <v>44</v>
      </c>
      <c r="F13" s="10" t="n">
        <v>24</v>
      </c>
      <c r="G13" s="12" t="s">
        <v>31</v>
      </c>
      <c r="H13" s="10" t="n">
        <v>2110101</v>
      </c>
      <c r="I13" s="12" t="s">
        <v>32</v>
      </c>
      <c r="J13" s="10" t="n">
        <v>1272618</v>
      </c>
      <c r="L13" s="10" t="n">
        <v>189834610</v>
      </c>
      <c r="M13" s="12" t="s">
        <v>33</v>
      </c>
      <c r="N13" s="12" t="s">
        <v>34</v>
      </c>
      <c r="P13" s="10" t="n">
        <v>128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432</v>
      </c>
      <c r="W13" s="13" t="n">
        <v>0</v>
      </c>
      <c r="X13" s="12" t="s">
        <v>45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27.75" hidden="false" customHeight="true" outlineLevel="0" collapsed="false">
      <c r="A14" s="10" t="n">
        <v>3</v>
      </c>
      <c r="B14" s="11" t="n">
        <v>46184</v>
      </c>
      <c r="C14" s="11" t="n">
        <v>46200</v>
      </c>
      <c r="D14" s="10" t="n">
        <v>1804</v>
      </c>
      <c r="E14" s="12" t="s">
        <v>46</v>
      </c>
      <c r="F14" s="10" t="n">
        <v>24</v>
      </c>
      <c r="G14" s="12" t="s">
        <v>31</v>
      </c>
      <c r="H14" s="10" t="n">
        <v>2110101</v>
      </c>
      <c r="I14" s="12" t="s">
        <v>32</v>
      </c>
      <c r="J14" s="10" t="n">
        <v>1244046</v>
      </c>
      <c r="L14" s="10" t="n">
        <v>326851</v>
      </c>
      <c r="M14" s="12" t="s">
        <v>33</v>
      </c>
      <c r="N14" s="12" t="s">
        <v>34</v>
      </c>
      <c r="P14" s="10" t="n">
        <v>128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467.19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27.75" hidden="false" customHeight="true" outlineLevel="0" collapsed="false">
      <c r="A15" s="10" t="n">
        <v>3</v>
      </c>
      <c r="B15" s="11" t="n">
        <v>46191</v>
      </c>
      <c r="C15" s="11" t="n">
        <v>46200</v>
      </c>
      <c r="D15" s="10" t="n">
        <v>1642</v>
      </c>
      <c r="E15" s="12" t="s">
        <v>48</v>
      </c>
      <c r="F15" s="10" t="n">
        <v>24</v>
      </c>
      <c r="G15" s="12" t="s">
        <v>31</v>
      </c>
      <c r="H15" s="10" t="n">
        <v>2110101</v>
      </c>
      <c r="I15" s="12" t="s">
        <v>32</v>
      </c>
      <c r="J15" s="10" t="n">
        <v>1269330</v>
      </c>
      <c r="L15" s="10" t="n">
        <v>1027742</v>
      </c>
      <c r="M15" s="12" t="s">
        <v>33</v>
      </c>
      <c r="N15" s="12" t="s">
        <v>40</v>
      </c>
      <c r="P15" s="10" t="n">
        <v>128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756.82</v>
      </c>
      <c r="W15" s="13" t="n">
        <v>0</v>
      </c>
      <c r="X15" s="12" t="s">
        <v>49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27.75" hidden="false" customHeight="true" outlineLevel="0" collapsed="false">
      <c r="A16" s="10" t="n">
        <v>3</v>
      </c>
      <c r="B16" s="11" t="n">
        <v>46183</v>
      </c>
      <c r="C16" s="11" t="n">
        <v>46200</v>
      </c>
      <c r="D16" s="10" t="n">
        <v>1601</v>
      </c>
      <c r="E16" s="12" t="s">
        <v>50</v>
      </c>
      <c r="F16" s="10" t="n">
        <v>24</v>
      </c>
      <c r="G16" s="12" t="s">
        <v>31</v>
      </c>
      <c r="H16" s="10" t="n">
        <v>2110101</v>
      </c>
      <c r="I16" s="12" t="s">
        <v>32</v>
      </c>
      <c r="J16" s="10" t="n">
        <v>1235976</v>
      </c>
      <c r="L16" s="10" t="n">
        <v>9383741</v>
      </c>
      <c r="M16" s="12" t="s">
        <v>33</v>
      </c>
      <c r="N16" s="12" t="s">
        <v>34</v>
      </c>
      <c r="P16" s="10" t="n">
        <v>128</v>
      </c>
      <c r="Q16" s="12" t="s">
        <v>35</v>
      </c>
      <c r="R16" s="12" t="s">
        <v>36</v>
      </c>
      <c r="S16" s="10" t="n">
        <v>1130101</v>
      </c>
      <c r="T16" s="12" t="s">
        <v>37</v>
      </c>
      <c r="U16" s="13" t="n">
        <v>504.27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3</v>
      </c>
      <c r="B17" s="11" t="n">
        <v>46192</v>
      </c>
      <c r="C17" s="11" t="n">
        <v>46200</v>
      </c>
      <c r="D17" s="10" t="n">
        <v>1828</v>
      </c>
      <c r="E17" s="12" t="s">
        <v>52</v>
      </c>
      <c r="F17" s="10" t="n">
        <v>24</v>
      </c>
      <c r="G17" s="12" t="s">
        <v>31</v>
      </c>
      <c r="H17" s="10" t="n">
        <v>2110101</v>
      </c>
      <c r="I17" s="12" t="s">
        <v>32</v>
      </c>
      <c r="J17" s="10" t="n">
        <v>1273027</v>
      </c>
      <c r="L17" s="10" t="n">
        <v>1340</v>
      </c>
      <c r="M17" s="12" t="s">
        <v>33</v>
      </c>
      <c r="N17" s="12" t="s">
        <v>40</v>
      </c>
      <c r="P17" s="10" t="n">
        <v>128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941.2</v>
      </c>
      <c r="W17" s="13" t="n">
        <v>0</v>
      </c>
      <c r="X17" s="12" t="s">
        <v>53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3</v>
      </c>
      <c r="B18" s="11" t="n">
        <v>46189</v>
      </c>
      <c r="C18" s="11" t="n">
        <v>46200</v>
      </c>
      <c r="D18" s="10" t="n">
        <v>1723</v>
      </c>
      <c r="E18" s="12" t="s">
        <v>54</v>
      </c>
      <c r="F18" s="10" t="n">
        <v>24</v>
      </c>
      <c r="G18" s="12" t="s">
        <v>31</v>
      </c>
      <c r="H18" s="10" t="n">
        <v>2110101</v>
      </c>
      <c r="I18" s="12" t="s">
        <v>32</v>
      </c>
      <c r="J18" s="10" t="n">
        <v>1272647</v>
      </c>
      <c r="L18" s="10" t="n">
        <v>53611</v>
      </c>
      <c r="M18" s="12" t="s">
        <v>33</v>
      </c>
      <c r="N18" s="12" t="s">
        <v>34</v>
      </c>
      <c r="P18" s="10" t="n">
        <v>128</v>
      </c>
      <c r="Q18" s="12" t="s">
        <v>35</v>
      </c>
      <c r="R18" s="12" t="s">
        <v>36</v>
      </c>
      <c r="S18" s="10" t="n">
        <v>1130101</v>
      </c>
      <c r="T18" s="12" t="s">
        <v>37</v>
      </c>
      <c r="U18" s="13" t="n">
        <v>4761.6</v>
      </c>
      <c r="W18" s="13" t="n">
        <v>0</v>
      </c>
      <c r="X18" s="12" t="s">
        <v>55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27.75" hidden="false" customHeight="true" outlineLevel="0" collapsed="false">
      <c r="A19" s="10" t="n">
        <v>3</v>
      </c>
      <c r="B19" s="11" t="n">
        <v>46189</v>
      </c>
      <c r="C19" s="11" t="n">
        <v>46200</v>
      </c>
      <c r="D19" s="10" t="n">
        <v>1723</v>
      </c>
      <c r="E19" s="12" t="s">
        <v>54</v>
      </c>
      <c r="F19" s="10" t="n">
        <v>24</v>
      </c>
      <c r="G19" s="12" t="s">
        <v>31</v>
      </c>
      <c r="H19" s="10" t="n">
        <v>2110101</v>
      </c>
      <c r="I19" s="12" t="s">
        <v>32</v>
      </c>
      <c r="J19" s="10" t="n">
        <v>1272655</v>
      </c>
      <c r="L19" s="10" t="n">
        <v>53512</v>
      </c>
      <c r="M19" s="12" t="s">
        <v>33</v>
      </c>
      <c r="N19" s="12" t="s">
        <v>34</v>
      </c>
      <c r="P19" s="10" t="n">
        <v>128</v>
      </c>
      <c r="Q19" s="12" t="s">
        <v>35</v>
      </c>
      <c r="R19" s="12" t="s">
        <v>36</v>
      </c>
      <c r="S19" s="10" t="n">
        <v>1130101</v>
      </c>
      <c r="T19" s="12" t="s">
        <v>37</v>
      </c>
      <c r="U19" s="13" t="n">
        <v>2882</v>
      </c>
      <c r="W19" s="13" t="n">
        <v>0</v>
      </c>
      <c r="X19" s="12" t="s">
        <v>56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36.75" hidden="false" customHeight="true" outlineLevel="0" collapsed="false">
      <c r="A20" s="10" t="n">
        <v>3</v>
      </c>
      <c r="B20" s="11" t="n">
        <v>46196</v>
      </c>
      <c r="C20" s="11" t="n">
        <v>46200</v>
      </c>
      <c r="D20" s="10" t="n">
        <v>1615</v>
      </c>
      <c r="E20" s="12" t="s">
        <v>57</v>
      </c>
      <c r="F20" s="10" t="n">
        <v>34</v>
      </c>
      <c r="G20" s="12" t="s">
        <v>58</v>
      </c>
      <c r="H20" s="10" t="n">
        <v>2110101</v>
      </c>
      <c r="I20" s="12" t="s">
        <v>32</v>
      </c>
      <c r="J20" s="10" t="n">
        <v>1295708</v>
      </c>
      <c r="L20" s="10" t="n">
        <v>202450</v>
      </c>
      <c r="M20" s="12" t="s">
        <v>33</v>
      </c>
      <c r="N20" s="12" t="s">
        <v>34</v>
      </c>
      <c r="P20" s="10" t="n">
        <v>128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296</v>
      </c>
      <c r="W20" s="13" t="n">
        <v>0</v>
      </c>
      <c r="X20" s="12" t="s">
        <v>59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0" t="n">
        <v>3</v>
      </c>
      <c r="B21" s="11" t="n">
        <v>46199</v>
      </c>
      <c r="C21" s="11" t="n">
        <v>46200</v>
      </c>
      <c r="D21" s="10" t="n">
        <v>1615</v>
      </c>
      <c r="E21" s="12" t="s">
        <v>57</v>
      </c>
      <c r="F21" s="10" t="n">
        <v>34</v>
      </c>
      <c r="G21" s="12" t="s">
        <v>58</v>
      </c>
      <c r="H21" s="10" t="n">
        <v>2110101</v>
      </c>
      <c r="I21" s="12" t="s">
        <v>32</v>
      </c>
      <c r="J21" s="10" t="n">
        <v>1309973</v>
      </c>
      <c r="L21" s="10" t="n">
        <v>204674</v>
      </c>
      <c r="M21" s="12" t="s">
        <v>33</v>
      </c>
      <c r="N21" s="12" t="s">
        <v>34</v>
      </c>
      <c r="P21" s="10" t="n">
        <v>129</v>
      </c>
      <c r="Q21" s="12" t="s">
        <v>60</v>
      </c>
      <c r="R21" s="12" t="s">
        <v>36</v>
      </c>
      <c r="S21" s="10" t="n">
        <v>1130101</v>
      </c>
      <c r="T21" s="12" t="s">
        <v>37</v>
      </c>
      <c r="U21" s="13" t="n">
        <v>148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72.75" hidden="false" customHeight="true" outlineLevel="0" collapsed="false">
      <c r="A22" s="10" t="n">
        <v>3</v>
      </c>
      <c r="B22" s="11" t="n">
        <v>46178</v>
      </c>
      <c r="C22" s="11" t="n">
        <v>46200</v>
      </c>
      <c r="D22" s="10" t="n">
        <v>1911</v>
      </c>
      <c r="E22" s="12" t="s">
        <v>62</v>
      </c>
      <c r="F22" s="10" t="n">
        <v>24</v>
      </c>
      <c r="G22" s="12" t="s">
        <v>31</v>
      </c>
      <c r="H22" s="10" t="n">
        <v>2110405</v>
      </c>
      <c r="I22" s="12" t="s">
        <v>63</v>
      </c>
      <c r="J22" s="10" t="n">
        <v>1210748</v>
      </c>
      <c r="L22" s="10" t="n">
        <v>653752</v>
      </c>
      <c r="M22" s="12" t="s">
        <v>33</v>
      </c>
      <c r="N22" s="12" t="s">
        <v>34</v>
      </c>
      <c r="P22" s="10" t="n">
        <v>128</v>
      </c>
      <c r="Q22" s="12" t="s">
        <v>35</v>
      </c>
      <c r="R22" s="12" t="s">
        <v>64</v>
      </c>
      <c r="S22" s="10" t="n">
        <v>4210227</v>
      </c>
      <c r="T22" s="12" t="s">
        <v>65</v>
      </c>
      <c r="U22" s="13" t="n">
        <v>462.4</v>
      </c>
      <c r="W22" s="13" t="n">
        <v>0</v>
      </c>
      <c r="X22" s="12" t="s">
        <v>66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</row>
    <row r="23" customFormat="false" ht="72.75" hidden="false" customHeight="true" outlineLevel="0" collapsed="false">
      <c r="A23" s="10" t="n">
        <v>3</v>
      </c>
      <c r="B23" s="11" t="n">
        <v>46170</v>
      </c>
      <c r="C23" s="11" t="n">
        <v>46200</v>
      </c>
      <c r="D23" s="10" t="n">
        <v>1718</v>
      </c>
      <c r="E23" s="12" t="s">
        <v>67</v>
      </c>
      <c r="F23" s="10" t="n">
        <v>24</v>
      </c>
      <c r="G23" s="12" t="s">
        <v>31</v>
      </c>
      <c r="H23" s="10" t="n">
        <v>2110101</v>
      </c>
      <c r="I23" s="12" t="s">
        <v>32</v>
      </c>
      <c r="J23" s="10" t="n">
        <v>1210593</v>
      </c>
      <c r="L23" s="10" t="n">
        <v>7937243</v>
      </c>
      <c r="M23" s="12" t="s">
        <v>33</v>
      </c>
      <c r="N23" s="12" t="s">
        <v>34</v>
      </c>
      <c r="P23" s="10" t="n">
        <v>128</v>
      </c>
      <c r="Q23" s="12" t="s">
        <v>35</v>
      </c>
      <c r="R23" s="12" t="s">
        <v>36</v>
      </c>
      <c r="S23" s="10" t="n">
        <v>1130101</v>
      </c>
      <c r="T23" s="12" t="s">
        <v>37</v>
      </c>
      <c r="U23" s="13" t="n">
        <v>647.83</v>
      </c>
      <c r="W23" s="13" t="n">
        <v>0</v>
      </c>
      <c r="X23" s="12" t="s">
        <v>68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3</v>
      </c>
      <c r="B24" s="11" t="n">
        <v>46162</v>
      </c>
      <c r="C24" s="11" t="n">
        <v>46200</v>
      </c>
      <c r="D24" s="10" t="n">
        <v>1608</v>
      </c>
      <c r="E24" s="12" t="s">
        <v>69</v>
      </c>
      <c r="F24" s="10" t="n">
        <v>24</v>
      </c>
      <c r="G24" s="12" t="s">
        <v>31</v>
      </c>
      <c r="H24" s="10" t="n">
        <v>2110101</v>
      </c>
      <c r="I24" s="12" t="s">
        <v>32</v>
      </c>
      <c r="J24" s="10" t="n">
        <v>1136594</v>
      </c>
      <c r="L24" s="10" t="n">
        <v>16588913</v>
      </c>
      <c r="M24" s="12" t="s">
        <v>33</v>
      </c>
      <c r="N24" s="12" t="s">
        <v>34</v>
      </c>
      <c r="P24" s="10" t="n">
        <v>128</v>
      </c>
      <c r="Q24" s="12" t="s">
        <v>35</v>
      </c>
      <c r="R24" s="12" t="s">
        <v>36</v>
      </c>
      <c r="S24" s="10" t="n">
        <v>1130101</v>
      </c>
      <c r="T24" s="12" t="s">
        <v>37</v>
      </c>
      <c r="U24" s="13" t="n">
        <v>578.43</v>
      </c>
      <c r="W24" s="13" t="n">
        <v>0</v>
      </c>
      <c r="X24" s="12" t="s">
        <v>70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0" t="n">
        <v>3</v>
      </c>
      <c r="B25" s="11" t="n">
        <v>46176</v>
      </c>
      <c r="C25" s="11" t="n">
        <v>46200</v>
      </c>
      <c r="D25" s="10" t="n">
        <v>1608</v>
      </c>
      <c r="E25" s="12" t="s">
        <v>69</v>
      </c>
      <c r="F25" s="10" t="n">
        <v>24</v>
      </c>
      <c r="G25" s="12" t="s">
        <v>31</v>
      </c>
      <c r="H25" s="10" t="n">
        <v>2110101</v>
      </c>
      <c r="I25" s="12" t="s">
        <v>32</v>
      </c>
      <c r="J25" s="10" t="n">
        <v>1205831</v>
      </c>
      <c r="L25" s="10" t="n">
        <v>16679322</v>
      </c>
      <c r="M25" s="12" t="s">
        <v>33</v>
      </c>
      <c r="N25" s="12" t="s">
        <v>34</v>
      </c>
      <c r="P25" s="10" t="n">
        <v>128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712.11</v>
      </c>
      <c r="W25" s="13" t="n">
        <v>0</v>
      </c>
      <c r="X25" s="12" t="s">
        <v>71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0" t="n">
        <v>3</v>
      </c>
      <c r="B26" s="11" t="n">
        <v>46184</v>
      </c>
      <c r="C26" s="11" t="n">
        <v>46200</v>
      </c>
      <c r="D26" s="10" t="n">
        <v>1616</v>
      </c>
      <c r="E26" s="12" t="s">
        <v>72</v>
      </c>
      <c r="F26" s="10" t="n">
        <v>24</v>
      </c>
      <c r="G26" s="12" t="s">
        <v>31</v>
      </c>
      <c r="H26" s="10" t="n">
        <v>2110101</v>
      </c>
      <c r="I26" s="12" t="s">
        <v>32</v>
      </c>
      <c r="J26" s="10" t="n">
        <v>1244012</v>
      </c>
      <c r="L26" s="10" t="n">
        <v>6457681</v>
      </c>
      <c r="M26" s="12" t="s">
        <v>33</v>
      </c>
      <c r="N26" s="12" t="s">
        <v>34</v>
      </c>
      <c r="P26" s="10" t="n">
        <v>128</v>
      </c>
      <c r="Q26" s="12" t="s">
        <v>35</v>
      </c>
      <c r="R26" s="12" t="s">
        <v>36</v>
      </c>
      <c r="S26" s="10" t="n">
        <v>1130101</v>
      </c>
      <c r="T26" s="12" t="s">
        <v>37</v>
      </c>
      <c r="U26" s="13" t="n">
        <v>858.24</v>
      </c>
      <c r="W26" s="13" t="n">
        <v>0</v>
      </c>
      <c r="X26" s="12" t="s">
        <v>73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3</v>
      </c>
      <c r="B27" s="11" t="n">
        <v>46183</v>
      </c>
      <c r="C27" s="11" t="n">
        <v>46200</v>
      </c>
      <c r="D27" s="10" t="n">
        <v>794</v>
      </c>
      <c r="E27" s="12" t="s">
        <v>74</v>
      </c>
      <c r="F27" s="10" t="n">
        <v>24</v>
      </c>
      <c r="G27" s="12" t="s">
        <v>31</v>
      </c>
      <c r="H27" s="10" t="n">
        <v>2110101</v>
      </c>
      <c r="I27" s="12" t="s">
        <v>32</v>
      </c>
      <c r="J27" s="10" t="n">
        <v>1230846</v>
      </c>
      <c r="L27" s="10" t="n">
        <v>48801</v>
      </c>
      <c r="M27" s="12" t="s">
        <v>33</v>
      </c>
      <c r="N27" s="12" t="s">
        <v>34</v>
      </c>
      <c r="P27" s="10" t="n">
        <v>128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496.03</v>
      </c>
      <c r="W27" s="13" t="n">
        <v>0</v>
      </c>
      <c r="X27" s="12" t="s">
        <v>75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3</v>
      </c>
      <c r="B28" s="11" t="n">
        <v>46191</v>
      </c>
      <c r="C28" s="11" t="n">
        <v>46200</v>
      </c>
      <c r="D28" s="10" t="n">
        <v>10063</v>
      </c>
      <c r="E28" s="12" t="s">
        <v>76</v>
      </c>
      <c r="F28" s="10" t="n">
        <v>24</v>
      </c>
      <c r="G28" s="12" t="s">
        <v>31</v>
      </c>
      <c r="H28" s="10" t="n">
        <v>2110101</v>
      </c>
      <c r="I28" s="12" t="s">
        <v>32</v>
      </c>
      <c r="J28" s="10" t="n">
        <v>1272635</v>
      </c>
      <c r="L28" s="10" t="n">
        <v>2347</v>
      </c>
      <c r="M28" s="12" t="s">
        <v>33</v>
      </c>
      <c r="N28" s="12" t="s">
        <v>34</v>
      </c>
      <c r="P28" s="10" t="n">
        <v>128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1865</v>
      </c>
      <c r="W28" s="13" t="n">
        <v>0</v>
      </c>
      <c r="X28" s="12" t="s">
        <v>77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3</v>
      </c>
      <c r="B29" s="11" t="n">
        <v>46170</v>
      </c>
      <c r="C29" s="11" t="n">
        <v>46200</v>
      </c>
      <c r="D29" s="10" t="n">
        <v>1715</v>
      </c>
      <c r="E29" s="12" t="s">
        <v>78</v>
      </c>
      <c r="F29" s="10" t="n">
        <v>24</v>
      </c>
      <c r="G29" s="12" t="s">
        <v>31</v>
      </c>
      <c r="H29" s="10" t="n">
        <v>2110101</v>
      </c>
      <c r="I29" s="12" t="s">
        <v>32</v>
      </c>
      <c r="J29" s="10" t="n">
        <v>1171273</v>
      </c>
      <c r="L29" s="10" t="n">
        <v>1897972</v>
      </c>
      <c r="M29" s="12" t="s">
        <v>33</v>
      </c>
      <c r="N29" s="12" t="s">
        <v>34</v>
      </c>
      <c r="P29" s="10" t="n">
        <v>128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1138.78</v>
      </c>
      <c r="W29" s="13" t="n">
        <v>0</v>
      </c>
      <c r="X29" s="12" t="s">
        <v>79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3</v>
      </c>
      <c r="B30" s="11" t="n">
        <v>46170</v>
      </c>
      <c r="C30" s="11" t="n">
        <v>46200</v>
      </c>
      <c r="D30" s="10" t="n">
        <v>1715</v>
      </c>
      <c r="E30" s="12" t="s">
        <v>78</v>
      </c>
      <c r="F30" s="10" t="n">
        <v>24</v>
      </c>
      <c r="G30" s="12" t="s">
        <v>31</v>
      </c>
      <c r="H30" s="10" t="n">
        <v>2110101</v>
      </c>
      <c r="I30" s="12" t="s">
        <v>32</v>
      </c>
      <c r="J30" s="10" t="n">
        <v>1171299</v>
      </c>
      <c r="L30" s="10" t="n">
        <v>1897992</v>
      </c>
      <c r="M30" s="12" t="s">
        <v>33</v>
      </c>
      <c r="N30" s="12" t="s">
        <v>34</v>
      </c>
      <c r="P30" s="10" t="n">
        <v>128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485.13</v>
      </c>
      <c r="W30" s="13" t="n">
        <v>0</v>
      </c>
      <c r="X30" s="12" t="s">
        <v>80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3</v>
      </c>
      <c r="B31" s="11" t="n">
        <v>46161</v>
      </c>
      <c r="C31" s="11" t="n">
        <v>46200</v>
      </c>
      <c r="D31" s="10" t="n">
        <v>10037</v>
      </c>
      <c r="E31" s="12" t="s">
        <v>81</v>
      </c>
      <c r="F31" s="10" t="n">
        <v>24</v>
      </c>
      <c r="G31" s="12" t="s">
        <v>31</v>
      </c>
      <c r="H31" s="10" t="n">
        <v>2110101</v>
      </c>
      <c r="I31" s="12" t="s">
        <v>32</v>
      </c>
      <c r="J31" s="10" t="n">
        <v>1128083</v>
      </c>
      <c r="L31" s="10" t="n">
        <v>21043</v>
      </c>
      <c r="M31" s="12" t="s">
        <v>33</v>
      </c>
      <c r="N31" s="12" t="s">
        <v>34</v>
      </c>
      <c r="P31" s="10" t="n">
        <v>128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670.83</v>
      </c>
      <c r="W31" s="13" t="n">
        <v>0</v>
      </c>
      <c r="X31" s="12" t="s">
        <v>82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3</v>
      </c>
      <c r="B32" s="11" t="n">
        <v>46176</v>
      </c>
      <c r="C32" s="11" t="n">
        <v>46200</v>
      </c>
      <c r="D32" s="10" t="n">
        <v>1816</v>
      </c>
      <c r="E32" s="12" t="s">
        <v>83</v>
      </c>
      <c r="F32" s="10" t="n">
        <v>24</v>
      </c>
      <c r="G32" s="12" t="s">
        <v>31</v>
      </c>
      <c r="H32" s="10" t="n">
        <v>2110101</v>
      </c>
      <c r="I32" s="12" t="s">
        <v>32</v>
      </c>
      <c r="J32" s="10" t="n">
        <v>1260187</v>
      </c>
      <c r="L32" s="10" t="n">
        <v>545752</v>
      </c>
      <c r="M32" s="12" t="s">
        <v>33</v>
      </c>
      <c r="N32" s="12" t="s">
        <v>34</v>
      </c>
      <c r="P32" s="10" t="n">
        <v>128</v>
      </c>
      <c r="Q32" s="12" t="s">
        <v>35</v>
      </c>
      <c r="R32" s="12" t="s">
        <v>36</v>
      </c>
      <c r="S32" s="10" t="n">
        <v>1130101</v>
      </c>
      <c r="T32" s="12" t="s">
        <v>37</v>
      </c>
      <c r="U32" s="13" t="n">
        <v>1094.25</v>
      </c>
      <c r="W32" s="13" t="n">
        <v>0</v>
      </c>
      <c r="X32" s="12" t="s">
        <v>84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3</v>
      </c>
      <c r="B33" s="11" t="n">
        <v>46191</v>
      </c>
      <c r="C33" s="11" t="n">
        <v>46200</v>
      </c>
      <c r="D33" s="10" t="n">
        <v>1609</v>
      </c>
      <c r="E33" s="12" t="s">
        <v>85</v>
      </c>
      <c r="F33" s="10" t="n">
        <v>24</v>
      </c>
      <c r="G33" s="12" t="s">
        <v>31</v>
      </c>
      <c r="H33" s="10" t="n">
        <v>2110101</v>
      </c>
      <c r="I33" s="12" t="s">
        <v>32</v>
      </c>
      <c r="J33" s="10" t="n">
        <v>1270052</v>
      </c>
      <c r="L33" s="10" t="n">
        <v>5672</v>
      </c>
      <c r="M33" s="12" t="s">
        <v>33</v>
      </c>
      <c r="N33" s="12" t="s">
        <v>40</v>
      </c>
      <c r="P33" s="10" t="n">
        <v>128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566</v>
      </c>
      <c r="W33" s="13" t="n">
        <v>0</v>
      </c>
      <c r="X33" s="12" t="s">
        <v>86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3</v>
      </c>
      <c r="B34" s="11" t="n">
        <v>46168</v>
      </c>
      <c r="C34" s="11" t="n">
        <v>46200</v>
      </c>
      <c r="D34" s="10" t="n">
        <v>1699</v>
      </c>
      <c r="E34" s="12" t="s">
        <v>87</v>
      </c>
      <c r="F34" s="10" t="n">
        <v>24</v>
      </c>
      <c r="G34" s="12" t="s">
        <v>31</v>
      </c>
      <c r="H34" s="10" t="n">
        <v>2110101</v>
      </c>
      <c r="I34" s="12" t="s">
        <v>32</v>
      </c>
      <c r="J34" s="10" t="n">
        <v>1161695</v>
      </c>
      <c r="L34" s="10" t="n">
        <v>3023913</v>
      </c>
      <c r="M34" s="12" t="s">
        <v>33</v>
      </c>
      <c r="N34" s="12" t="s">
        <v>34</v>
      </c>
      <c r="P34" s="10" t="n">
        <v>128</v>
      </c>
      <c r="Q34" s="12" t="s">
        <v>35</v>
      </c>
      <c r="R34" s="12" t="s">
        <v>36</v>
      </c>
      <c r="S34" s="10" t="n">
        <v>1130101</v>
      </c>
      <c r="T34" s="12" t="s">
        <v>37</v>
      </c>
      <c r="U34" s="13" t="n">
        <v>1210.96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3</v>
      </c>
      <c r="B35" s="11" t="n">
        <v>46183</v>
      </c>
      <c r="C35" s="11" t="n">
        <v>46200</v>
      </c>
      <c r="D35" s="10" t="n">
        <v>1699</v>
      </c>
      <c r="E35" s="12" t="s">
        <v>87</v>
      </c>
      <c r="F35" s="10" t="n">
        <v>24</v>
      </c>
      <c r="G35" s="12" t="s">
        <v>31</v>
      </c>
      <c r="H35" s="10" t="n">
        <v>2110101</v>
      </c>
      <c r="I35" s="12" t="s">
        <v>32</v>
      </c>
      <c r="J35" s="10" t="n">
        <v>1235703</v>
      </c>
      <c r="L35" s="10" t="n">
        <v>3041741</v>
      </c>
      <c r="M35" s="12" t="s">
        <v>33</v>
      </c>
      <c r="N35" s="12" t="s">
        <v>34</v>
      </c>
      <c r="P35" s="10" t="n">
        <v>128</v>
      </c>
      <c r="Q35" s="12" t="s">
        <v>35</v>
      </c>
      <c r="R35" s="12" t="s">
        <v>36</v>
      </c>
      <c r="S35" s="10" t="n">
        <v>1130101</v>
      </c>
      <c r="T35" s="12" t="s">
        <v>37</v>
      </c>
      <c r="U35" s="13" t="n">
        <v>1244.8</v>
      </c>
      <c r="W35" s="13" t="n">
        <v>0</v>
      </c>
      <c r="X35" s="12" t="s">
        <v>89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3</v>
      </c>
      <c r="B36" s="11" t="n">
        <v>46200</v>
      </c>
      <c r="C36" s="11" t="n">
        <v>46200</v>
      </c>
      <c r="D36" s="10" t="n">
        <v>1721</v>
      </c>
      <c r="E36" s="12" t="s">
        <v>90</v>
      </c>
      <c r="F36" s="10" t="n">
        <v>13</v>
      </c>
      <c r="G36" s="12" t="s">
        <v>91</v>
      </c>
      <c r="H36" s="10" t="n">
        <v>2110101</v>
      </c>
      <c r="I36" s="12" t="s">
        <v>32</v>
      </c>
      <c r="J36" s="10" t="n">
        <v>1321565</v>
      </c>
      <c r="L36" s="10" t="n">
        <v>1286</v>
      </c>
      <c r="M36" s="12" t="s">
        <v>33</v>
      </c>
      <c r="N36" s="12" t="s">
        <v>40</v>
      </c>
      <c r="P36" s="10" t="n">
        <v>128</v>
      </c>
      <c r="Q36" s="12" t="s">
        <v>35</v>
      </c>
      <c r="R36" s="12" t="s">
        <v>36</v>
      </c>
      <c r="S36" s="10" t="n">
        <v>1130101</v>
      </c>
      <c r="T36" s="12" t="s">
        <v>37</v>
      </c>
      <c r="U36" s="13" t="n">
        <v>208.5</v>
      </c>
      <c r="W36" s="13" t="n">
        <v>208.5</v>
      </c>
      <c r="X36" s="12" t="s">
        <v>92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3</v>
      </c>
      <c r="B37" s="11" t="n">
        <v>46178</v>
      </c>
      <c r="C37" s="11" t="n">
        <v>46200</v>
      </c>
      <c r="D37" s="10" t="n">
        <v>1672</v>
      </c>
      <c r="E37" s="12" t="s">
        <v>93</v>
      </c>
      <c r="F37" s="10" t="n">
        <v>24</v>
      </c>
      <c r="G37" s="12" t="s">
        <v>31</v>
      </c>
      <c r="H37" s="10" t="n">
        <v>2110101</v>
      </c>
      <c r="I37" s="12" t="s">
        <v>32</v>
      </c>
      <c r="J37" s="10" t="n">
        <v>1221411</v>
      </c>
      <c r="L37" s="10" t="n">
        <v>13641662</v>
      </c>
      <c r="M37" s="12" t="s">
        <v>33</v>
      </c>
      <c r="N37" s="12" t="s">
        <v>34</v>
      </c>
      <c r="P37" s="10" t="n">
        <v>128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630.75</v>
      </c>
      <c r="W37" s="13" t="n">
        <v>0</v>
      </c>
      <c r="X37" s="12" t="s">
        <v>94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3</v>
      </c>
      <c r="B38" s="11" t="n">
        <v>46161</v>
      </c>
      <c r="C38" s="11" t="n">
        <v>46200</v>
      </c>
      <c r="D38" s="10" t="n">
        <v>1675</v>
      </c>
      <c r="E38" s="12" t="s">
        <v>95</v>
      </c>
      <c r="F38" s="10" t="n">
        <v>24</v>
      </c>
      <c r="G38" s="12" t="s">
        <v>31</v>
      </c>
      <c r="H38" s="10" t="n">
        <v>2110101</v>
      </c>
      <c r="I38" s="12" t="s">
        <v>32</v>
      </c>
      <c r="J38" s="10" t="n">
        <v>1131768</v>
      </c>
      <c r="L38" s="10" t="n">
        <v>4910423</v>
      </c>
      <c r="M38" s="12" t="s">
        <v>33</v>
      </c>
      <c r="N38" s="12" t="s">
        <v>34</v>
      </c>
      <c r="P38" s="10" t="n">
        <v>128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750.73</v>
      </c>
      <c r="W38" s="13" t="n">
        <v>0</v>
      </c>
      <c r="X38" s="12" t="s">
        <v>96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3</v>
      </c>
      <c r="B39" s="11" t="n">
        <v>46195</v>
      </c>
      <c r="C39" s="11" t="n">
        <v>46200</v>
      </c>
      <c r="D39" s="10" t="n">
        <v>1625</v>
      </c>
      <c r="E39" s="12" t="s">
        <v>97</v>
      </c>
      <c r="F39" s="10" t="n">
        <v>24</v>
      </c>
      <c r="G39" s="12" t="s">
        <v>31</v>
      </c>
      <c r="H39" s="10" t="n">
        <v>2110101</v>
      </c>
      <c r="I39" s="12" t="s">
        <v>32</v>
      </c>
      <c r="J39" s="10" t="n">
        <v>1290729</v>
      </c>
      <c r="L39" s="10" t="n">
        <v>145281</v>
      </c>
      <c r="M39" s="12" t="s">
        <v>33</v>
      </c>
      <c r="N39" s="12" t="s">
        <v>34</v>
      </c>
      <c r="P39" s="10" t="n">
        <v>128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5950.93</v>
      </c>
      <c r="W39" s="13" t="n">
        <v>0</v>
      </c>
      <c r="X39" s="12" t="s">
        <v>98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3</v>
      </c>
      <c r="B40" s="11" t="n">
        <v>46188</v>
      </c>
      <c r="C40" s="11" t="n">
        <v>46200</v>
      </c>
      <c r="D40" s="10" t="n">
        <v>10009</v>
      </c>
      <c r="E40" s="12" t="s">
        <v>99</v>
      </c>
      <c r="F40" s="10" t="n">
        <v>24</v>
      </c>
      <c r="G40" s="12" t="s">
        <v>31</v>
      </c>
      <c r="H40" s="10" t="n">
        <v>2110101</v>
      </c>
      <c r="I40" s="12" t="s">
        <v>32</v>
      </c>
      <c r="J40" s="10" t="n">
        <v>1255829</v>
      </c>
      <c r="L40" s="10" t="n">
        <v>1415342</v>
      </c>
      <c r="M40" s="12" t="s">
        <v>33</v>
      </c>
      <c r="N40" s="12" t="s">
        <v>40</v>
      </c>
      <c r="P40" s="10" t="n">
        <v>128</v>
      </c>
      <c r="Q40" s="12" t="s">
        <v>35</v>
      </c>
      <c r="R40" s="12" t="s">
        <v>36</v>
      </c>
      <c r="S40" s="10" t="n">
        <v>1130101</v>
      </c>
      <c r="T40" s="12" t="s">
        <v>37</v>
      </c>
      <c r="U40" s="13" t="n">
        <v>716.75</v>
      </c>
      <c r="W40" s="13" t="n">
        <v>0</v>
      </c>
      <c r="X40" s="12" t="s">
        <v>100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3</v>
      </c>
      <c r="B41" s="11" t="n">
        <v>46178</v>
      </c>
      <c r="C41" s="11" t="n">
        <v>46200</v>
      </c>
      <c r="D41" s="10" t="n">
        <v>666</v>
      </c>
      <c r="E41" s="12" t="s">
        <v>101</v>
      </c>
      <c r="F41" s="10" t="n">
        <v>24</v>
      </c>
      <c r="G41" s="12" t="s">
        <v>31</v>
      </c>
      <c r="H41" s="10" t="n">
        <v>2110101</v>
      </c>
      <c r="I41" s="12" t="s">
        <v>32</v>
      </c>
      <c r="J41" s="10" t="n">
        <v>1206841</v>
      </c>
      <c r="L41" s="10" t="n">
        <v>77112</v>
      </c>
      <c r="M41" s="12" t="s">
        <v>33</v>
      </c>
      <c r="N41" s="12" t="s">
        <v>34</v>
      </c>
      <c r="P41" s="10" t="n">
        <v>128</v>
      </c>
      <c r="Q41" s="12" t="s">
        <v>35</v>
      </c>
      <c r="R41" s="12" t="s">
        <v>36</v>
      </c>
      <c r="S41" s="10" t="n">
        <v>1130101</v>
      </c>
      <c r="T41" s="12" t="s">
        <v>37</v>
      </c>
      <c r="U41" s="13" t="n">
        <v>755.9</v>
      </c>
      <c r="W41" s="13" t="n">
        <v>0</v>
      </c>
      <c r="X41" s="12" t="s">
        <v>102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3</v>
      </c>
      <c r="B42" s="11" t="n">
        <v>46169</v>
      </c>
      <c r="C42" s="11" t="n">
        <v>46200</v>
      </c>
      <c r="D42" s="10" t="n">
        <v>1107</v>
      </c>
      <c r="E42" s="12" t="s">
        <v>103</v>
      </c>
      <c r="F42" s="10" t="n">
        <v>24</v>
      </c>
      <c r="G42" s="12" t="s">
        <v>31</v>
      </c>
      <c r="H42" s="10" t="n">
        <v>2110101</v>
      </c>
      <c r="I42" s="12" t="s">
        <v>32</v>
      </c>
      <c r="J42" s="10" t="n">
        <v>1165995</v>
      </c>
      <c r="L42" s="10" t="n">
        <v>4086373</v>
      </c>
      <c r="M42" s="12" t="s">
        <v>33</v>
      </c>
      <c r="N42" s="12" t="s">
        <v>34</v>
      </c>
      <c r="P42" s="10" t="n">
        <v>128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654.5</v>
      </c>
      <c r="W42" s="13" t="n">
        <v>0</v>
      </c>
      <c r="X42" s="12" t="s">
        <v>104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3</v>
      </c>
      <c r="B43" s="11" t="n">
        <v>46170</v>
      </c>
      <c r="C43" s="11" t="n">
        <v>46200</v>
      </c>
      <c r="D43" s="10" t="n">
        <v>1107</v>
      </c>
      <c r="E43" s="12" t="s">
        <v>103</v>
      </c>
      <c r="F43" s="10" t="n">
        <v>24</v>
      </c>
      <c r="G43" s="12" t="s">
        <v>31</v>
      </c>
      <c r="H43" s="10" t="n">
        <v>2110101</v>
      </c>
      <c r="I43" s="12" t="s">
        <v>32</v>
      </c>
      <c r="J43" s="10" t="n">
        <v>1171582</v>
      </c>
      <c r="L43" s="10" t="n">
        <v>4102093</v>
      </c>
      <c r="M43" s="12" t="s">
        <v>33</v>
      </c>
      <c r="N43" s="12" t="s">
        <v>34</v>
      </c>
      <c r="P43" s="10" t="n">
        <v>128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811.74</v>
      </c>
      <c r="W43" s="13" t="n">
        <v>0</v>
      </c>
      <c r="X43" s="12" t="s">
        <v>105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3</v>
      </c>
      <c r="B44" s="11" t="n">
        <v>46196</v>
      </c>
      <c r="C44" s="11" t="n">
        <v>46200</v>
      </c>
      <c r="D44" s="10" t="n">
        <v>42</v>
      </c>
      <c r="E44" s="12" t="s">
        <v>106</v>
      </c>
      <c r="F44" s="10" t="n">
        <v>34</v>
      </c>
      <c r="G44" s="12" t="s">
        <v>58</v>
      </c>
      <c r="H44" s="10" t="n">
        <v>2110101</v>
      </c>
      <c r="I44" s="12" t="s">
        <v>32</v>
      </c>
      <c r="J44" s="10" t="n">
        <v>1295664</v>
      </c>
      <c r="L44" s="10" t="n">
        <v>4303</v>
      </c>
      <c r="M44" s="12" t="s">
        <v>33</v>
      </c>
      <c r="N44" s="12" t="s">
        <v>40</v>
      </c>
      <c r="P44" s="10" t="n">
        <v>128</v>
      </c>
      <c r="Q44" s="12" t="s">
        <v>35</v>
      </c>
      <c r="R44" s="12" t="s">
        <v>36</v>
      </c>
      <c r="S44" s="10" t="n">
        <v>1130101</v>
      </c>
      <c r="T44" s="12" t="s">
        <v>37</v>
      </c>
      <c r="U44" s="13" t="n">
        <v>2570.5</v>
      </c>
      <c r="W44" s="13" t="n">
        <v>0</v>
      </c>
      <c r="X44" s="12" t="s">
        <v>107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3</v>
      </c>
      <c r="B45" s="11" t="n">
        <v>46200</v>
      </c>
      <c r="C45" s="11" t="n">
        <v>46200</v>
      </c>
      <c r="D45" s="10" t="n">
        <v>42</v>
      </c>
      <c r="E45" s="12" t="s">
        <v>106</v>
      </c>
      <c r="F45" s="10" t="n">
        <v>13</v>
      </c>
      <c r="G45" s="12" t="s">
        <v>91</v>
      </c>
      <c r="H45" s="10" t="n">
        <v>2110101</v>
      </c>
      <c r="I45" s="12" t="s">
        <v>32</v>
      </c>
      <c r="J45" s="10" t="n">
        <v>1312572</v>
      </c>
      <c r="L45" s="10" t="n">
        <v>4311</v>
      </c>
      <c r="M45" s="12" t="s">
        <v>33</v>
      </c>
      <c r="N45" s="12" t="s">
        <v>40</v>
      </c>
      <c r="P45" s="10" t="n">
        <v>128</v>
      </c>
      <c r="Q45" s="12" t="s">
        <v>35</v>
      </c>
      <c r="R45" s="12" t="s">
        <v>36</v>
      </c>
      <c r="S45" s="10" t="n">
        <v>1130101</v>
      </c>
      <c r="T45" s="12" t="s">
        <v>37</v>
      </c>
      <c r="U45" s="13" t="n">
        <v>385</v>
      </c>
      <c r="W45" s="13" t="n">
        <v>385</v>
      </c>
      <c r="X45" s="12" t="s">
        <v>108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3</v>
      </c>
      <c r="B46" s="11" t="n">
        <v>46200</v>
      </c>
      <c r="C46" s="11" t="n">
        <v>46200</v>
      </c>
      <c r="D46" s="10" t="n">
        <v>42</v>
      </c>
      <c r="E46" s="12" t="s">
        <v>106</v>
      </c>
      <c r="F46" s="10" t="n">
        <v>13</v>
      </c>
      <c r="G46" s="12" t="s">
        <v>91</v>
      </c>
      <c r="H46" s="10" t="n">
        <v>2110101</v>
      </c>
      <c r="I46" s="12" t="s">
        <v>32</v>
      </c>
      <c r="J46" s="10" t="n">
        <v>1313262</v>
      </c>
      <c r="L46" s="10" t="n">
        <v>4312</v>
      </c>
      <c r="M46" s="12" t="s">
        <v>33</v>
      </c>
      <c r="N46" s="12" t="s">
        <v>40</v>
      </c>
      <c r="P46" s="10" t="n">
        <v>129</v>
      </c>
      <c r="Q46" s="12" t="s">
        <v>60</v>
      </c>
      <c r="R46" s="12" t="s">
        <v>36</v>
      </c>
      <c r="S46" s="10" t="n">
        <v>1130101</v>
      </c>
      <c r="T46" s="12" t="s">
        <v>37</v>
      </c>
      <c r="U46" s="13" t="n">
        <v>240</v>
      </c>
      <c r="W46" s="13" t="n">
        <v>240</v>
      </c>
      <c r="X46" s="12" t="s">
        <v>109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3</v>
      </c>
      <c r="B47" s="11" t="n">
        <v>46184</v>
      </c>
      <c r="C47" s="11" t="n">
        <v>46200</v>
      </c>
      <c r="D47" s="10" t="n">
        <v>1749</v>
      </c>
      <c r="E47" s="12" t="s">
        <v>110</v>
      </c>
      <c r="F47" s="10" t="n">
        <v>24</v>
      </c>
      <c r="G47" s="12" t="s">
        <v>31</v>
      </c>
      <c r="H47" s="10" t="n">
        <v>2110101</v>
      </c>
      <c r="I47" s="12" t="s">
        <v>32</v>
      </c>
      <c r="J47" s="10" t="n">
        <v>1241394</v>
      </c>
      <c r="L47" s="10" t="n">
        <v>19602</v>
      </c>
      <c r="M47" s="12" t="s">
        <v>33</v>
      </c>
      <c r="N47" s="12" t="s">
        <v>34</v>
      </c>
      <c r="P47" s="10" t="n">
        <v>128</v>
      </c>
      <c r="Q47" s="12" t="s">
        <v>35</v>
      </c>
      <c r="R47" s="12" t="s">
        <v>36</v>
      </c>
      <c r="S47" s="10" t="n">
        <v>1130101</v>
      </c>
      <c r="T47" s="12" t="s">
        <v>37</v>
      </c>
      <c r="U47" s="13" t="n">
        <v>925.91</v>
      </c>
      <c r="W47" s="13" t="n">
        <v>0</v>
      </c>
      <c r="X47" s="12" t="s">
        <v>111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0" t="n">
        <v>3</v>
      </c>
      <c r="B48" s="11" t="n">
        <v>46192</v>
      </c>
      <c r="C48" s="11" t="n">
        <v>46200</v>
      </c>
      <c r="D48" s="10" t="n">
        <v>1276</v>
      </c>
      <c r="E48" s="12" t="s">
        <v>112</v>
      </c>
      <c r="F48" s="10" t="n">
        <v>24</v>
      </c>
      <c r="G48" s="12" t="s">
        <v>31</v>
      </c>
      <c r="H48" s="10" t="n">
        <v>2110101</v>
      </c>
      <c r="I48" s="12" t="s">
        <v>32</v>
      </c>
      <c r="J48" s="10" t="n">
        <v>1289177</v>
      </c>
      <c r="L48" s="10" t="n">
        <v>12</v>
      </c>
      <c r="M48" s="12" t="s">
        <v>33</v>
      </c>
      <c r="N48" s="12" t="s">
        <v>34</v>
      </c>
      <c r="P48" s="10" t="n">
        <v>128</v>
      </c>
      <c r="Q48" s="12" t="s">
        <v>35</v>
      </c>
      <c r="R48" s="12" t="s">
        <v>36</v>
      </c>
      <c r="S48" s="10" t="n">
        <v>1130101</v>
      </c>
      <c r="T48" s="12" t="s">
        <v>37</v>
      </c>
      <c r="U48" s="13" t="n">
        <v>536.1</v>
      </c>
      <c r="W48" s="13" t="n">
        <v>0</v>
      </c>
      <c r="X48" s="12" t="s">
        <v>113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3</v>
      </c>
      <c r="B49" s="11" t="n">
        <v>46183</v>
      </c>
      <c r="C49" s="11" t="n">
        <v>46200</v>
      </c>
      <c r="D49" s="10" t="n">
        <v>1605</v>
      </c>
      <c r="E49" s="12" t="s">
        <v>114</v>
      </c>
      <c r="F49" s="10" t="n">
        <v>24</v>
      </c>
      <c r="G49" s="12" t="s">
        <v>31</v>
      </c>
      <c r="H49" s="10" t="n">
        <v>2110101</v>
      </c>
      <c r="I49" s="12" t="s">
        <v>32</v>
      </c>
      <c r="J49" s="10" t="n">
        <v>1235319</v>
      </c>
      <c r="L49" s="10" t="n">
        <v>213121</v>
      </c>
      <c r="M49" s="12" t="s">
        <v>33</v>
      </c>
      <c r="N49" s="12" t="s">
        <v>34</v>
      </c>
      <c r="P49" s="10" t="n">
        <v>128</v>
      </c>
      <c r="Q49" s="12" t="s">
        <v>35</v>
      </c>
      <c r="R49" s="12" t="s">
        <v>36</v>
      </c>
      <c r="S49" s="10" t="n">
        <v>1130101</v>
      </c>
      <c r="T49" s="12" t="s">
        <v>37</v>
      </c>
      <c r="U49" s="13" t="n">
        <v>572.7</v>
      </c>
      <c r="W49" s="13" t="n">
        <v>0</v>
      </c>
      <c r="X49" s="12" t="s">
        <v>115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0" t="n">
        <v>3</v>
      </c>
      <c r="B50" s="11" t="n">
        <v>46186</v>
      </c>
      <c r="C50" s="11" t="n">
        <v>46200</v>
      </c>
      <c r="D50" s="10" t="n">
        <v>1605</v>
      </c>
      <c r="E50" s="12" t="s">
        <v>114</v>
      </c>
      <c r="F50" s="10" t="n">
        <v>24</v>
      </c>
      <c r="G50" s="12" t="s">
        <v>31</v>
      </c>
      <c r="H50" s="10" t="n">
        <v>2110101</v>
      </c>
      <c r="I50" s="12" t="s">
        <v>32</v>
      </c>
      <c r="J50" s="10" t="n">
        <v>1243902</v>
      </c>
      <c r="L50" s="10" t="n">
        <v>213923</v>
      </c>
      <c r="M50" s="12" t="s">
        <v>33</v>
      </c>
      <c r="N50" s="12" t="s">
        <v>40</v>
      </c>
      <c r="P50" s="10" t="n">
        <v>128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446.46</v>
      </c>
      <c r="W50" s="13" t="n">
        <v>0</v>
      </c>
      <c r="X50" s="12" t="s">
        <v>116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0" t="n">
        <v>3</v>
      </c>
      <c r="B51" s="11" t="n">
        <v>46170</v>
      </c>
      <c r="C51" s="11" t="n">
        <v>46200</v>
      </c>
      <c r="D51" s="10" t="n">
        <v>1624</v>
      </c>
      <c r="E51" s="12" t="s">
        <v>117</v>
      </c>
      <c r="F51" s="10" t="n">
        <v>24</v>
      </c>
      <c r="G51" s="12" t="s">
        <v>31</v>
      </c>
      <c r="H51" s="10" t="n">
        <v>2110101</v>
      </c>
      <c r="I51" s="12" t="s">
        <v>32</v>
      </c>
      <c r="J51" s="10" t="n">
        <v>1176071</v>
      </c>
      <c r="L51" s="10" t="n">
        <v>6561742</v>
      </c>
      <c r="M51" s="12" t="s">
        <v>33</v>
      </c>
      <c r="N51" s="12" t="s">
        <v>34</v>
      </c>
      <c r="P51" s="10" t="n">
        <v>128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653.4</v>
      </c>
      <c r="W51" s="13" t="n">
        <v>0</v>
      </c>
      <c r="X51" s="12" t="s">
        <v>118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0" t="n">
        <v>3</v>
      </c>
      <c r="B52" s="11" t="n">
        <v>46192</v>
      </c>
      <c r="C52" s="11" t="n">
        <v>46200</v>
      </c>
      <c r="D52" s="10" t="n">
        <v>1378</v>
      </c>
      <c r="E52" s="12" t="s">
        <v>119</v>
      </c>
      <c r="F52" s="10" t="n">
        <v>24</v>
      </c>
      <c r="G52" s="12" t="s">
        <v>31</v>
      </c>
      <c r="H52" s="10" t="n">
        <v>2110101</v>
      </c>
      <c r="I52" s="12" t="s">
        <v>32</v>
      </c>
      <c r="J52" s="10" t="n">
        <v>1274409</v>
      </c>
      <c r="L52" s="10" t="n">
        <v>17861</v>
      </c>
      <c r="M52" s="12" t="s">
        <v>33</v>
      </c>
      <c r="N52" s="12" t="s">
        <v>40</v>
      </c>
      <c r="P52" s="10" t="n">
        <v>128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201</v>
      </c>
      <c r="W52" s="13" t="n">
        <v>0</v>
      </c>
      <c r="X52" s="12" t="s">
        <v>120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0" t="n">
        <v>3</v>
      </c>
      <c r="B53" s="11" t="n">
        <v>46163</v>
      </c>
      <c r="C53" s="11" t="n">
        <v>46200</v>
      </c>
      <c r="D53" s="10" t="n">
        <v>10012</v>
      </c>
      <c r="E53" s="12" t="s">
        <v>121</v>
      </c>
      <c r="F53" s="10" t="n">
        <v>24</v>
      </c>
      <c r="G53" s="12" t="s">
        <v>31</v>
      </c>
      <c r="H53" s="10" t="n">
        <v>2110101</v>
      </c>
      <c r="I53" s="12" t="s">
        <v>32</v>
      </c>
      <c r="J53" s="10" t="n">
        <v>1162529</v>
      </c>
      <c r="L53" s="10" t="n">
        <v>19540613</v>
      </c>
      <c r="M53" s="12" t="s">
        <v>33</v>
      </c>
      <c r="N53" s="12" t="s">
        <v>34</v>
      </c>
      <c r="P53" s="10" t="n">
        <v>128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1624.37</v>
      </c>
      <c r="W53" s="13" t="n">
        <v>0</v>
      </c>
      <c r="X53" s="12" t="s">
        <v>122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0" t="n">
        <v>3</v>
      </c>
      <c r="B54" s="11" t="n">
        <v>46184</v>
      </c>
      <c r="C54" s="11" t="n">
        <v>46200</v>
      </c>
      <c r="D54" s="10" t="n">
        <v>1136</v>
      </c>
      <c r="E54" s="12" t="s">
        <v>123</v>
      </c>
      <c r="F54" s="10" t="n">
        <v>24</v>
      </c>
      <c r="G54" s="12" t="s">
        <v>31</v>
      </c>
      <c r="H54" s="10" t="n">
        <v>2110101</v>
      </c>
      <c r="I54" s="12" t="s">
        <v>32</v>
      </c>
      <c r="J54" s="10" t="n">
        <v>1241433</v>
      </c>
      <c r="L54" s="10" t="n">
        <v>498831</v>
      </c>
      <c r="M54" s="12" t="s">
        <v>33</v>
      </c>
      <c r="N54" s="12" t="s">
        <v>34</v>
      </c>
      <c r="P54" s="10" t="n">
        <v>128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991.48</v>
      </c>
      <c r="W54" s="13" t="n">
        <v>0</v>
      </c>
      <c r="X54" s="12" t="s">
        <v>124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36.75" hidden="false" customHeight="true" outlineLevel="0" collapsed="false">
      <c r="A55" s="10" t="n">
        <v>3</v>
      </c>
      <c r="B55" s="11" t="n">
        <v>46169</v>
      </c>
      <c r="C55" s="11" t="n">
        <v>46202</v>
      </c>
      <c r="D55" s="10" t="n">
        <v>10079</v>
      </c>
      <c r="E55" s="12" t="s">
        <v>125</v>
      </c>
      <c r="F55" s="10" t="n">
        <v>24</v>
      </c>
      <c r="G55" s="12" t="s">
        <v>31</v>
      </c>
      <c r="H55" s="10" t="n">
        <v>2110101</v>
      </c>
      <c r="I55" s="12" t="s">
        <v>32</v>
      </c>
      <c r="J55" s="10" t="n">
        <v>1160743</v>
      </c>
      <c r="L55" s="10" t="n">
        <v>5052</v>
      </c>
      <c r="M55" s="12" t="s">
        <v>33</v>
      </c>
      <c r="N55" s="12" t="s">
        <v>34</v>
      </c>
      <c r="P55" s="10" t="n">
        <v>128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531.1</v>
      </c>
      <c r="W55" s="13" t="n">
        <v>0</v>
      </c>
      <c r="X55" s="12" t="s">
        <v>126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3</v>
      </c>
      <c r="B56" s="11" t="n">
        <v>46178</v>
      </c>
      <c r="C56" s="11" t="n">
        <v>46202</v>
      </c>
      <c r="D56" s="10" t="n">
        <v>1637</v>
      </c>
      <c r="E56" s="12" t="s">
        <v>127</v>
      </c>
      <c r="F56" s="10" t="n">
        <v>24</v>
      </c>
      <c r="G56" s="12" t="s">
        <v>31</v>
      </c>
      <c r="H56" s="10" t="n">
        <v>2110101</v>
      </c>
      <c r="I56" s="12" t="s">
        <v>32</v>
      </c>
      <c r="J56" s="10" t="n">
        <v>1225978</v>
      </c>
      <c r="L56" s="10" t="n">
        <v>843354</v>
      </c>
      <c r="M56" s="12" t="s">
        <v>33</v>
      </c>
      <c r="N56" s="12" t="s">
        <v>34</v>
      </c>
      <c r="P56" s="10" t="n">
        <v>128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736.8</v>
      </c>
      <c r="W56" s="13" t="n">
        <v>0</v>
      </c>
      <c r="X56" s="12" t="s">
        <v>128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0" t="n">
        <v>3</v>
      </c>
      <c r="B57" s="11" t="n">
        <v>46193</v>
      </c>
      <c r="C57" s="11" t="n">
        <v>46202</v>
      </c>
      <c r="D57" s="10" t="n">
        <v>1621</v>
      </c>
      <c r="E57" s="12" t="s">
        <v>129</v>
      </c>
      <c r="F57" s="10" t="n">
        <v>24</v>
      </c>
      <c r="G57" s="12" t="s">
        <v>31</v>
      </c>
      <c r="H57" s="10" t="n">
        <v>2110101</v>
      </c>
      <c r="I57" s="12" t="s">
        <v>32</v>
      </c>
      <c r="J57" s="10" t="n">
        <v>1279218</v>
      </c>
      <c r="L57" s="10" t="n">
        <v>867516</v>
      </c>
      <c r="M57" s="12" t="s">
        <v>33</v>
      </c>
      <c r="N57" s="12" t="s">
        <v>40</v>
      </c>
      <c r="P57" s="10" t="n">
        <v>128</v>
      </c>
      <c r="Q57" s="12" t="s">
        <v>35</v>
      </c>
      <c r="R57" s="12" t="s">
        <v>36</v>
      </c>
      <c r="S57" s="10" t="n">
        <v>1130101</v>
      </c>
      <c r="T57" s="12" t="s">
        <v>37</v>
      </c>
      <c r="U57" s="13" t="n">
        <v>3902.24</v>
      </c>
      <c r="W57" s="13" t="n">
        <v>0</v>
      </c>
      <c r="X57" s="12" t="s">
        <v>130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3</v>
      </c>
      <c r="B58" s="11" t="n">
        <v>46193</v>
      </c>
      <c r="C58" s="11" t="n">
        <v>46202</v>
      </c>
      <c r="D58" s="10" t="n">
        <v>1621</v>
      </c>
      <c r="E58" s="12" t="s">
        <v>129</v>
      </c>
      <c r="F58" s="10" t="n">
        <v>24</v>
      </c>
      <c r="G58" s="12" t="s">
        <v>31</v>
      </c>
      <c r="H58" s="10" t="n">
        <v>2110101</v>
      </c>
      <c r="I58" s="12" t="s">
        <v>32</v>
      </c>
      <c r="J58" s="10" t="n">
        <v>1279223</v>
      </c>
      <c r="L58" s="10" t="n">
        <v>199847</v>
      </c>
      <c r="M58" s="12" t="s">
        <v>33</v>
      </c>
      <c r="N58" s="12" t="s">
        <v>34</v>
      </c>
      <c r="P58" s="10" t="n">
        <v>128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1.55</v>
      </c>
      <c r="W58" s="13" t="n">
        <v>0</v>
      </c>
      <c r="X58" s="12" t="s">
        <v>131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3</v>
      </c>
      <c r="B59" s="11" t="n">
        <v>46195</v>
      </c>
      <c r="C59" s="11" t="n">
        <v>46202</v>
      </c>
      <c r="D59" s="10" t="n">
        <v>1621</v>
      </c>
      <c r="E59" s="12" t="s">
        <v>129</v>
      </c>
      <c r="F59" s="10" t="n">
        <v>24</v>
      </c>
      <c r="G59" s="12" t="s">
        <v>31</v>
      </c>
      <c r="H59" s="10" t="n">
        <v>2110101</v>
      </c>
      <c r="I59" s="12" t="s">
        <v>32</v>
      </c>
      <c r="J59" s="10" t="n">
        <v>1289305</v>
      </c>
      <c r="L59" s="10" t="n">
        <v>870113</v>
      </c>
      <c r="M59" s="12" t="s">
        <v>33</v>
      </c>
      <c r="N59" s="12" t="s">
        <v>40</v>
      </c>
      <c r="P59" s="10" t="n">
        <v>128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1050.99</v>
      </c>
      <c r="W59" s="13" t="n">
        <v>0</v>
      </c>
      <c r="X59" s="12" t="s">
        <v>132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27.75" hidden="false" customHeight="true" outlineLevel="0" collapsed="false">
      <c r="A60" s="10" t="n">
        <v>3</v>
      </c>
      <c r="B60" s="11" t="n">
        <v>46193</v>
      </c>
      <c r="C60" s="11" t="n">
        <v>46202</v>
      </c>
      <c r="D60" s="10" t="n">
        <v>1621</v>
      </c>
      <c r="E60" s="12" t="s">
        <v>129</v>
      </c>
      <c r="F60" s="10" t="n">
        <v>24</v>
      </c>
      <c r="G60" s="12" t="s">
        <v>31</v>
      </c>
      <c r="H60" s="10" t="n">
        <v>2110101</v>
      </c>
      <c r="I60" s="12" t="s">
        <v>32</v>
      </c>
      <c r="J60" s="10" t="n">
        <v>1289311</v>
      </c>
      <c r="L60" s="10" t="n">
        <v>201585</v>
      </c>
      <c r="M60" s="12" t="s">
        <v>33</v>
      </c>
      <c r="N60" s="12" t="s">
        <v>34</v>
      </c>
      <c r="P60" s="10" t="n">
        <v>128</v>
      </c>
      <c r="Q60" s="12" t="s">
        <v>35</v>
      </c>
      <c r="R60" s="12" t="s">
        <v>36</v>
      </c>
      <c r="S60" s="10" t="n">
        <v>1130101</v>
      </c>
      <c r="T60" s="12" t="s">
        <v>37</v>
      </c>
      <c r="U60" s="13" t="n">
        <v>1.55</v>
      </c>
      <c r="W60" s="13" t="n">
        <v>0</v>
      </c>
      <c r="X60" s="12" t="s">
        <v>133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27.75" hidden="false" customHeight="true" outlineLevel="0" collapsed="false">
      <c r="A61" s="10" t="n">
        <v>3</v>
      </c>
      <c r="B61" s="11" t="n">
        <v>46182</v>
      </c>
      <c r="C61" s="11" t="n">
        <v>46202</v>
      </c>
      <c r="D61" s="10" t="n">
        <v>957</v>
      </c>
      <c r="E61" s="12" t="s">
        <v>134</v>
      </c>
      <c r="F61" s="10" t="n">
        <v>24</v>
      </c>
      <c r="G61" s="12" t="s">
        <v>31</v>
      </c>
      <c r="H61" s="10" t="n">
        <v>2110101</v>
      </c>
      <c r="I61" s="12" t="s">
        <v>32</v>
      </c>
      <c r="J61" s="10" t="n">
        <v>1231847</v>
      </c>
      <c r="L61" s="10" t="n">
        <v>202661</v>
      </c>
      <c r="M61" s="12" t="s">
        <v>33</v>
      </c>
      <c r="N61" s="12" t="s">
        <v>34</v>
      </c>
      <c r="P61" s="10" t="n">
        <v>128</v>
      </c>
      <c r="Q61" s="12" t="s">
        <v>35</v>
      </c>
      <c r="R61" s="12" t="s">
        <v>36</v>
      </c>
      <c r="S61" s="10" t="n">
        <v>1130101</v>
      </c>
      <c r="T61" s="12" t="s">
        <v>37</v>
      </c>
      <c r="U61" s="13" t="n">
        <v>227.29</v>
      </c>
      <c r="W61" s="13" t="n">
        <v>0</v>
      </c>
      <c r="X61" s="12" t="s">
        <v>135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27.75" hidden="false" customHeight="true" outlineLevel="0" collapsed="false">
      <c r="A62" s="10" t="n">
        <v>3</v>
      </c>
      <c r="B62" s="11" t="n">
        <v>46199</v>
      </c>
      <c r="C62" s="11" t="n">
        <v>46202</v>
      </c>
      <c r="D62" s="10" t="n">
        <v>83</v>
      </c>
      <c r="E62" s="12" t="s">
        <v>60</v>
      </c>
      <c r="F62" s="10" t="n">
        <v>34</v>
      </c>
      <c r="G62" s="12" t="s">
        <v>58</v>
      </c>
      <c r="H62" s="10" t="n">
        <v>2110405</v>
      </c>
      <c r="I62" s="12" t="s">
        <v>63</v>
      </c>
      <c r="J62" s="10" t="n">
        <v>1309304</v>
      </c>
      <c r="L62" s="10" t="n">
        <v>20252026</v>
      </c>
      <c r="M62" s="12" t="s">
        <v>33</v>
      </c>
      <c r="N62" s="12" t="s">
        <v>34</v>
      </c>
      <c r="P62" s="10" t="n">
        <v>101</v>
      </c>
      <c r="Q62" s="12" t="s">
        <v>136</v>
      </c>
      <c r="R62" s="12" t="s">
        <v>137</v>
      </c>
      <c r="S62" s="10" t="n">
        <v>4210304</v>
      </c>
      <c r="T62" s="12" t="s">
        <v>138</v>
      </c>
      <c r="U62" s="13" t="n">
        <v>2301.62</v>
      </c>
      <c r="W62" s="13" t="n">
        <v>0</v>
      </c>
      <c r="X62" s="12" t="s">
        <v>139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</row>
    <row r="63" customFormat="false" ht="36.75" hidden="false" customHeight="true" outlineLevel="0" collapsed="false">
      <c r="A63" s="10" t="n">
        <v>3</v>
      </c>
      <c r="B63" s="11" t="n">
        <v>46202</v>
      </c>
      <c r="C63" s="11" t="n">
        <v>46202</v>
      </c>
      <c r="D63" s="10" t="n">
        <v>10047</v>
      </c>
      <c r="E63" s="12" t="s">
        <v>140</v>
      </c>
      <c r="F63" s="10" t="n">
        <v>24</v>
      </c>
      <c r="G63" s="12" t="s">
        <v>31</v>
      </c>
      <c r="H63" s="10" t="n">
        <v>2110101</v>
      </c>
      <c r="I63" s="12" t="s">
        <v>32</v>
      </c>
      <c r="J63" s="10" t="n">
        <v>1335239</v>
      </c>
      <c r="L63" s="10" t="n">
        <v>208547</v>
      </c>
      <c r="M63" s="12" t="s">
        <v>33</v>
      </c>
      <c r="N63" s="12" t="s">
        <v>34</v>
      </c>
      <c r="P63" s="10" t="n">
        <v>102</v>
      </c>
      <c r="Q63" s="12" t="s">
        <v>141</v>
      </c>
      <c r="R63" s="12" t="s">
        <v>36</v>
      </c>
      <c r="S63" s="10" t="n">
        <v>1130101</v>
      </c>
      <c r="T63" s="12" t="s">
        <v>37</v>
      </c>
      <c r="U63" s="13" t="n">
        <v>634.12</v>
      </c>
      <c r="W63" s="13" t="n">
        <v>0</v>
      </c>
      <c r="X63" s="12" t="s">
        <v>142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0" t="n">
        <v>3</v>
      </c>
      <c r="B64" s="11" t="n">
        <v>46202</v>
      </c>
      <c r="C64" s="11" t="n">
        <v>46202</v>
      </c>
      <c r="D64" s="10" t="n">
        <v>42</v>
      </c>
      <c r="E64" s="12" t="s">
        <v>106</v>
      </c>
      <c r="F64" s="10" t="n">
        <v>13</v>
      </c>
      <c r="G64" s="12" t="s">
        <v>91</v>
      </c>
      <c r="H64" s="10" t="n">
        <v>2110101</v>
      </c>
      <c r="I64" s="12" t="s">
        <v>32</v>
      </c>
      <c r="J64" s="10" t="n">
        <v>1321970</v>
      </c>
      <c r="L64" s="10" t="n">
        <v>4323</v>
      </c>
      <c r="M64" s="12" t="s">
        <v>33</v>
      </c>
      <c r="N64" s="12" t="s">
        <v>40</v>
      </c>
      <c r="P64" s="10" t="n">
        <v>128</v>
      </c>
      <c r="Q64" s="12" t="s">
        <v>35</v>
      </c>
      <c r="R64" s="12" t="s">
        <v>36</v>
      </c>
      <c r="S64" s="10" t="n">
        <v>1130101</v>
      </c>
      <c r="T64" s="12" t="s">
        <v>37</v>
      </c>
      <c r="U64" s="13" t="n">
        <v>240</v>
      </c>
      <c r="W64" s="13" t="n">
        <v>240</v>
      </c>
      <c r="X64" s="12" t="s">
        <v>143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3</v>
      </c>
      <c r="B65" s="11" t="n">
        <v>46202</v>
      </c>
      <c r="C65" s="11" t="n">
        <v>46202</v>
      </c>
      <c r="D65" s="10" t="n">
        <v>42</v>
      </c>
      <c r="E65" s="12" t="s">
        <v>106</v>
      </c>
      <c r="F65" s="10" t="n">
        <v>13</v>
      </c>
      <c r="G65" s="12" t="s">
        <v>91</v>
      </c>
      <c r="H65" s="10" t="n">
        <v>2110101</v>
      </c>
      <c r="I65" s="12" t="s">
        <v>32</v>
      </c>
      <c r="J65" s="10" t="n">
        <v>1322132</v>
      </c>
      <c r="L65" s="10" t="n">
        <v>4325</v>
      </c>
      <c r="M65" s="12" t="s">
        <v>33</v>
      </c>
      <c r="N65" s="12" t="s">
        <v>40</v>
      </c>
      <c r="P65" s="10" t="n">
        <v>128</v>
      </c>
      <c r="Q65" s="12" t="s">
        <v>35</v>
      </c>
      <c r="R65" s="12" t="s">
        <v>36</v>
      </c>
      <c r="S65" s="10" t="n">
        <v>1130101</v>
      </c>
      <c r="T65" s="12" t="s">
        <v>37</v>
      </c>
      <c r="U65" s="13" t="n">
        <v>385</v>
      </c>
      <c r="W65" s="13" t="n">
        <v>0</v>
      </c>
      <c r="X65" s="12" t="s">
        <v>108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0" t="n">
        <v>3</v>
      </c>
      <c r="B66" s="11" t="n">
        <v>46199</v>
      </c>
      <c r="C66" s="11" t="n">
        <v>46202</v>
      </c>
      <c r="D66" s="10" t="n">
        <v>358</v>
      </c>
      <c r="E66" s="12" t="s">
        <v>144</v>
      </c>
      <c r="F66" s="10" t="n">
        <v>34</v>
      </c>
      <c r="G66" s="12" t="s">
        <v>58</v>
      </c>
      <c r="H66" s="10" t="n">
        <v>2110405</v>
      </c>
      <c r="I66" s="12" t="s">
        <v>63</v>
      </c>
      <c r="J66" s="10" t="n">
        <v>1309795</v>
      </c>
      <c r="L66" s="10" t="n">
        <v>20252026</v>
      </c>
      <c r="M66" s="12" t="s">
        <v>33</v>
      </c>
      <c r="N66" s="12" t="s">
        <v>34</v>
      </c>
      <c r="P66" s="10" t="n">
        <v>101</v>
      </c>
      <c r="Q66" s="12" t="s">
        <v>136</v>
      </c>
      <c r="R66" s="12" t="s">
        <v>137</v>
      </c>
      <c r="S66" s="10" t="n">
        <v>4210304</v>
      </c>
      <c r="T66" s="12" t="s">
        <v>138</v>
      </c>
      <c r="U66" s="13" t="n">
        <v>2377.94</v>
      </c>
      <c r="W66" s="13" t="n">
        <v>0</v>
      </c>
      <c r="X66" s="12" t="s">
        <v>139</v>
      </c>
      <c r="Z66" s="1" t="str">
        <f aca="false">IF($T66="","",IFERROR(INDEX('Resumo Grupos'!$AC$3:$AC$200,MATCH($T66,'Resumo Grupos'!$AB$3:$AB$200,0)),"n/d"))</f>
        <v>Salários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3</v>
      </c>
      <c r="B67" s="11" t="n">
        <v>46203</v>
      </c>
      <c r="C67" s="11" t="n">
        <v>46203</v>
      </c>
      <c r="D67" s="10" t="n">
        <v>10043</v>
      </c>
      <c r="E67" s="12" t="s">
        <v>145</v>
      </c>
      <c r="F67" s="10" t="n">
        <v>13</v>
      </c>
      <c r="G67" s="12" t="s">
        <v>91</v>
      </c>
      <c r="H67" s="10" t="n">
        <v>2110101</v>
      </c>
      <c r="I67" s="12" t="s">
        <v>32</v>
      </c>
      <c r="J67" s="10" t="n">
        <v>1333698</v>
      </c>
      <c r="L67" s="10" t="n">
        <v>738</v>
      </c>
      <c r="M67" s="12" t="s">
        <v>33</v>
      </c>
      <c r="N67" s="12" t="s">
        <v>40</v>
      </c>
      <c r="P67" s="10" t="n">
        <v>128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270</v>
      </c>
      <c r="W67" s="13" t="n">
        <v>270</v>
      </c>
      <c r="X67" s="12" t="s">
        <v>146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3</v>
      </c>
      <c r="B68" s="11" t="n">
        <v>46169</v>
      </c>
      <c r="C68" s="11" t="n">
        <v>46203</v>
      </c>
      <c r="D68" s="10" t="n">
        <v>1659</v>
      </c>
      <c r="E68" s="12" t="s">
        <v>30</v>
      </c>
      <c r="F68" s="10" t="n">
        <v>24</v>
      </c>
      <c r="G68" s="12" t="s">
        <v>31</v>
      </c>
      <c r="H68" s="10" t="n">
        <v>2110101</v>
      </c>
      <c r="I68" s="12" t="s">
        <v>32</v>
      </c>
      <c r="J68" s="10" t="n">
        <v>1166051</v>
      </c>
      <c r="L68" s="10" t="n">
        <v>8752973</v>
      </c>
      <c r="M68" s="12" t="s">
        <v>33</v>
      </c>
      <c r="N68" s="12" t="s">
        <v>34</v>
      </c>
      <c r="P68" s="10" t="n">
        <v>128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947.98</v>
      </c>
      <c r="W68" s="13" t="n">
        <v>0</v>
      </c>
      <c r="X68" s="12" t="s">
        <v>147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3</v>
      </c>
      <c r="B69" s="11" t="n">
        <v>46157</v>
      </c>
      <c r="C69" s="11" t="n">
        <v>46203</v>
      </c>
      <c r="D69" s="10" t="n">
        <v>10066</v>
      </c>
      <c r="E69" s="12" t="s">
        <v>148</v>
      </c>
      <c r="F69" s="10" t="n">
        <v>24</v>
      </c>
      <c r="G69" s="12" t="s">
        <v>31</v>
      </c>
      <c r="H69" s="10" t="n">
        <v>2110101</v>
      </c>
      <c r="I69" s="12" t="s">
        <v>32</v>
      </c>
      <c r="J69" s="10" t="n">
        <v>1122966</v>
      </c>
      <c r="L69" s="10" t="n">
        <v>1522</v>
      </c>
      <c r="M69" s="12" t="s">
        <v>33</v>
      </c>
      <c r="N69" s="12" t="s">
        <v>34</v>
      </c>
      <c r="P69" s="10" t="n">
        <v>128</v>
      </c>
      <c r="Q69" s="12" t="s">
        <v>35</v>
      </c>
      <c r="R69" s="12" t="s">
        <v>36</v>
      </c>
      <c r="S69" s="10" t="n">
        <v>1130101</v>
      </c>
      <c r="T69" s="12" t="s">
        <v>37</v>
      </c>
      <c r="U69" s="13" t="n">
        <v>850</v>
      </c>
      <c r="W69" s="13" t="n">
        <v>0</v>
      </c>
      <c r="X69" s="12" t="s">
        <v>149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0" t="n">
        <v>3</v>
      </c>
      <c r="B70" s="11" t="n">
        <v>46186</v>
      </c>
      <c r="C70" s="11" t="n">
        <v>46203</v>
      </c>
      <c r="D70" s="10" t="n">
        <v>1039</v>
      </c>
      <c r="E70" s="12" t="s">
        <v>150</v>
      </c>
      <c r="F70" s="10" t="n">
        <v>24</v>
      </c>
      <c r="G70" s="12" t="s">
        <v>31</v>
      </c>
      <c r="H70" s="10" t="n">
        <v>2110101</v>
      </c>
      <c r="I70" s="12" t="s">
        <v>32</v>
      </c>
      <c r="J70" s="10" t="n">
        <v>1255886</v>
      </c>
      <c r="L70" s="10" t="n">
        <v>1865702</v>
      </c>
      <c r="M70" s="12" t="s">
        <v>33</v>
      </c>
      <c r="N70" s="12" t="s">
        <v>34</v>
      </c>
      <c r="P70" s="10" t="n">
        <v>128</v>
      </c>
      <c r="Q70" s="12" t="s">
        <v>35</v>
      </c>
      <c r="R70" s="12" t="s">
        <v>36</v>
      </c>
      <c r="S70" s="10" t="n">
        <v>1130101</v>
      </c>
      <c r="T70" s="12" t="s">
        <v>37</v>
      </c>
      <c r="U70" s="13" t="n">
        <v>835.76</v>
      </c>
      <c r="W70" s="13" t="n">
        <v>0</v>
      </c>
      <c r="X70" s="12" t="s">
        <v>151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0" t="n">
        <v>3</v>
      </c>
      <c r="B71" s="11" t="n">
        <v>46191</v>
      </c>
      <c r="C71" s="11" t="n">
        <v>46203</v>
      </c>
      <c r="D71" s="10" t="n">
        <v>1723</v>
      </c>
      <c r="E71" s="12" t="s">
        <v>54</v>
      </c>
      <c r="F71" s="10" t="n">
        <v>24</v>
      </c>
      <c r="G71" s="12" t="s">
        <v>31</v>
      </c>
      <c r="H71" s="10" t="n">
        <v>2110101</v>
      </c>
      <c r="I71" s="12" t="s">
        <v>32</v>
      </c>
      <c r="J71" s="10" t="n">
        <v>1289446</v>
      </c>
      <c r="L71" s="10" t="n">
        <v>53797</v>
      </c>
      <c r="M71" s="12" t="s">
        <v>33</v>
      </c>
      <c r="N71" s="12" t="s">
        <v>34</v>
      </c>
      <c r="P71" s="10" t="n">
        <v>128</v>
      </c>
      <c r="Q71" s="12" t="s">
        <v>35</v>
      </c>
      <c r="R71" s="12" t="s">
        <v>36</v>
      </c>
      <c r="S71" s="10" t="n">
        <v>1130101</v>
      </c>
      <c r="T71" s="12" t="s">
        <v>37</v>
      </c>
      <c r="U71" s="13" t="n">
        <v>4085.5</v>
      </c>
      <c r="W71" s="13" t="n">
        <v>0</v>
      </c>
      <c r="X71" s="12" t="s">
        <v>152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0" t="n">
        <v>3</v>
      </c>
      <c r="B72" s="11" t="n">
        <v>46173</v>
      </c>
      <c r="C72" s="11" t="n">
        <v>46203</v>
      </c>
      <c r="D72" s="10" t="n">
        <v>1718</v>
      </c>
      <c r="E72" s="12" t="s">
        <v>67</v>
      </c>
      <c r="F72" s="10" t="n">
        <v>24</v>
      </c>
      <c r="G72" s="12" t="s">
        <v>31</v>
      </c>
      <c r="H72" s="10" t="n">
        <v>2110101</v>
      </c>
      <c r="I72" s="12" t="s">
        <v>32</v>
      </c>
      <c r="J72" s="10" t="n">
        <v>1196493</v>
      </c>
      <c r="L72" s="10" t="n">
        <v>7947403</v>
      </c>
      <c r="M72" s="12" t="s">
        <v>33</v>
      </c>
      <c r="N72" s="12" t="s">
        <v>34</v>
      </c>
      <c r="P72" s="10" t="n">
        <v>128</v>
      </c>
      <c r="Q72" s="12" t="s">
        <v>35</v>
      </c>
      <c r="R72" s="12" t="s">
        <v>36</v>
      </c>
      <c r="S72" s="10" t="n">
        <v>1130101</v>
      </c>
      <c r="T72" s="12" t="s">
        <v>37</v>
      </c>
      <c r="U72" s="13" t="n">
        <v>911.37</v>
      </c>
      <c r="W72" s="13" t="n">
        <v>0</v>
      </c>
      <c r="X72" s="12" t="s">
        <v>153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0" t="n">
        <v>3</v>
      </c>
      <c r="B73" s="11" t="n">
        <v>46178</v>
      </c>
      <c r="C73" s="11" t="n">
        <v>46203</v>
      </c>
      <c r="D73" s="10" t="n">
        <v>1608</v>
      </c>
      <c r="E73" s="12" t="s">
        <v>69</v>
      </c>
      <c r="F73" s="10" t="n">
        <v>24</v>
      </c>
      <c r="G73" s="12" t="s">
        <v>31</v>
      </c>
      <c r="H73" s="10" t="n">
        <v>2110101</v>
      </c>
      <c r="I73" s="12" t="s">
        <v>32</v>
      </c>
      <c r="J73" s="10" t="n">
        <v>1221393</v>
      </c>
      <c r="L73" s="10" t="n">
        <v>16688322</v>
      </c>
      <c r="M73" s="12" t="s">
        <v>33</v>
      </c>
      <c r="N73" s="12" t="s">
        <v>34</v>
      </c>
      <c r="P73" s="10" t="n">
        <v>128</v>
      </c>
      <c r="Q73" s="12" t="s">
        <v>35</v>
      </c>
      <c r="R73" s="12" t="s">
        <v>36</v>
      </c>
      <c r="S73" s="10" t="n">
        <v>1130101</v>
      </c>
      <c r="T73" s="12" t="s">
        <v>37</v>
      </c>
      <c r="U73" s="13" t="n">
        <v>1135.24</v>
      </c>
      <c r="W73" s="13" t="n">
        <v>0</v>
      </c>
      <c r="X73" s="12" t="s">
        <v>154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0" t="n">
        <v>3</v>
      </c>
      <c r="B74" s="11" t="n">
        <v>46203</v>
      </c>
      <c r="C74" s="11" t="n">
        <v>46203</v>
      </c>
      <c r="D74" s="10" t="n">
        <v>978</v>
      </c>
      <c r="E74" s="12" t="s">
        <v>155</v>
      </c>
      <c r="F74" s="10" t="n">
        <v>13</v>
      </c>
      <c r="G74" s="12" t="s">
        <v>91</v>
      </c>
      <c r="H74" s="10" t="n">
        <v>2110101</v>
      </c>
      <c r="I74" s="12" t="s">
        <v>32</v>
      </c>
      <c r="J74" s="10" t="n">
        <v>1333686</v>
      </c>
      <c r="L74" s="10" t="n">
        <v>333</v>
      </c>
      <c r="M74" s="12" t="s">
        <v>33</v>
      </c>
      <c r="N74" s="12" t="s">
        <v>40</v>
      </c>
      <c r="P74" s="10" t="n">
        <v>128</v>
      </c>
      <c r="Q74" s="12" t="s">
        <v>35</v>
      </c>
      <c r="R74" s="12" t="s">
        <v>36</v>
      </c>
      <c r="S74" s="10" t="n">
        <v>1130101</v>
      </c>
      <c r="T74" s="12" t="s">
        <v>37</v>
      </c>
      <c r="U74" s="13" t="n">
        <v>524.3</v>
      </c>
      <c r="W74" s="13" t="n">
        <v>524.3</v>
      </c>
      <c r="X74" s="12" t="s">
        <v>156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0" t="n">
        <v>3</v>
      </c>
      <c r="B75" s="11" t="n">
        <v>46176</v>
      </c>
      <c r="C75" s="11" t="n">
        <v>46203</v>
      </c>
      <c r="D75" s="10" t="n">
        <v>1815</v>
      </c>
      <c r="E75" s="12" t="s">
        <v>157</v>
      </c>
      <c r="F75" s="10" t="n">
        <v>24</v>
      </c>
      <c r="G75" s="12" t="s">
        <v>31</v>
      </c>
      <c r="H75" s="10" t="n">
        <v>2110101</v>
      </c>
      <c r="I75" s="12" t="s">
        <v>32</v>
      </c>
      <c r="J75" s="10" t="n">
        <v>1197437</v>
      </c>
      <c r="L75" s="10" t="n">
        <v>4485763</v>
      </c>
      <c r="M75" s="12" t="s">
        <v>33</v>
      </c>
      <c r="N75" s="12" t="s">
        <v>34</v>
      </c>
      <c r="P75" s="10" t="n">
        <v>128</v>
      </c>
      <c r="Q75" s="12" t="s">
        <v>35</v>
      </c>
      <c r="R75" s="12" t="s">
        <v>36</v>
      </c>
      <c r="S75" s="10" t="n">
        <v>1130101</v>
      </c>
      <c r="T75" s="12" t="s">
        <v>37</v>
      </c>
      <c r="U75" s="13" t="n">
        <v>1491.45</v>
      </c>
      <c r="W75" s="13" t="n">
        <v>0</v>
      </c>
      <c r="X75" s="12" t="s">
        <v>158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54.75" hidden="false" customHeight="true" outlineLevel="0" collapsed="false">
      <c r="A76" s="10" t="n">
        <v>3</v>
      </c>
      <c r="B76" s="11" t="n">
        <v>46203</v>
      </c>
      <c r="C76" s="11" t="n">
        <v>46203</v>
      </c>
      <c r="D76" s="10" t="n">
        <v>10047</v>
      </c>
      <c r="E76" s="12" t="s">
        <v>140</v>
      </c>
      <c r="F76" s="10" t="n">
        <v>24</v>
      </c>
      <c r="G76" s="12" t="s">
        <v>31</v>
      </c>
      <c r="H76" s="10" t="n">
        <v>2110101</v>
      </c>
      <c r="I76" s="12" t="s">
        <v>32</v>
      </c>
      <c r="J76" s="10" t="n">
        <v>1335554</v>
      </c>
      <c r="L76" s="10" t="n">
        <v>208587</v>
      </c>
      <c r="M76" s="12" t="s">
        <v>33</v>
      </c>
      <c r="N76" s="12" t="s">
        <v>34</v>
      </c>
      <c r="P76" s="10" t="n">
        <v>102</v>
      </c>
      <c r="Q76" s="12" t="s">
        <v>141</v>
      </c>
      <c r="R76" s="12" t="s">
        <v>36</v>
      </c>
      <c r="S76" s="10" t="n">
        <v>1130101</v>
      </c>
      <c r="T76" s="12" t="s">
        <v>37</v>
      </c>
      <c r="U76" s="13" t="n">
        <v>243.16</v>
      </c>
      <c r="W76" s="13" t="n">
        <v>0</v>
      </c>
      <c r="X76" s="12" t="s">
        <v>159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3</v>
      </c>
      <c r="B77" s="11" t="n">
        <v>46167</v>
      </c>
      <c r="C77" s="11" t="n">
        <v>46203</v>
      </c>
      <c r="D77" s="10" t="n">
        <v>10075</v>
      </c>
      <c r="E77" s="12" t="s">
        <v>160</v>
      </c>
      <c r="F77" s="10" t="n">
        <v>24</v>
      </c>
      <c r="G77" s="12" t="s">
        <v>31</v>
      </c>
      <c r="H77" s="10" t="n">
        <v>2110101</v>
      </c>
      <c r="I77" s="12" t="s">
        <v>32</v>
      </c>
      <c r="J77" s="10" t="n">
        <v>1151072</v>
      </c>
      <c r="L77" s="10" t="n">
        <v>26564</v>
      </c>
      <c r="M77" s="12" t="s">
        <v>33</v>
      </c>
      <c r="N77" s="12" t="s">
        <v>34</v>
      </c>
      <c r="P77" s="10" t="n">
        <v>128</v>
      </c>
      <c r="Q77" s="12" t="s">
        <v>35</v>
      </c>
      <c r="R77" s="12" t="s">
        <v>36</v>
      </c>
      <c r="S77" s="10" t="n">
        <v>1130101</v>
      </c>
      <c r="T77" s="12" t="s">
        <v>37</v>
      </c>
      <c r="U77" s="13" t="n">
        <v>663.67</v>
      </c>
      <c r="W77" s="13" t="n">
        <v>0</v>
      </c>
      <c r="X77" s="12" t="s">
        <v>161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3</v>
      </c>
      <c r="B78" s="11" t="n">
        <v>46203</v>
      </c>
      <c r="C78" s="11" t="n">
        <v>46203</v>
      </c>
      <c r="D78" s="10" t="n">
        <v>42</v>
      </c>
      <c r="E78" s="12" t="s">
        <v>106</v>
      </c>
      <c r="F78" s="10" t="n">
        <v>13</v>
      </c>
      <c r="G78" s="12" t="s">
        <v>91</v>
      </c>
      <c r="H78" s="10" t="n">
        <v>2110101</v>
      </c>
      <c r="I78" s="12" t="s">
        <v>32</v>
      </c>
      <c r="J78" s="10" t="n">
        <v>1328832</v>
      </c>
      <c r="L78" s="10" t="n">
        <v>4327</v>
      </c>
      <c r="M78" s="12" t="s">
        <v>33</v>
      </c>
      <c r="N78" s="12" t="s">
        <v>40</v>
      </c>
      <c r="P78" s="10" t="n">
        <v>128</v>
      </c>
      <c r="Q78" s="12" t="s">
        <v>35</v>
      </c>
      <c r="R78" s="12" t="s">
        <v>36</v>
      </c>
      <c r="S78" s="10" t="n">
        <v>1130101</v>
      </c>
      <c r="T78" s="12" t="s">
        <v>37</v>
      </c>
      <c r="U78" s="13" t="n">
        <v>60</v>
      </c>
      <c r="W78" s="13" t="n">
        <v>60</v>
      </c>
      <c r="X78" s="12" t="s">
        <v>108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3</v>
      </c>
      <c r="B79" s="11" t="n">
        <v>46203</v>
      </c>
      <c r="C79" s="11" t="n">
        <v>46203</v>
      </c>
      <c r="D79" s="10" t="n">
        <v>42</v>
      </c>
      <c r="E79" s="12" t="s">
        <v>106</v>
      </c>
      <c r="F79" s="10" t="n">
        <v>13</v>
      </c>
      <c r="G79" s="12" t="s">
        <v>91</v>
      </c>
      <c r="H79" s="10" t="n">
        <v>2110101</v>
      </c>
      <c r="I79" s="12" t="s">
        <v>32</v>
      </c>
      <c r="J79" s="10" t="n">
        <v>1330566</v>
      </c>
      <c r="L79" s="10" t="n">
        <v>4336</v>
      </c>
      <c r="M79" s="12" t="s">
        <v>33</v>
      </c>
      <c r="N79" s="12" t="s">
        <v>40</v>
      </c>
      <c r="P79" s="10" t="n">
        <v>128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120</v>
      </c>
      <c r="W79" s="13" t="n">
        <v>120</v>
      </c>
      <c r="X79" s="12" t="s">
        <v>162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3</v>
      </c>
      <c r="B80" s="11" t="n">
        <v>46203</v>
      </c>
      <c r="C80" s="11" t="n">
        <v>46203</v>
      </c>
      <c r="D80" s="10" t="n">
        <v>514</v>
      </c>
      <c r="E80" s="12" t="s">
        <v>163</v>
      </c>
      <c r="F80" s="10" t="n">
        <v>34</v>
      </c>
      <c r="G80" s="12" t="s">
        <v>58</v>
      </c>
      <c r="H80" s="10" t="n">
        <v>4310103</v>
      </c>
      <c r="I80" s="12" t="s">
        <v>164</v>
      </c>
      <c r="J80" s="10" t="n">
        <v>1335375</v>
      </c>
      <c r="L80" s="10" t="n">
        <v>208564</v>
      </c>
      <c r="M80" s="12" t="s">
        <v>33</v>
      </c>
      <c r="N80" s="12" t="s">
        <v>34</v>
      </c>
      <c r="P80" s="10" t="n">
        <v>102</v>
      </c>
      <c r="Q80" s="12" t="s">
        <v>141</v>
      </c>
      <c r="R80" s="12" t="s">
        <v>165</v>
      </c>
      <c r="S80" s="10" t="n">
        <v>4210504</v>
      </c>
      <c r="T80" s="12" t="s">
        <v>166</v>
      </c>
      <c r="U80" s="13" t="n">
        <v>358.61</v>
      </c>
      <c r="W80" s="13" t="n">
        <v>0</v>
      </c>
      <c r="X80" s="12" t="s">
        <v>167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45.75" hidden="false" customHeight="true" outlineLevel="0" collapsed="false">
      <c r="A81" s="10" t="n">
        <v>3</v>
      </c>
      <c r="B81" s="11" t="n">
        <v>46197</v>
      </c>
      <c r="C81" s="11" t="n">
        <v>46203</v>
      </c>
      <c r="D81" s="10" t="n">
        <v>1807</v>
      </c>
      <c r="E81" s="12" t="s">
        <v>168</v>
      </c>
      <c r="F81" s="10" t="n">
        <v>24</v>
      </c>
      <c r="G81" s="12" t="s">
        <v>31</v>
      </c>
      <c r="H81" s="10" t="n">
        <v>2110405</v>
      </c>
      <c r="I81" s="12" t="s">
        <v>63</v>
      </c>
      <c r="J81" s="10" t="n">
        <v>1299931</v>
      </c>
      <c r="L81" s="10" t="n">
        <v>203033</v>
      </c>
      <c r="M81" s="12" t="s">
        <v>33</v>
      </c>
      <c r="N81" s="12" t="s">
        <v>34</v>
      </c>
      <c r="P81" s="10" t="n">
        <v>101</v>
      </c>
      <c r="Q81" s="12" t="s">
        <v>136</v>
      </c>
      <c r="R81" s="12" t="s">
        <v>169</v>
      </c>
      <c r="S81" s="10" t="n">
        <v>2110704</v>
      </c>
      <c r="T81" s="12" t="s">
        <v>170</v>
      </c>
      <c r="U81" s="13" t="n">
        <v>854.37</v>
      </c>
      <c r="W81" s="13" t="n">
        <v>0</v>
      </c>
      <c r="X81" s="12" t="s">
        <v>171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3</v>
      </c>
      <c r="B82" s="11" t="n">
        <v>46197</v>
      </c>
      <c r="C82" s="11" t="n">
        <v>46203</v>
      </c>
      <c r="D82" s="10" t="n">
        <v>1807</v>
      </c>
      <c r="E82" s="12" t="s">
        <v>168</v>
      </c>
      <c r="F82" s="10" t="n">
        <v>24</v>
      </c>
      <c r="G82" s="12" t="s">
        <v>31</v>
      </c>
      <c r="H82" s="10" t="n">
        <v>4310102</v>
      </c>
      <c r="I82" s="12" t="s">
        <v>172</v>
      </c>
      <c r="J82" s="10" t="n">
        <v>1299934</v>
      </c>
      <c r="L82" s="10" t="n">
        <v>203035</v>
      </c>
      <c r="M82" s="12" t="s">
        <v>33</v>
      </c>
      <c r="N82" s="12" t="s">
        <v>34</v>
      </c>
      <c r="P82" s="10" t="n">
        <v>101</v>
      </c>
      <c r="Q82" s="12" t="s">
        <v>136</v>
      </c>
      <c r="R82" s="12" t="s">
        <v>173</v>
      </c>
      <c r="S82" s="10" t="n">
        <v>4310102</v>
      </c>
      <c r="T82" s="12" t="s">
        <v>172</v>
      </c>
      <c r="U82" s="13" t="n">
        <v>512.62</v>
      </c>
      <c r="W82" s="13" t="n">
        <v>0</v>
      </c>
      <c r="X82" s="12" t="s">
        <v>174</v>
      </c>
      <c r="Z82" s="1" t="str">
        <f aca="false">IF($T82="","",IFERROR(INDEX('Resumo Grupos'!$AC$3:$AC$200,MATCH($T82,'Resumo Grupos'!$AB$3:$AB$200,0)),"n/d"))</f>
        <v>Impostos</v>
      </c>
      <c r="AA82" s="1" t="str">
        <f aca="false">IF($T82="","",IF(COUNTIF('Resumo Grupos'!$AE$3:$AE$40,$T82)&gt;0,"NAO","SIM"))</f>
        <v>SIM</v>
      </c>
    </row>
    <row r="83" customFormat="false" ht="36.75" hidden="false" customHeight="true" outlineLevel="0" collapsed="false">
      <c r="A83" s="10" t="n">
        <v>3</v>
      </c>
      <c r="B83" s="11" t="n">
        <v>46203</v>
      </c>
      <c r="C83" s="11" t="n">
        <v>46203</v>
      </c>
      <c r="D83" s="10" t="n">
        <v>1807</v>
      </c>
      <c r="E83" s="12" t="s">
        <v>168</v>
      </c>
      <c r="F83" s="10" t="n">
        <v>24</v>
      </c>
      <c r="G83" s="12" t="s">
        <v>31</v>
      </c>
      <c r="H83" s="10" t="n">
        <v>2110405</v>
      </c>
      <c r="I83" s="12" t="s">
        <v>63</v>
      </c>
      <c r="J83" s="10" t="n">
        <v>1335476</v>
      </c>
      <c r="L83" s="10" t="n">
        <v>208578</v>
      </c>
      <c r="M83" s="12" t="s">
        <v>33</v>
      </c>
      <c r="N83" s="12" t="s">
        <v>34</v>
      </c>
      <c r="P83" s="10" t="n">
        <v>102</v>
      </c>
      <c r="Q83" s="12" t="s">
        <v>141</v>
      </c>
      <c r="R83" s="12" t="s">
        <v>169</v>
      </c>
      <c r="S83" s="10" t="n">
        <v>2110701</v>
      </c>
      <c r="T83" s="12" t="s">
        <v>175</v>
      </c>
      <c r="U83" s="13" t="n">
        <v>50</v>
      </c>
      <c r="W83" s="13" t="n">
        <v>0</v>
      </c>
      <c r="X83" s="12" t="s">
        <v>176</v>
      </c>
      <c r="Z83" s="1" t="str">
        <f aca="false">IF($T83="","",IFERROR(INDEX('Resumo Grupos'!$AC$3:$AC$200,MATCH($T83,'Resumo Grupos'!$AB$3:$AB$200,0)),"n/d"))</f>
        <v>Impostos</v>
      </c>
      <c r="AA83" s="1" t="str">
        <f aca="false">IF($T83="","",IF(COUNTIF('Resumo Grupos'!$AE$3:$AE$40,$T83)&gt;0,"NAO","SIM"))</f>
        <v>SIM</v>
      </c>
    </row>
    <row r="84" customFormat="false" ht="36.75" hidden="false" customHeight="true" outlineLevel="0" collapsed="false">
      <c r="A84" s="10" t="n">
        <v>3</v>
      </c>
      <c r="B84" s="11" t="n">
        <v>46203</v>
      </c>
      <c r="C84" s="11" t="n">
        <v>46203</v>
      </c>
      <c r="D84" s="10" t="n">
        <v>1807</v>
      </c>
      <c r="E84" s="12" t="s">
        <v>168</v>
      </c>
      <c r="F84" s="10" t="n">
        <v>24</v>
      </c>
      <c r="G84" s="12" t="s">
        <v>31</v>
      </c>
      <c r="H84" s="10" t="n">
        <v>1110204</v>
      </c>
      <c r="I84" s="12" t="s">
        <v>177</v>
      </c>
      <c r="J84" s="10" t="n">
        <v>1445137</v>
      </c>
      <c r="L84" s="10" t="n">
        <v>224942</v>
      </c>
      <c r="M84" s="12" t="s">
        <v>33</v>
      </c>
      <c r="N84" s="12" t="s">
        <v>34</v>
      </c>
      <c r="P84" s="10" t="n">
        <v>101</v>
      </c>
      <c r="Q84" s="12" t="s">
        <v>136</v>
      </c>
      <c r="R84" s="12" t="s">
        <v>169</v>
      </c>
      <c r="S84" s="10" t="n">
        <v>2110701</v>
      </c>
      <c r="T84" s="12" t="s">
        <v>175</v>
      </c>
      <c r="U84" s="13" t="n">
        <v>50</v>
      </c>
      <c r="W84" s="13" t="n">
        <v>0</v>
      </c>
      <c r="X84" s="12" t="s">
        <v>178</v>
      </c>
      <c r="Z84" s="1" t="str">
        <f aca="false">IF($T84="","",IFERROR(INDEX('Resumo Grupos'!$AC$3:$AC$200,MATCH($T84,'Resumo Grupos'!$AB$3:$AB$200,0)),"n/d"))</f>
        <v>Impostos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3</v>
      </c>
      <c r="B85" s="11" t="n">
        <v>46191</v>
      </c>
      <c r="C85" s="11" t="n">
        <v>46203</v>
      </c>
      <c r="D85" s="10" t="n">
        <v>1666</v>
      </c>
      <c r="E85" s="12" t="s">
        <v>179</v>
      </c>
      <c r="F85" s="10" t="n">
        <v>24</v>
      </c>
      <c r="G85" s="12" t="s">
        <v>31</v>
      </c>
      <c r="H85" s="10" t="n">
        <v>2110101</v>
      </c>
      <c r="I85" s="12" t="s">
        <v>32</v>
      </c>
      <c r="J85" s="10" t="n">
        <v>1272598</v>
      </c>
      <c r="L85" s="10" t="n">
        <v>564106</v>
      </c>
      <c r="M85" s="12" t="s">
        <v>33</v>
      </c>
      <c r="N85" s="12" t="s">
        <v>34</v>
      </c>
      <c r="P85" s="10" t="n">
        <v>128</v>
      </c>
      <c r="Q85" s="12" t="s">
        <v>35</v>
      </c>
      <c r="R85" s="12" t="s">
        <v>36</v>
      </c>
      <c r="S85" s="10" t="n">
        <v>1130101</v>
      </c>
      <c r="T85" s="12" t="s">
        <v>37</v>
      </c>
      <c r="U85" s="13" t="n">
        <v>2552.12</v>
      </c>
      <c r="W85" s="13" t="n">
        <v>0</v>
      </c>
      <c r="X85" s="12" t="s">
        <v>180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3</v>
      </c>
      <c r="B86" s="11" t="n">
        <v>46177</v>
      </c>
      <c r="C86" s="11" t="n">
        <v>46203</v>
      </c>
      <c r="D86" s="10" t="n">
        <v>1836</v>
      </c>
      <c r="E86" s="12" t="s">
        <v>181</v>
      </c>
      <c r="F86" s="10" t="n">
        <v>24</v>
      </c>
      <c r="G86" s="12" t="s">
        <v>31</v>
      </c>
      <c r="H86" s="10" t="n">
        <v>2110405</v>
      </c>
      <c r="I86" s="12" t="s">
        <v>63</v>
      </c>
      <c r="J86" s="10" t="n">
        <v>1312677</v>
      </c>
      <c r="L86" s="10" t="n">
        <v>451898245</v>
      </c>
      <c r="M86" s="12" t="s">
        <v>33</v>
      </c>
      <c r="N86" s="12" t="s">
        <v>34</v>
      </c>
      <c r="P86" s="10" t="n">
        <v>128</v>
      </c>
      <c r="Q86" s="12" t="s">
        <v>35</v>
      </c>
      <c r="R86" s="12" t="s">
        <v>137</v>
      </c>
      <c r="S86" s="10" t="n">
        <v>4210315</v>
      </c>
      <c r="T86" s="12" t="s">
        <v>182</v>
      </c>
      <c r="U86" s="13" t="n">
        <v>43.47</v>
      </c>
      <c r="W86" s="13" t="n">
        <v>0</v>
      </c>
      <c r="X86" s="12" t="s">
        <v>183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</row>
    <row r="87" customFormat="false" ht="45.75" hidden="false" customHeight="true" outlineLevel="0" collapsed="false">
      <c r="A87" s="10" t="n">
        <v>3</v>
      </c>
      <c r="B87" s="11" t="n">
        <v>46181</v>
      </c>
      <c r="C87" s="11" t="n">
        <v>46203</v>
      </c>
      <c r="D87" s="10" t="n">
        <v>1745</v>
      </c>
      <c r="E87" s="12" t="s">
        <v>184</v>
      </c>
      <c r="F87" s="10" t="n">
        <v>24</v>
      </c>
      <c r="G87" s="12" t="s">
        <v>31</v>
      </c>
      <c r="H87" s="10" t="n">
        <v>2110101</v>
      </c>
      <c r="I87" s="12" t="s">
        <v>32</v>
      </c>
      <c r="J87" s="10" t="n">
        <v>1235181</v>
      </c>
      <c r="L87" s="10" t="n">
        <v>3460352</v>
      </c>
      <c r="M87" s="12" t="s">
        <v>33</v>
      </c>
      <c r="N87" s="12" t="s">
        <v>34</v>
      </c>
      <c r="P87" s="10" t="n">
        <v>128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1108.36</v>
      </c>
      <c r="W87" s="13" t="n">
        <v>0</v>
      </c>
      <c r="X87" s="12" t="s">
        <v>185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45.75" hidden="false" customHeight="true" outlineLevel="0" collapsed="false">
      <c r="A88" s="10" t="n">
        <v>3</v>
      </c>
      <c r="B88" s="11" t="n">
        <v>46156</v>
      </c>
      <c r="C88" s="11" t="n">
        <v>46204</v>
      </c>
      <c r="D88" s="10" t="n">
        <v>1711</v>
      </c>
      <c r="E88" s="12" t="s">
        <v>186</v>
      </c>
      <c r="F88" s="10" t="n">
        <v>24</v>
      </c>
      <c r="G88" s="12" t="s">
        <v>31</v>
      </c>
      <c r="H88" s="10" t="n">
        <v>2110101</v>
      </c>
      <c r="I88" s="12" t="s">
        <v>32</v>
      </c>
      <c r="J88" s="10" t="n">
        <v>1101948</v>
      </c>
      <c r="L88" s="10" t="n">
        <v>1549194</v>
      </c>
      <c r="M88" s="12" t="s">
        <v>33</v>
      </c>
      <c r="N88" s="12" t="s">
        <v>34</v>
      </c>
      <c r="P88" s="10" t="n">
        <v>129</v>
      </c>
      <c r="Q88" s="12" t="s">
        <v>60</v>
      </c>
      <c r="R88" s="12" t="s">
        <v>36</v>
      </c>
      <c r="S88" s="10" t="n">
        <v>1130101</v>
      </c>
      <c r="T88" s="12" t="s">
        <v>37</v>
      </c>
      <c r="U88" s="13" t="n">
        <v>565.55</v>
      </c>
      <c r="W88" s="13" t="n">
        <v>0</v>
      </c>
      <c r="X88" s="12" t="s">
        <v>187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54.75" hidden="false" customHeight="true" outlineLevel="0" collapsed="false">
      <c r="A89" s="10" t="n">
        <v>3</v>
      </c>
      <c r="B89" s="11" t="n">
        <v>46155</v>
      </c>
      <c r="C89" s="11" t="n">
        <v>46204</v>
      </c>
      <c r="D89" s="10" t="n">
        <v>1911</v>
      </c>
      <c r="E89" s="12" t="s">
        <v>62</v>
      </c>
      <c r="F89" s="10" t="n">
        <v>34</v>
      </c>
      <c r="G89" s="12" t="s">
        <v>58</v>
      </c>
      <c r="H89" s="10" t="n">
        <v>2110101</v>
      </c>
      <c r="I89" s="12" t="s">
        <v>32</v>
      </c>
      <c r="J89" s="10" t="n">
        <v>1116834</v>
      </c>
      <c r="L89" s="10" t="n">
        <v>29642</v>
      </c>
      <c r="M89" s="12" t="s">
        <v>33</v>
      </c>
      <c r="N89" s="12" t="s">
        <v>34</v>
      </c>
      <c r="P89" s="10" t="n">
        <v>128</v>
      </c>
      <c r="Q89" s="12" t="s">
        <v>35</v>
      </c>
      <c r="R89" s="12" t="s">
        <v>64</v>
      </c>
      <c r="S89" s="10" t="n">
        <v>4210227</v>
      </c>
      <c r="T89" s="12" t="s">
        <v>65</v>
      </c>
      <c r="U89" s="13" t="n">
        <v>537.27</v>
      </c>
      <c r="W89" s="13" t="n">
        <v>0</v>
      </c>
      <c r="X89" s="12" t="s">
        <v>188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3</v>
      </c>
      <c r="B90" s="11" t="n">
        <v>46169</v>
      </c>
      <c r="C90" s="11" t="n">
        <v>46204</v>
      </c>
      <c r="D90" s="10" t="n">
        <v>1715</v>
      </c>
      <c r="E90" s="12" t="s">
        <v>78</v>
      </c>
      <c r="F90" s="10" t="n">
        <v>24</v>
      </c>
      <c r="G90" s="12" t="s">
        <v>31</v>
      </c>
      <c r="H90" s="10" t="n">
        <v>2110101</v>
      </c>
      <c r="I90" s="12" t="s">
        <v>32</v>
      </c>
      <c r="J90" s="10" t="n">
        <v>1160700</v>
      </c>
      <c r="L90" s="10" t="n">
        <v>1898652</v>
      </c>
      <c r="M90" s="12" t="s">
        <v>33</v>
      </c>
      <c r="N90" s="12" t="s">
        <v>34</v>
      </c>
      <c r="P90" s="10" t="n">
        <v>128</v>
      </c>
      <c r="Q90" s="12" t="s">
        <v>35</v>
      </c>
      <c r="R90" s="12" t="s">
        <v>36</v>
      </c>
      <c r="S90" s="10" t="n">
        <v>1130101</v>
      </c>
      <c r="T90" s="12" t="s">
        <v>37</v>
      </c>
      <c r="U90" s="13" t="n">
        <v>406.15</v>
      </c>
      <c r="W90" s="13" t="n">
        <v>0</v>
      </c>
      <c r="X90" s="12" t="s">
        <v>189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3</v>
      </c>
      <c r="B91" s="11" t="n">
        <v>46171</v>
      </c>
      <c r="C91" s="11" t="n">
        <v>46204</v>
      </c>
      <c r="D91" s="10" t="n">
        <v>1706</v>
      </c>
      <c r="E91" s="12" t="s">
        <v>190</v>
      </c>
      <c r="F91" s="10" t="n">
        <v>24</v>
      </c>
      <c r="G91" s="12" t="s">
        <v>31</v>
      </c>
      <c r="H91" s="10" t="n">
        <v>2110101</v>
      </c>
      <c r="I91" s="12" t="s">
        <v>32</v>
      </c>
      <c r="J91" s="10" t="n">
        <v>1188562</v>
      </c>
      <c r="L91" s="10" t="n">
        <v>2020063</v>
      </c>
      <c r="M91" s="12" t="s">
        <v>33</v>
      </c>
      <c r="N91" s="12" t="s">
        <v>34</v>
      </c>
      <c r="P91" s="10" t="n">
        <v>128</v>
      </c>
      <c r="Q91" s="12" t="s">
        <v>35</v>
      </c>
      <c r="R91" s="12" t="s">
        <v>36</v>
      </c>
      <c r="S91" s="10" t="n">
        <v>1130101</v>
      </c>
      <c r="T91" s="12" t="s">
        <v>37</v>
      </c>
      <c r="U91" s="13" t="n">
        <v>226.76</v>
      </c>
      <c r="W91" s="13" t="n">
        <v>0</v>
      </c>
      <c r="X91" s="12" t="s">
        <v>191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45.75" hidden="false" customHeight="true" outlineLevel="0" collapsed="false">
      <c r="A92" s="10" t="n">
        <v>3</v>
      </c>
      <c r="B92" s="11" t="n">
        <v>46179</v>
      </c>
      <c r="C92" s="11" t="n">
        <v>46204</v>
      </c>
      <c r="D92" s="10" t="n">
        <v>1612</v>
      </c>
      <c r="E92" s="12" t="s">
        <v>192</v>
      </c>
      <c r="F92" s="10" t="n">
        <v>24</v>
      </c>
      <c r="G92" s="12" t="s">
        <v>31</v>
      </c>
      <c r="H92" s="10" t="n">
        <v>2110101</v>
      </c>
      <c r="I92" s="12" t="s">
        <v>32</v>
      </c>
      <c r="J92" s="10" t="n">
        <v>1210630</v>
      </c>
      <c r="L92" s="10" t="n">
        <v>22908832</v>
      </c>
      <c r="M92" s="12" t="s">
        <v>33</v>
      </c>
      <c r="N92" s="12" t="s">
        <v>34</v>
      </c>
      <c r="P92" s="10" t="n">
        <v>128</v>
      </c>
      <c r="Q92" s="12" t="s">
        <v>35</v>
      </c>
      <c r="R92" s="12" t="s">
        <v>36</v>
      </c>
      <c r="S92" s="10" t="n">
        <v>1130101</v>
      </c>
      <c r="T92" s="12" t="s">
        <v>37</v>
      </c>
      <c r="U92" s="13" t="n">
        <v>350</v>
      </c>
      <c r="W92" s="13" t="n">
        <v>0</v>
      </c>
      <c r="X92" s="12" t="s">
        <v>193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54.75" hidden="false" customHeight="true" outlineLevel="0" collapsed="false">
      <c r="A93" s="10" t="n">
        <v>3</v>
      </c>
      <c r="B93" s="11" t="n">
        <v>46179</v>
      </c>
      <c r="C93" s="11" t="n">
        <v>46204</v>
      </c>
      <c r="D93" s="10" t="n">
        <v>10075</v>
      </c>
      <c r="E93" s="12" t="s">
        <v>160</v>
      </c>
      <c r="F93" s="10" t="n">
        <v>24</v>
      </c>
      <c r="G93" s="12" t="s">
        <v>31</v>
      </c>
      <c r="H93" s="10" t="n">
        <v>2110101</v>
      </c>
      <c r="I93" s="12" t="s">
        <v>32</v>
      </c>
      <c r="J93" s="10" t="n">
        <v>1221237</v>
      </c>
      <c r="L93" s="10" t="n">
        <v>28672</v>
      </c>
      <c r="M93" s="12" t="s">
        <v>33</v>
      </c>
      <c r="N93" s="12" t="s">
        <v>34</v>
      </c>
      <c r="P93" s="10" t="n">
        <v>128</v>
      </c>
      <c r="Q93" s="12" t="s">
        <v>35</v>
      </c>
      <c r="R93" s="12" t="s">
        <v>36</v>
      </c>
      <c r="S93" s="10" t="n">
        <v>1130101</v>
      </c>
      <c r="T93" s="12" t="s">
        <v>37</v>
      </c>
      <c r="U93" s="13" t="n">
        <v>594.75</v>
      </c>
      <c r="W93" s="13" t="n">
        <v>0</v>
      </c>
      <c r="X93" s="12" t="s">
        <v>194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54.75" hidden="false" customHeight="true" outlineLevel="0" collapsed="false">
      <c r="A94" s="10" t="n">
        <v>3</v>
      </c>
      <c r="B94" s="11" t="n">
        <v>46171</v>
      </c>
      <c r="C94" s="11" t="n">
        <v>46204</v>
      </c>
      <c r="D94" s="10" t="n">
        <v>1636</v>
      </c>
      <c r="E94" s="12" t="s">
        <v>195</v>
      </c>
      <c r="F94" s="10" t="n">
        <v>24</v>
      </c>
      <c r="G94" s="12" t="s">
        <v>31</v>
      </c>
      <c r="H94" s="10" t="n">
        <v>2110101</v>
      </c>
      <c r="I94" s="12" t="s">
        <v>32</v>
      </c>
      <c r="J94" s="10" t="n">
        <v>1222286</v>
      </c>
      <c r="L94" s="10" t="n">
        <v>31985343</v>
      </c>
      <c r="M94" s="12" t="s">
        <v>33</v>
      </c>
      <c r="N94" s="12" t="s">
        <v>34</v>
      </c>
      <c r="P94" s="10" t="n">
        <v>128</v>
      </c>
      <c r="Q94" s="12" t="s">
        <v>35</v>
      </c>
      <c r="R94" s="12" t="s">
        <v>36</v>
      </c>
      <c r="S94" s="10" t="n">
        <v>1130101</v>
      </c>
      <c r="T94" s="12" t="s">
        <v>37</v>
      </c>
      <c r="U94" s="13" t="n">
        <v>326.65</v>
      </c>
      <c r="W94" s="13" t="n">
        <v>0</v>
      </c>
      <c r="X94" s="12" t="s">
        <v>196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3</v>
      </c>
      <c r="B95" s="11" t="n">
        <v>46181</v>
      </c>
      <c r="C95" s="11" t="n">
        <v>46204</v>
      </c>
      <c r="D95" s="10" t="n">
        <v>1676</v>
      </c>
      <c r="E95" s="12" t="s">
        <v>197</v>
      </c>
      <c r="F95" s="10" t="n">
        <v>24</v>
      </c>
      <c r="G95" s="12" t="s">
        <v>31</v>
      </c>
      <c r="H95" s="10" t="n">
        <v>2110101</v>
      </c>
      <c r="I95" s="12" t="s">
        <v>32</v>
      </c>
      <c r="J95" s="10" t="n">
        <v>1226684</v>
      </c>
      <c r="L95" s="10" t="n">
        <v>1030522</v>
      </c>
      <c r="M95" s="12" t="s">
        <v>33</v>
      </c>
      <c r="N95" s="12" t="s">
        <v>34</v>
      </c>
      <c r="P95" s="10" t="n">
        <v>128</v>
      </c>
      <c r="Q95" s="12" t="s">
        <v>35</v>
      </c>
      <c r="R95" s="12" t="s">
        <v>36</v>
      </c>
      <c r="S95" s="10" t="n">
        <v>1130101</v>
      </c>
      <c r="T95" s="12" t="s">
        <v>37</v>
      </c>
      <c r="U95" s="13" t="n">
        <v>593.71</v>
      </c>
      <c r="W95" s="13" t="n">
        <v>0</v>
      </c>
      <c r="X95" s="12" t="s">
        <v>198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0" t="n">
        <v>3</v>
      </c>
      <c r="B96" s="11" t="n">
        <v>46182</v>
      </c>
      <c r="C96" s="11" t="n">
        <v>46204</v>
      </c>
      <c r="D96" s="10" t="n">
        <v>1611</v>
      </c>
      <c r="E96" s="12" t="s">
        <v>199</v>
      </c>
      <c r="F96" s="10" t="n">
        <v>24</v>
      </c>
      <c r="G96" s="12" t="s">
        <v>31</v>
      </c>
      <c r="H96" s="10" t="n">
        <v>2110101</v>
      </c>
      <c r="I96" s="12" t="s">
        <v>32</v>
      </c>
      <c r="J96" s="10" t="n">
        <v>1230667</v>
      </c>
      <c r="L96" s="10" t="n">
        <v>180513082</v>
      </c>
      <c r="M96" s="12" t="s">
        <v>33</v>
      </c>
      <c r="N96" s="12" t="s">
        <v>34</v>
      </c>
      <c r="P96" s="10" t="n">
        <v>128</v>
      </c>
      <c r="Q96" s="12" t="s">
        <v>35</v>
      </c>
      <c r="R96" s="12" t="s">
        <v>36</v>
      </c>
      <c r="S96" s="10" t="n">
        <v>1130101</v>
      </c>
      <c r="T96" s="12" t="s">
        <v>37</v>
      </c>
      <c r="U96" s="13" t="n">
        <v>398.46</v>
      </c>
      <c r="W96" s="13" t="n">
        <v>0</v>
      </c>
      <c r="X96" s="12" t="s">
        <v>200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3</v>
      </c>
      <c r="B97" s="11" t="n">
        <v>46181</v>
      </c>
      <c r="C97" s="11" t="n">
        <v>46204</v>
      </c>
      <c r="D97" s="10" t="n">
        <v>1672</v>
      </c>
      <c r="E97" s="12" t="s">
        <v>93</v>
      </c>
      <c r="F97" s="10" t="n">
        <v>24</v>
      </c>
      <c r="G97" s="12" t="s">
        <v>31</v>
      </c>
      <c r="H97" s="10" t="n">
        <v>2110101</v>
      </c>
      <c r="I97" s="12" t="s">
        <v>32</v>
      </c>
      <c r="J97" s="10" t="n">
        <v>1231143</v>
      </c>
      <c r="L97" s="10" t="n">
        <v>13661222</v>
      </c>
      <c r="M97" s="12" t="s">
        <v>33</v>
      </c>
      <c r="N97" s="12" t="s">
        <v>34</v>
      </c>
      <c r="P97" s="10" t="n">
        <v>128</v>
      </c>
      <c r="Q97" s="12" t="s">
        <v>35</v>
      </c>
      <c r="R97" s="12" t="s">
        <v>36</v>
      </c>
      <c r="S97" s="10" t="n">
        <v>1130101</v>
      </c>
      <c r="T97" s="12" t="s">
        <v>37</v>
      </c>
      <c r="U97" s="13" t="n">
        <v>441.5</v>
      </c>
      <c r="W97" s="13" t="n">
        <v>0</v>
      </c>
      <c r="X97" s="12" t="s">
        <v>201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3</v>
      </c>
      <c r="B98" s="11" t="n">
        <v>46184</v>
      </c>
      <c r="C98" s="11" t="n">
        <v>46204</v>
      </c>
      <c r="D98" s="10" t="n">
        <v>1659</v>
      </c>
      <c r="E98" s="12" t="s">
        <v>30</v>
      </c>
      <c r="F98" s="10" t="n">
        <v>24</v>
      </c>
      <c r="G98" s="12" t="s">
        <v>31</v>
      </c>
      <c r="H98" s="10" t="n">
        <v>2110101</v>
      </c>
      <c r="I98" s="12" t="s">
        <v>32</v>
      </c>
      <c r="J98" s="10" t="n">
        <v>1241412</v>
      </c>
      <c r="L98" s="10" t="n">
        <v>8782351</v>
      </c>
      <c r="M98" s="12" t="s">
        <v>33</v>
      </c>
      <c r="N98" s="12" t="s">
        <v>34</v>
      </c>
      <c r="P98" s="10" t="n">
        <v>128</v>
      </c>
      <c r="Q98" s="12" t="s">
        <v>35</v>
      </c>
      <c r="R98" s="12" t="s">
        <v>36</v>
      </c>
      <c r="S98" s="10" t="n">
        <v>1130101</v>
      </c>
      <c r="T98" s="12" t="s">
        <v>37</v>
      </c>
      <c r="U98" s="13" t="n">
        <v>427.87</v>
      </c>
      <c r="W98" s="13" t="n">
        <v>0</v>
      </c>
      <c r="X98" s="12" t="s">
        <v>202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3</v>
      </c>
      <c r="B99" s="11" t="n">
        <v>46188</v>
      </c>
      <c r="C99" s="11" t="n">
        <v>46204</v>
      </c>
      <c r="D99" s="10" t="n">
        <v>1672</v>
      </c>
      <c r="E99" s="12" t="s">
        <v>93</v>
      </c>
      <c r="F99" s="10" t="n">
        <v>24</v>
      </c>
      <c r="G99" s="12" t="s">
        <v>31</v>
      </c>
      <c r="H99" s="10" t="n">
        <v>2110101</v>
      </c>
      <c r="I99" s="12" t="s">
        <v>32</v>
      </c>
      <c r="J99" s="10" t="n">
        <v>1261062</v>
      </c>
      <c r="L99" s="10" t="n">
        <v>1371725</v>
      </c>
      <c r="M99" s="12" t="s">
        <v>33</v>
      </c>
      <c r="N99" s="12" t="s">
        <v>34</v>
      </c>
      <c r="P99" s="10" t="n">
        <v>128</v>
      </c>
      <c r="Q99" s="12" t="s">
        <v>35</v>
      </c>
      <c r="R99" s="12" t="s">
        <v>36</v>
      </c>
      <c r="S99" s="10" t="n">
        <v>1130101</v>
      </c>
      <c r="T99" s="12" t="s">
        <v>37</v>
      </c>
      <c r="U99" s="13" t="n">
        <v>210</v>
      </c>
      <c r="W99" s="13" t="n">
        <v>0</v>
      </c>
      <c r="X99" s="12" t="s">
        <v>203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45.75" hidden="false" customHeight="true" outlineLevel="0" collapsed="false">
      <c r="A100" s="10" t="n">
        <v>3</v>
      </c>
      <c r="B100" s="11" t="n">
        <v>46189</v>
      </c>
      <c r="C100" s="11" t="n">
        <v>46204</v>
      </c>
      <c r="D100" s="10" t="n">
        <v>1672</v>
      </c>
      <c r="E100" s="12" t="s">
        <v>93</v>
      </c>
      <c r="F100" s="10" t="n">
        <v>24</v>
      </c>
      <c r="G100" s="12" t="s">
        <v>31</v>
      </c>
      <c r="H100" s="10" t="n">
        <v>2110101</v>
      </c>
      <c r="I100" s="12" t="s">
        <v>32</v>
      </c>
      <c r="J100" s="10" t="n">
        <v>1265357</v>
      </c>
      <c r="L100" s="10" t="n">
        <v>13721731</v>
      </c>
      <c r="M100" s="12" t="s">
        <v>33</v>
      </c>
      <c r="N100" s="12" t="s">
        <v>34</v>
      </c>
      <c r="P100" s="10" t="n">
        <v>128</v>
      </c>
      <c r="Q100" s="12" t="s">
        <v>35</v>
      </c>
      <c r="R100" s="12" t="s">
        <v>36</v>
      </c>
      <c r="S100" s="10" t="n">
        <v>1130101</v>
      </c>
      <c r="T100" s="12" t="s">
        <v>37</v>
      </c>
      <c r="U100" s="13" t="n">
        <v>661.25</v>
      </c>
      <c r="W100" s="13" t="n">
        <v>0</v>
      </c>
      <c r="X100" s="12" t="s">
        <v>204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3</v>
      </c>
      <c r="B101" s="11" t="n">
        <v>46189</v>
      </c>
      <c r="C101" s="11" t="n">
        <v>46204</v>
      </c>
      <c r="D101" s="10" t="n">
        <v>1789</v>
      </c>
      <c r="E101" s="12" t="s">
        <v>205</v>
      </c>
      <c r="F101" s="10" t="n">
        <v>24</v>
      </c>
      <c r="G101" s="12" t="s">
        <v>31</v>
      </c>
      <c r="H101" s="10" t="n">
        <v>2110405</v>
      </c>
      <c r="I101" s="12" t="s">
        <v>63</v>
      </c>
      <c r="J101" s="10" t="n">
        <v>1266145</v>
      </c>
      <c r="L101" s="10" t="n">
        <v>117531025</v>
      </c>
      <c r="M101" s="12" t="s">
        <v>33</v>
      </c>
      <c r="N101" s="12" t="s">
        <v>34</v>
      </c>
      <c r="P101" s="10" t="n">
        <v>128</v>
      </c>
      <c r="Q101" s="12" t="s">
        <v>35</v>
      </c>
      <c r="R101" s="12" t="s">
        <v>206</v>
      </c>
      <c r="S101" s="10" t="n">
        <v>4210112</v>
      </c>
      <c r="T101" s="12" t="s">
        <v>207</v>
      </c>
      <c r="U101" s="13" t="n">
        <v>116.21</v>
      </c>
      <c r="W101" s="13" t="n">
        <v>0</v>
      </c>
      <c r="X101" s="12" t="s">
        <v>208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3</v>
      </c>
      <c r="B102" s="11" t="n">
        <v>46191</v>
      </c>
      <c r="C102" s="11" t="n">
        <v>46204</v>
      </c>
      <c r="D102" s="10" t="n">
        <v>1613</v>
      </c>
      <c r="E102" s="12" t="s">
        <v>209</v>
      </c>
      <c r="F102" s="10" t="n">
        <v>24</v>
      </c>
      <c r="G102" s="12" t="s">
        <v>31</v>
      </c>
      <c r="H102" s="10" t="n">
        <v>2110101</v>
      </c>
      <c r="I102" s="12" t="s">
        <v>32</v>
      </c>
      <c r="J102" s="10" t="n">
        <v>1268696</v>
      </c>
      <c r="L102" s="10" t="n">
        <v>15983482</v>
      </c>
      <c r="M102" s="12" t="s">
        <v>33</v>
      </c>
      <c r="N102" s="12" t="s">
        <v>34</v>
      </c>
      <c r="P102" s="10" t="n">
        <v>128</v>
      </c>
      <c r="Q102" s="12" t="s">
        <v>35</v>
      </c>
      <c r="R102" s="12" t="s">
        <v>36</v>
      </c>
      <c r="S102" s="10" t="n">
        <v>1130101</v>
      </c>
      <c r="T102" s="12" t="s">
        <v>37</v>
      </c>
      <c r="U102" s="13" t="n">
        <v>2026.67</v>
      </c>
      <c r="W102" s="13" t="n">
        <v>0</v>
      </c>
      <c r="X102" s="12" t="s">
        <v>210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3</v>
      </c>
      <c r="B103" s="11" t="n">
        <v>46193</v>
      </c>
      <c r="C103" s="11" t="n">
        <v>46204</v>
      </c>
      <c r="D103" s="10" t="n">
        <v>1695</v>
      </c>
      <c r="E103" s="12" t="s">
        <v>211</v>
      </c>
      <c r="F103" s="10" t="n">
        <v>24</v>
      </c>
      <c r="G103" s="12" t="s">
        <v>31</v>
      </c>
      <c r="H103" s="10" t="n">
        <v>2110101</v>
      </c>
      <c r="I103" s="12" t="s">
        <v>32</v>
      </c>
      <c r="J103" s="10" t="n">
        <v>1288984</v>
      </c>
      <c r="L103" s="10" t="n">
        <v>187931</v>
      </c>
      <c r="M103" s="12" t="s">
        <v>33</v>
      </c>
      <c r="N103" s="12" t="s">
        <v>34</v>
      </c>
      <c r="P103" s="10" t="n">
        <v>128</v>
      </c>
      <c r="Q103" s="12" t="s">
        <v>35</v>
      </c>
      <c r="R103" s="12" t="s">
        <v>36</v>
      </c>
      <c r="S103" s="10" t="n">
        <v>1130101</v>
      </c>
      <c r="T103" s="12" t="s">
        <v>37</v>
      </c>
      <c r="U103" s="13" t="n">
        <v>521.46</v>
      </c>
      <c r="W103" s="13" t="n">
        <v>0</v>
      </c>
      <c r="X103" s="12" t="s">
        <v>212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72.75" hidden="false" customHeight="true" outlineLevel="0" collapsed="false">
      <c r="A104" s="10" t="n">
        <v>3</v>
      </c>
      <c r="B104" s="11" t="n">
        <v>46195</v>
      </c>
      <c r="C104" s="11" t="n">
        <v>46204</v>
      </c>
      <c r="D104" s="10" t="n">
        <v>1789</v>
      </c>
      <c r="E104" s="12" t="s">
        <v>205</v>
      </c>
      <c r="F104" s="10" t="n">
        <v>24</v>
      </c>
      <c r="G104" s="12" t="s">
        <v>31</v>
      </c>
      <c r="H104" s="10" t="n">
        <v>2110405</v>
      </c>
      <c r="I104" s="12" t="s">
        <v>63</v>
      </c>
      <c r="J104" s="10" t="n">
        <v>1293673</v>
      </c>
      <c r="L104" s="10" t="n">
        <v>117831418</v>
      </c>
      <c r="M104" s="12" t="s">
        <v>33</v>
      </c>
      <c r="N104" s="12" t="s">
        <v>34</v>
      </c>
      <c r="P104" s="10" t="n">
        <v>128</v>
      </c>
      <c r="Q104" s="12" t="s">
        <v>35</v>
      </c>
      <c r="R104" s="12" t="s">
        <v>206</v>
      </c>
      <c r="S104" s="10" t="n">
        <v>4210112</v>
      </c>
      <c r="T104" s="12" t="s">
        <v>207</v>
      </c>
      <c r="U104" s="13" t="n">
        <v>5792.81</v>
      </c>
      <c r="W104" s="13" t="n">
        <v>0</v>
      </c>
      <c r="X104" s="12" t="s">
        <v>213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3</v>
      </c>
      <c r="B105" s="11" t="n">
        <v>46196</v>
      </c>
      <c r="C105" s="11" t="n">
        <v>46204</v>
      </c>
      <c r="D105" s="10" t="n">
        <v>1734</v>
      </c>
      <c r="E105" s="12" t="s">
        <v>214</v>
      </c>
      <c r="F105" s="10" t="n">
        <v>24</v>
      </c>
      <c r="G105" s="12" t="s">
        <v>31</v>
      </c>
      <c r="H105" s="10" t="n">
        <v>2110101</v>
      </c>
      <c r="I105" s="12" t="s">
        <v>32</v>
      </c>
      <c r="J105" s="10" t="n">
        <v>1304367</v>
      </c>
      <c r="L105" s="10" t="n">
        <v>2540812</v>
      </c>
      <c r="M105" s="12" t="s">
        <v>33</v>
      </c>
      <c r="N105" s="12" t="s">
        <v>34</v>
      </c>
      <c r="P105" s="10" t="n">
        <v>128</v>
      </c>
      <c r="Q105" s="12" t="s">
        <v>35</v>
      </c>
      <c r="R105" s="12" t="s">
        <v>36</v>
      </c>
      <c r="S105" s="10" t="n">
        <v>1130101</v>
      </c>
      <c r="T105" s="12" t="s">
        <v>37</v>
      </c>
      <c r="U105" s="13" t="n">
        <v>324</v>
      </c>
      <c r="W105" s="13" t="n">
        <v>0</v>
      </c>
      <c r="X105" s="12" t="s">
        <v>215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63.75" hidden="false" customHeight="true" outlineLevel="0" collapsed="false">
      <c r="A106" s="10" t="n">
        <v>3</v>
      </c>
      <c r="B106" s="11" t="n">
        <v>46198</v>
      </c>
      <c r="C106" s="11" t="n">
        <v>46204</v>
      </c>
      <c r="D106" s="10" t="n">
        <v>1378</v>
      </c>
      <c r="E106" s="12" t="s">
        <v>119</v>
      </c>
      <c r="F106" s="10" t="n">
        <v>24</v>
      </c>
      <c r="G106" s="12" t="s">
        <v>31</v>
      </c>
      <c r="H106" s="10" t="n">
        <v>2110101</v>
      </c>
      <c r="I106" s="12" t="s">
        <v>32</v>
      </c>
      <c r="J106" s="10" t="n">
        <v>1304468</v>
      </c>
      <c r="L106" s="10" t="n">
        <v>17914</v>
      </c>
      <c r="M106" s="12" t="s">
        <v>33</v>
      </c>
      <c r="N106" s="12" t="s">
        <v>40</v>
      </c>
      <c r="P106" s="10" t="n">
        <v>128</v>
      </c>
      <c r="Q106" s="12" t="s">
        <v>35</v>
      </c>
      <c r="R106" s="12" t="s">
        <v>36</v>
      </c>
      <c r="S106" s="10" t="n">
        <v>1130101</v>
      </c>
      <c r="T106" s="12" t="s">
        <v>37</v>
      </c>
      <c r="U106" s="13" t="n">
        <v>406.3</v>
      </c>
      <c r="W106" s="13" t="n">
        <v>0</v>
      </c>
      <c r="X106" s="12" t="s">
        <v>216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63.75" hidden="false" customHeight="true" outlineLevel="0" collapsed="false">
      <c r="A107" s="10" t="n">
        <v>3</v>
      </c>
      <c r="B107" s="11" t="n">
        <v>46199</v>
      </c>
      <c r="C107" s="11" t="n">
        <v>46204</v>
      </c>
      <c r="D107" s="10" t="n">
        <v>42</v>
      </c>
      <c r="E107" s="12" t="s">
        <v>106</v>
      </c>
      <c r="F107" s="10" t="n">
        <v>34</v>
      </c>
      <c r="G107" s="12" t="s">
        <v>58</v>
      </c>
      <c r="H107" s="10" t="n">
        <v>2110101</v>
      </c>
      <c r="I107" s="12" t="s">
        <v>32</v>
      </c>
      <c r="J107" s="10" t="n">
        <v>1309941</v>
      </c>
      <c r="L107" s="10" t="n">
        <v>4310</v>
      </c>
      <c r="M107" s="12" t="s">
        <v>33</v>
      </c>
      <c r="N107" s="12" t="s">
        <v>40</v>
      </c>
      <c r="P107" s="10" t="n">
        <v>129</v>
      </c>
      <c r="Q107" s="12" t="s">
        <v>60</v>
      </c>
      <c r="R107" s="12" t="s">
        <v>36</v>
      </c>
      <c r="S107" s="10" t="n">
        <v>1130101</v>
      </c>
      <c r="T107" s="12" t="s">
        <v>37</v>
      </c>
      <c r="U107" s="13" t="n">
        <v>2799</v>
      </c>
      <c r="W107" s="13" t="n">
        <v>0</v>
      </c>
      <c r="X107" s="12" t="s">
        <v>217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54.75" hidden="false" customHeight="true" outlineLevel="0" collapsed="false">
      <c r="A108" s="10" t="n">
        <v>3</v>
      </c>
      <c r="B108" s="11" t="n">
        <v>46199</v>
      </c>
      <c r="C108" s="11" t="n">
        <v>46204</v>
      </c>
      <c r="D108" s="10" t="n">
        <v>1615</v>
      </c>
      <c r="E108" s="12" t="s">
        <v>57</v>
      </c>
      <c r="F108" s="10" t="n">
        <v>34</v>
      </c>
      <c r="G108" s="12" t="s">
        <v>58</v>
      </c>
      <c r="H108" s="10" t="n">
        <v>2110101</v>
      </c>
      <c r="I108" s="12" t="s">
        <v>32</v>
      </c>
      <c r="J108" s="10" t="n">
        <v>1309963</v>
      </c>
      <c r="L108" s="10" t="n">
        <v>14753</v>
      </c>
      <c r="M108" s="12" t="s">
        <v>33</v>
      </c>
      <c r="N108" s="12" t="s">
        <v>40</v>
      </c>
      <c r="P108" s="10" t="n">
        <v>129</v>
      </c>
      <c r="Q108" s="12" t="s">
        <v>60</v>
      </c>
      <c r="R108" s="12" t="s">
        <v>36</v>
      </c>
      <c r="S108" s="10" t="n">
        <v>1130101</v>
      </c>
      <c r="T108" s="12" t="s">
        <v>37</v>
      </c>
      <c r="U108" s="13" t="n">
        <v>670</v>
      </c>
      <c r="W108" s="13" t="n">
        <v>0</v>
      </c>
      <c r="X108" s="12" t="s">
        <v>61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3</v>
      </c>
      <c r="B109" s="11" t="n">
        <v>46201</v>
      </c>
      <c r="C109" s="11" t="n">
        <v>46204</v>
      </c>
      <c r="D109" s="10" t="n">
        <v>1936</v>
      </c>
      <c r="E109" s="12" t="s">
        <v>218</v>
      </c>
      <c r="F109" s="10" t="n">
        <v>24</v>
      </c>
      <c r="G109" s="12" t="s">
        <v>31</v>
      </c>
      <c r="H109" s="10" t="n">
        <v>2110101</v>
      </c>
      <c r="I109" s="12" t="s">
        <v>32</v>
      </c>
      <c r="J109" s="10" t="n">
        <v>1321460</v>
      </c>
      <c r="L109" s="10" t="n">
        <v>206671</v>
      </c>
      <c r="M109" s="12" t="s">
        <v>33</v>
      </c>
      <c r="N109" s="12" t="s">
        <v>34</v>
      </c>
      <c r="P109" s="10" t="n">
        <v>128</v>
      </c>
      <c r="Q109" s="12" t="s">
        <v>35</v>
      </c>
      <c r="R109" s="12" t="s">
        <v>36</v>
      </c>
      <c r="S109" s="10" t="n">
        <v>1130101</v>
      </c>
      <c r="T109" s="12" t="s">
        <v>37</v>
      </c>
      <c r="U109" s="13" t="n">
        <v>314.27</v>
      </c>
      <c r="W109" s="13" t="n">
        <v>0</v>
      </c>
      <c r="X109" s="12" t="s">
        <v>219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3</v>
      </c>
      <c r="B110" s="11" t="n">
        <v>46204</v>
      </c>
      <c r="C110" s="11" t="n">
        <v>46204</v>
      </c>
      <c r="D110" s="10" t="n">
        <v>42</v>
      </c>
      <c r="E110" s="12" t="s">
        <v>106</v>
      </c>
      <c r="F110" s="10" t="n">
        <v>13</v>
      </c>
      <c r="G110" s="12" t="s">
        <v>91</v>
      </c>
      <c r="H110" s="10" t="n">
        <v>2110101</v>
      </c>
      <c r="I110" s="12" t="s">
        <v>32</v>
      </c>
      <c r="J110" s="10" t="n">
        <v>1334160</v>
      </c>
      <c r="L110" s="10" t="n">
        <v>4338</v>
      </c>
      <c r="M110" s="12" t="s">
        <v>33</v>
      </c>
      <c r="N110" s="12" t="s">
        <v>40</v>
      </c>
      <c r="P110" s="10" t="n">
        <v>167</v>
      </c>
      <c r="Q110" s="12" t="s">
        <v>220</v>
      </c>
      <c r="R110" s="12" t="s">
        <v>36</v>
      </c>
      <c r="S110" s="10" t="n">
        <v>1130101</v>
      </c>
      <c r="T110" s="12" t="s">
        <v>37</v>
      </c>
      <c r="U110" s="13" t="n">
        <v>125</v>
      </c>
      <c r="W110" s="13" t="n">
        <v>125</v>
      </c>
      <c r="X110" s="12" t="s">
        <v>221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45.75" hidden="false" customHeight="true" outlineLevel="0" collapsed="false">
      <c r="A111" s="10" t="n">
        <v>3</v>
      </c>
      <c r="B111" s="11" t="n">
        <v>46204</v>
      </c>
      <c r="C111" s="11" t="n">
        <v>46204</v>
      </c>
      <c r="D111" s="10" t="n">
        <v>514</v>
      </c>
      <c r="E111" s="12" t="s">
        <v>163</v>
      </c>
      <c r="F111" s="10" t="n">
        <v>34</v>
      </c>
      <c r="G111" s="12" t="s">
        <v>58</v>
      </c>
      <c r="H111" s="10" t="n">
        <v>2110405</v>
      </c>
      <c r="I111" s="12" t="s">
        <v>63</v>
      </c>
      <c r="J111" s="10" t="n">
        <v>1335399</v>
      </c>
      <c r="L111" s="10" t="n">
        <v>208567</v>
      </c>
      <c r="M111" s="12" t="s">
        <v>33</v>
      </c>
      <c r="N111" s="12" t="s">
        <v>34</v>
      </c>
      <c r="P111" s="10" t="n">
        <v>102</v>
      </c>
      <c r="Q111" s="12" t="s">
        <v>141</v>
      </c>
      <c r="R111" s="12" t="s">
        <v>222</v>
      </c>
      <c r="S111" s="10" t="n">
        <v>4220199</v>
      </c>
      <c r="T111" s="12" t="s">
        <v>223</v>
      </c>
      <c r="U111" s="13" t="n">
        <v>210</v>
      </c>
      <c r="W111" s="13" t="n">
        <v>0</v>
      </c>
      <c r="X111" s="12" t="s">
        <v>224</v>
      </c>
      <c r="Z111" s="1" t="str">
        <f aca="false">IF($T111="","",IFERROR(INDEX('Resumo Grupos'!$AC$3:$AC$200,MATCH($T111,'Resumo Grupos'!$AB$3:$AB$200,0)),"n/d"))</f>
        <v>Pagamentos outros não operacionais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3</v>
      </c>
      <c r="B112" s="11" t="n">
        <v>46204</v>
      </c>
      <c r="C112" s="11" t="n">
        <v>46204</v>
      </c>
      <c r="D112" s="10" t="n">
        <v>10047</v>
      </c>
      <c r="E112" s="12" t="s">
        <v>140</v>
      </c>
      <c r="F112" s="10" t="n">
        <v>24</v>
      </c>
      <c r="G112" s="12" t="s">
        <v>31</v>
      </c>
      <c r="H112" s="10" t="n">
        <v>2110101</v>
      </c>
      <c r="I112" s="12" t="s">
        <v>32</v>
      </c>
      <c r="J112" s="10" t="n">
        <v>1336356</v>
      </c>
      <c r="L112" s="10" t="n">
        <v>208680</v>
      </c>
      <c r="M112" s="12" t="s">
        <v>33</v>
      </c>
      <c r="N112" s="12" t="s">
        <v>34</v>
      </c>
      <c r="P112" s="10" t="n">
        <v>102</v>
      </c>
      <c r="Q112" s="12" t="s">
        <v>141</v>
      </c>
      <c r="R112" s="12" t="s">
        <v>36</v>
      </c>
      <c r="S112" s="10" t="n">
        <v>1130101</v>
      </c>
      <c r="T112" s="12" t="s">
        <v>37</v>
      </c>
      <c r="U112" s="13" t="n">
        <v>171.62</v>
      </c>
      <c r="W112" s="13" t="n">
        <v>0</v>
      </c>
      <c r="X112" s="12" t="s">
        <v>225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3</v>
      </c>
      <c r="B113" s="11" t="n">
        <v>46204</v>
      </c>
      <c r="C113" s="11" t="n">
        <v>46204</v>
      </c>
      <c r="D113" s="10" t="n">
        <v>35</v>
      </c>
      <c r="E113" s="12" t="s">
        <v>35</v>
      </c>
      <c r="F113" s="10" t="n">
        <v>34</v>
      </c>
      <c r="G113" s="12" t="s">
        <v>58</v>
      </c>
      <c r="H113" s="10" t="n">
        <v>2110405</v>
      </c>
      <c r="I113" s="12" t="s">
        <v>63</v>
      </c>
      <c r="J113" s="10" t="n">
        <v>1338952</v>
      </c>
      <c r="L113" s="10" t="n">
        <v>209054</v>
      </c>
      <c r="M113" s="12" t="s">
        <v>33</v>
      </c>
      <c r="N113" s="12" t="s">
        <v>34</v>
      </c>
      <c r="P113" s="10" t="n">
        <v>167</v>
      </c>
      <c r="Q113" s="12" t="s">
        <v>220</v>
      </c>
      <c r="R113" s="12" t="s">
        <v>137</v>
      </c>
      <c r="S113" s="10" t="n">
        <v>4210310</v>
      </c>
      <c r="T113" s="12" t="s">
        <v>226</v>
      </c>
      <c r="U113" s="13" t="n">
        <v>405</v>
      </c>
      <c r="W113" s="13" t="n">
        <v>0</v>
      </c>
      <c r="X113" s="12" t="s">
        <v>227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3</v>
      </c>
      <c r="B114" s="11" t="n">
        <v>46204</v>
      </c>
      <c r="C114" s="11" t="n">
        <v>46204</v>
      </c>
      <c r="D114" s="10" t="n">
        <v>41</v>
      </c>
      <c r="E114" s="12" t="s">
        <v>228</v>
      </c>
      <c r="F114" s="10" t="n">
        <v>34</v>
      </c>
      <c r="G114" s="12" t="s">
        <v>58</v>
      </c>
      <c r="H114" s="10" t="n">
        <v>2110405</v>
      </c>
      <c r="I114" s="12" t="s">
        <v>63</v>
      </c>
      <c r="J114" s="10" t="n">
        <v>1338961</v>
      </c>
      <c r="L114" s="10" t="n">
        <v>209057</v>
      </c>
      <c r="M114" s="12" t="s">
        <v>33</v>
      </c>
      <c r="N114" s="12" t="s">
        <v>34</v>
      </c>
      <c r="P114" s="10" t="n">
        <v>167</v>
      </c>
      <c r="Q114" s="12" t="s">
        <v>220</v>
      </c>
      <c r="R114" s="12" t="s">
        <v>137</v>
      </c>
      <c r="S114" s="10" t="n">
        <v>4210310</v>
      </c>
      <c r="T114" s="12" t="s">
        <v>226</v>
      </c>
      <c r="U114" s="13" t="n">
        <v>405</v>
      </c>
      <c r="W114" s="13" t="n">
        <v>0</v>
      </c>
      <c r="X114" s="12" t="s">
        <v>227</v>
      </c>
      <c r="Z114" s="1" t="str">
        <f aca="false">IF($T114="","",IFERROR(INDEX('Resumo Grupos'!$AC$3:$AC$200,MATCH($T114,'Resumo Grupos'!$AB$3:$AB$200,0)),"n/d"))</f>
        <v>Despesa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3</v>
      </c>
      <c r="B115" s="11" t="n">
        <v>46204</v>
      </c>
      <c r="C115" s="11" t="n">
        <v>46204</v>
      </c>
      <c r="D115" s="10" t="n">
        <v>239</v>
      </c>
      <c r="E115" s="12" t="s">
        <v>229</v>
      </c>
      <c r="F115" s="10" t="n">
        <v>34</v>
      </c>
      <c r="G115" s="12" t="s">
        <v>58</v>
      </c>
      <c r="H115" s="10" t="n">
        <v>2110405</v>
      </c>
      <c r="I115" s="12" t="s">
        <v>63</v>
      </c>
      <c r="J115" s="10" t="n">
        <v>1338964</v>
      </c>
      <c r="L115" s="10" t="n">
        <v>209060</v>
      </c>
      <c r="M115" s="12" t="s">
        <v>33</v>
      </c>
      <c r="N115" s="12" t="s">
        <v>34</v>
      </c>
      <c r="P115" s="10" t="n">
        <v>167</v>
      </c>
      <c r="Q115" s="12" t="s">
        <v>220</v>
      </c>
      <c r="R115" s="12" t="s">
        <v>137</v>
      </c>
      <c r="S115" s="10" t="n">
        <v>4210310</v>
      </c>
      <c r="T115" s="12" t="s">
        <v>226</v>
      </c>
      <c r="U115" s="13" t="n">
        <v>390</v>
      </c>
      <c r="W115" s="13" t="n">
        <v>0</v>
      </c>
      <c r="X115" s="12" t="s">
        <v>227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3</v>
      </c>
      <c r="B116" s="11" t="n">
        <v>46204</v>
      </c>
      <c r="C116" s="11" t="n">
        <v>46204</v>
      </c>
      <c r="D116" s="10" t="n">
        <v>225</v>
      </c>
      <c r="E116" s="12" t="s">
        <v>230</v>
      </c>
      <c r="F116" s="10" t="n">
        <v>34</v>
      </c>
      <c r="G116" s="12" t="s">
        <v>58</v>
      </c>
      <c r="H116" s="10" t="n">
        <v>2110405</v>
      </c>
      <c r="I116" s="12" t="s">
        <v>63</v>
      </c>
      <c r="J116" s="10" t="n">
        <v>1338966</v>
      </c>
      <c r="L116" s="10" t="n">
        <v>209061</v>
      </c>
      <c r="M116" s="12" t="s">
        <v>33</v>
      </c>
      <c r="N116" s="12" t="s">
        <v>34</v>
      </c>
      <c r="P116" s="10" t="n">
        <v>167</v>
      </c>
      <c r="Q116" s="12" t="s">
        <v>220</v>
      </c>
      <c r="R116" s="12" t="s">
        <v>137</v>
      </c>
      <c r="S116" s="10" t="n">
        <v>4210310</v>
      </c>
      <c r="T116" s="12" t="s">
        <v>226</v>
      </c>
      <c r="U116" s="13" t="n">
        <v>390</v>
      </c>
      <c r="W116" s="13" t="n">
        <v>0</v>
      </c>
      <c r="X116" s="12" t="s">
        <v>227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3</v>
      </c>
      <c r="B117" s="11" t="n">
        <v>46204</v>
      </c>
      <c r="C117" s="11" t="n">
        <v>46204</v>
      </c>
      <c r="D117" s="10" t="n">
        <v>200</v>
      </c>
      <c r="E117" s="12" t="s">
        <v>231</v>
      </c>
      <c r="F117" s="10" t="n">
        <v>34</v>
      </c>
      <c r="G117" s="12" t="s">
        <v>58</v>
      </c>
      <c r="H117" s="10" t="n">
        <v>2110405</v>
      </c>
      <c r="I117" s="12" t="s">
        <v>63</v>
      </c>
      <c r="J117" s="10" t="n">
        <v>1338969</v>
      </c>
      <c r="L117" s="10" t="n">
        <v>209062</v>
      </c>
      <c r="M117" s="12" t="s">
        <v>33</v>
      </c>
      <c r="N117" s="12" t="s">
        <v>34</v>
      </c>
      <c r="P117" s="10" t="n">
        <v>167</v>
      </c>
      <c r="Q117" s="12" t="s">
        <v>220</v>
      </c>
      <c r="R117" s="12" t="s">
        <v>137</v>
      </c>
      <c r="S117" s="10" t="n">
        <v>4210310</v>
      </c>
      <c r="T117" s="12" t="s">
        <v>226</v>
      </c>
      <c r="U117" s="13" t="n">
        <v>390</v>
      </c>
      <c r="W117" s="13" t="n">
        <v>0</v>
      </c>
      <c r="X117" s="12" t="s">
        <v>227</v>
      </c>
      <c r="Z117" s="1" t="str">
        <f aca="false">IF($T117="","",IFERROR(INDEX('Resumo Grupos'!$AC$3:$AC$200,MATCH($T117,'Resumo Grupos'!$AB$3:$AB$200,0)),"n/d"))</f>
        <v>Despesa</v>
      </c>
      <c r="AA117" s="1" t="str">
        <f aca="false">IF($T117="","",IF(COUNTIF('Resumo Grupos'!$AE$3:$AE$40,$T117)&gt;0,"NAO","SIM"))</f>
        <v>SIM</v>
      </c>
    </row>
    <row r="118" customFormat="false" ht="45.75" hidden="false" customHeight="true" outlineLevel="0" collapsed="false">
      <c r="A118" s="10" t="n">
        <v>3</v>
      </c>
      <c r="B118" s="11" t="n">
        <v>46204</v>
      </c>
      <c r="C118" s="11" t="n">
        <v>46204</v>
      </c>
      <c r="D118" s="10" t="n">
        <v>10070</v>
      </c>
      <c r="E118" s="12" t="s">
        <v>232</v>
      </c>
      <c r="F118" s="10" t="n">
        <v>34</v>
      </c>
      <c r="G118" s="12" t="s">
        <v>58</v>
      </c>
      <c r="H118" s="10" t="n">
        <v>2110405</v>
      </c>
      <c r="I118" s="12" t="s">
        <v>63</v>
      </c>
      <c r="J118" s="10" t="n">
        <v>1338973</v>
      </c>
      <c r="L118" s="10" t="n">
        <v>209064</v>
      </c>
      <c r="M118" s="12" t="s">
        <v>33</v>
      </c>
      <c r="N118" s="12" t="s">
        <v>34</v>
      </c>
      <c r="P118" s="10" t="n">
        <v>167</v>
      </c>
      <c r="Q118" s="12" t="s">
        <v>220</v>
      </c>
      <c r="R118" s="12" t="s">
        <v>137</v>
      </c>
      <c r="S118" s="10" t="n">
        <v>4210310</v>
      </c>
      <c r="T118" s="12" t="s">
        <v>226</v>
      </c>
      <c r="U118" s="13" t="n">
        <v>375</v>
      </c>
      <c r="W118" s="13" t="n">
        <v>0</v>
      </c>
      <c r="X118" s="12" t="s">
        <v>227</v>
      </c>
      <c r="Z118" s="1" t="str">
        <f aca="false">IF($T118="","",IFERROR(INDEX('Resumo Grupos'!$AC$3:$AC$200,MATCH($T118,'Resumo Grupos'!$AB$3:$AB$200,0)),"n/d"))</f>
        <v>Despesa</v>
      </c>
      <c r="AA118" s="1" t="str">
        <f aca="false">IF($T118="","",IF(COUNTIF('Resumo Grupos'!$AE$3:$AE$40,$T118)&gt;0,"NAO","SIM"))</f>
        <v>SIM</v>
      </c>
    </row>
    <row r="119" customFormat="false" ht="45.75" hidden="false" customHeight="true" outlineLevel="0" collapsed="false">
      <c r="A119" s="10" t="n">
        <v>3</v>
      </c>
      <c r="B119" s="11" t="n">
        <v>46204</v>
      </c>
      <c r="C119" s="11" t="n">
        <v>46204</v>
      </c>
      <c r="D119" s="10" t="n">
        <v>389</v>
      </c>
      <c r="E119" s="12" t="s">
        <v>233</v>
      </c>
      <c r="F119" s="10" t="n">
        <v>34</v>
      </c>
      <c r="G119" s="12" t="s">
        <v>58</v>
      </c>
      <c r="H119" s="10" t="n">
        <v>2110405</v>
      </c>
      <c r="I119" s="12" t="s">
        <v>63</v>
      </c>
      <c r="J119" s="10" t="n">
        <v>1338979</v>
      </c>
      <c r="L119" s="10" t="n">
        <v>209066</v>
      </c>
      <c r="M119" s="12" t="s">
        <v>33</v>
      </c>
      <c r="N119" s="12" t="s">
        <v>34</v>
      </c>
      <c r="P119" s="10" t="n">
        <v>167</v>
      </c>
      <c r="Q119" s="12" t="s">
        <v>220</v>
      </c>
      <c r="R119" s="12" t="s">
        <v>137</v>
      </c>
      <c r="S119" s="10" t="n">
        <v>4210310</v>
      </c>
      <c r="T119" s="12" t="s">
        <v>226</v>
      </c>
      <c r="U119" s="13" t="n">
        <v>375</v>
      </c>
      <c r="W119" s="13" t="n">
        <v>0</v>
      </c>
      <c r="X119" s="12" t="s">
        <v>227</v>
      </c>
      <c r="Z119" s="1" t="str">
        <f aca="false">IF($T119="","",IFERROR(INDEX('Resumo Grupos'!$AC$3:$AC$200,MATCH($T119,'Resumo Grupos'!$AB$3:$AB$200,0)),"n/d"))</f>
        <v>Despesa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3</v>
      </c>
      <c r="B120" s="11" t="n">
        <v>46204</v>
      </c>
      <c r="C120" s="11" t="n">
        <v>46204</v>
      </c>
      <c r="D120" s="10" t="n">
        <v>313</v>
      </c>
      <c r="E120" s="12" t="s">
        <v>234</v>
      </c>
      <c r="F120" s="10" t="n">
        <v>34</v>
      </c>
      <c r="G120" s="12" t="s">
        <v>58</v>
      </c>
      <c r="H120" s="10" t="n">
        <v>2110405</v>
      </c>
      <c r="I120" s="12" t="s">
        <v>63</v>
      </c>
      <c r="J120" s="10" t="n">
        <v>1338981</v>
      </c>
      <c r="L120" s="10" t="n">
        <v>209068</v>
      </c>
      <c r="M120" s="12" t="s">
        <v>33</v>
      </c>
      <c r="N120" s="12" t="s">
        <v>34</v>
      </c>
      <c r="P120" s="10" t="n">
        <v>167</v>
      </c>
      <c r="Q120" s="12" t="s">
        <v>220</v>
      </c>
      <c r="R120" s="12" t="s">
        <v>137</v>
      </c>
      <c r="S120" s="10" t="n">
        <v>4210310</v>
      </c>
      <c r="T120" s="12" t="s">
        <v>226</v>
      </c>
      <c r="U120" s="13" t="n">
        <v>375</v>
      </c>
      <c r="W120" s="13" t="n">
        <v>0</v>
      </c>
      <c r="X120" s="12" t="s">
        <v>227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</row>
    <row r="121" customFormat="false" ht="72.75" hidden="false" customHeight="true" outlineLevel="0" collapsed="false">
      <c r="A121" s="10" t="n">
        <v>3</v>
      </c>
      <c r="B121" s="11" t="n">
        <v>46204</v>
      </c>
      <c r="C121" s="11" t="n">
        <v>46204</v>
      </c>
      <c r="D121" s="10" t="n">
        <v>332</v>
      </c>
      <c r="E121" s="12" t="s">
        <v>235</v>
      </c>
      <c r="F121" s="10" t="n">
        <v>34</v>
      </c>
      <c r="G121" s="12" t="s">
        <v>58</v>
      </c>
      <c r="H121" s="10" t="n">
        <v>2110405</v>
      </c>
      <c r="I121" s="12" t="s">
        <v>63</v>
      </c>
      <c r="J121" s="10" t="n">
        <v>1338986</v>
      </c>
      <c r="L121" s="10" t="n">
        <v>209070</v>
      </c>
      <c r="M121" s="12" t="s">
        <v>33</v>
      </c>
      <c r="N121" s="12" t="s">
        <v>34</v>
      </c>
      <c r="P121" s="10" t="n">
        <v>167</v>
      </c>
      <c r="Q121" s="12" t="s">
        <v>220</v>
      </c>
      <c r="R121" s="12" t="s">
        <v>137</v>
      </c>
      <c r="S121" s="10" t="n">
        <v>4210310</v>
      </c>
      <c r="T121" s="12" t="s">
        <v>226</v>
      </c>
      <c r="U121" s="13" t="n">
        <v>375</v>
      </c>
      <c r="W121" s="13" t="n">
        <v>0</v>
      </c>
      <c r="X121" s="12" t="s">
        <v>227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0" t="n">
        <v>3</v>
      </c>
      <c r="B122" s="11" t="n">
        <v>46204</v>
      </c>
      <c r="C122" s="11" t="n">
        <v>46204</v>
      </c>
      <c r="D122" s="10" t="n">
        <v>10071</v>
      </c>
      <c r="E122" s="12" t="s">
        <v>236</v>
      </c>
      <c r="F122" s="10" t="n">
        <v>34</v>
      </c>
      <c r="G122" s="12" t="s">
        <v>58</v>
      </c>
      <c r="H122" s="10" t="n">
        <v>2110405</v>
      </c>
      <c r="I122" s="12" t="s">
        <v>63</v>
      </c>
      <c r="J122" s="10" t="n">
        <v>1338994</v>
      </c>
      <c r="L122" s="10" t="n">
        <v>209072</v>
      </c>
      <c r="M122" s="12" t="s">
        <v>33</v>
      </c>
      <c r="N122" s="12" t="s">
        <v>34</v>
      </c>
      <c r="P122" s="10" t="n">
        <v>167</v>
      </c>
      <c r="Q122" s="12" t="s">
        <v>220</v>
      </c>
      <c r="R122" s="12" t="s">
        <v>137</v>
      </c>
      <c r="S122" s="10" t="n">
        <v>4210310</v>
      </c>
      <c r="T122" s="12" t="s">
        <v>226</v>
      </c>
      <c r="U122" s="13" t="n">
        <v>375</v>
      </c>
      <c r="W122" s="13" t="n">
        <v>0</v>
      </c>
      <c r="X122" s="12" t="s">
        <v>227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3</v>
      </c>
      <c r="B123" s="11" t="n">
        <v>46204</v>
      </c>
      <c r="C123" s="11" t="n">
        <v>46204</v>
      </c>
      <c r="D123" s="10" t="n">
        <v>320</v>
      </c>
      <c r="E123" s="12" t="s">
        <v>237</v>
      </c>
      <c r="F123" s="10" t="n">
        <v>34</v>
      </c>
      <c r="G123" s="12" t="s">
        <v>58</v>
      </c>
      <c r="H123" s="10" t="n">
        <v>2110405</v>
      </c>
      <c r="I123" s="12" t="s">
        <v>63</v>
      </c>
      <c r="J123" s="10" t="n">
        <v>1339004</v>
      </c>
      <c r="L123" s="10" t="n">
        <v>209076</v>
      </c>
      <c r="M123" s="12" t="s">
        <v>33</v>
      </c>
      <c r="N123" s="12" t="s">
        <v>34</v>
      </c>
      <c r="P123" s="10" t="n">
        <v>167</v>
      </c>
      <c r="Q123" s="12" t="s">
        <v>220</v>
      </c>
      <c r="R123" s="12" t="s">
        <v>137</v>
      </c>
      <c r="S123" s="10" t="n">
        <v>4210310</v>
      </c>
      <c r="T123" s="12" t="s">
        <v>226</v>
      </c>
      <c r="U123" s="13" t="n">
        <v>360</v>
      </c>
      <c r="W123" s="13" t="n">
        <v>0</v>
      </c>
      <c r="X123" s="12" t="s">
        <v>227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3</v>
      </c>
      <c r="B124" s="11" t="n">
        <v>46204</v>
      </c>
      <c r="C124" s="11" t="n">
        <v>46204</v>
      </c>
      <c r="D124" s="10" t="n">
        <v>10053</v>
      </c>
      <c r="E124" s="12" t="s">
        <v>220</v>
      </c>
      <c r="F124" s="10" t="n">
        <v>34</v>
      </c>
      <c r="G124" s="12" t="s">
        <v>58</v>
      </c>
      <c r="H124" s="10" t="n">
        <v>2110405</v>
      </c>
      <c r="I124" s="12" t="s">
        <v>63</v>
      </c>
      <c r="J124" s="10" t="n">
        <v>1339008</v>
      </c>
      <c r="L124" s="10" t="n">
        <v>209078</v>
      </c>
      <c r="M124" s="12" t="s">
        <v>33</v>
      </c>
      <c r="N124" s="12" t="s">
        <v>34</v>
      </c>
      <c r="P124" s="10" t="n">
        <v>167</v>
      </c>
      <c r="Q124" s="12" t="s">
        <v>220</v>
      </c>
      <c r="R124" s="12" t="s">
        <v>137</v>
      </c>
      <c r="S124" s="10" t="n">
        <v>4210310</v>
      </c>
      <c r="T124" s="12" t="s">
        <v>226</v>
      </c>
      <c r="U124" s="13" t="n">
        <v>315</v>
      </c>
      <c r="W124" s="13" t="n">
        <v>0</v>
      </c>
      <c r="X124" s="12" t="s">
        <v>227</v>
      </c>
      <c r="Z124" s="1" t="str">
        <f aca="false">IF($T124="","",IFERROR(INDEX('Resumo Grupos'!$AC$3:$AC$200,MATCH($T124,'Resumo Grupos'!$AB$3:$AB$200,0)),"n/d"))</f>
        <v>Despesa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0" t="n">
        <v>3</v>
      </c>
      <c r="B125" s="11" t="n">
        <v>46204</v>
      </c>
      <c r="C125" s="11" t="n">
        <v>46204</v>
      </c>
      <c r="D125" s="10" t="n">
        <v>239</v>
      </c>
      <c r="E125" s="12" t="s">
        <v>229</v>
      </c>
      <c r="F125" s="10" t="n">
        <v>34</v>
      </c>
      <c r="G125" s="12" t="s">
        <v>58</v>
      </c>
      <c r="H125" s="10" t="n">
        <v>2110405</v>
      </c>
      <c r="I125" s="12" t="s">
        <v>63</v>
      </c>
      <c r="J125" s="10" t="n">
        <v>1339015</v>
      </c>
      <c r="L125" s="10" t="n">
        <v>209079</v>
      </c>
      <c r="M125" s="12" t="s">
        <v>33</v>
      </c>
      <c r="N125" s="12" t="s">
        <v>34</v>
      </c>
      <c r="P125" s="10" t="n">
        <v>167</v>
      </c>
      <c r="Q125" s="12" t="s">
        <v>220</v>
      </c>
      <c r="R125" s="12" t="s">
        <v>137</v>
      </c>
      <c r="S125" s="10" t="n">
        <v>4210309</v>
      </c>
      <c r="T125" s="12" t="s">
        <v>238</v>
      </c>
      <c r="U125" s="13" t="n">
        <v>260</v>
      </c>
      <c r="W125" s="13" t="n">
        <v>0</v>
      </c>
      <c r="X125" s="12" t="s">
        <v>239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0" t="n">
        <v>3</v>
      </c>
      <c r="B126" s="11" t="n">
        <v>46204</v>
      </c>
      <c r="C126" s="11" t="n">
        <v>46204</v>
      </c>
      <c r="D126" s="10" t="n">
        <v>389</v>
      </c>
      <c r="E126" s="12" t="s">
        <v>233</v>
      </c>
      <c r="F126" s="10" t="n">
        <v>34</v>
      </c>
      <c r="G126" s="12" t="s">
        <v>58</v>
      </c>
      <c r="H126" s="10" t="n">
        <v>2110405</v>
      </c>
      <c r="I126" s="12" t="s">
        <v>63</v>
      </c>
      <c r="J126" s="10" t="n">
        <v>1339020</v>
      </c>
      <c r="L126" s="10" t="n">
        <v>209082</v>
      </c>
      <c r="M126" s="12" t="s">
        <v>33</v>
      </c>
      <c r="N126" s="12" t="s">
        <v>34</v>
      </c>
      <c r="P126" s="10" t="n">
        <v>167</v>
      </c>
      <c r="Q126" s="12" t="s">
        <v>220</v>
      </c>
      <c r="R126" s="12" t="s">
        <v>137</v>
      </c>
      <c r="S126" s="10" t="n">
        <v>4210309</v>
      </c>
      <c r="T126" s="12" t="s">
        <v>238</v>
      </c>
      <c r="U126" s="13" t="n">
        <v>250</v>
      </c>
      <c r="W126" s="13" t="n">
        <v>0</v>
      </c>
      <c r="X126" s="12" t="s">
        <v>239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3</v>
      </c>
      <c r="B127" s="11" t="n">
        <v>46204</v>
      </c>
      <c r="C127" s="11" t="n">
        <v>46204</v>
      </c>
      <c r="D127" s="10" t="n">
        <v>35</v>
      </c>
      <c r="E127" s="12" t="s">
        <v>35</v>
      </c>
      <c r="F127" s="10" t="n">
        <v>34</v>
      </c>
      <c r="G127" s="12" t="s">
        <v>58</v>
      </c>
      <c r="H127" s="10" t="n">
        <v>2110405</v>
      </c>
      <c r="I127" s="12" t="s">
        <v>63</v>
      </c>
      <c r="J127" s="10" t="n">
        <v>1339023</v>
      </c>
      <c r="L127" s="10" t="n">
        <v>209084</v>
      </c>
      <c r="M127" s="12" t="s">
        <v>33</v>
      </c>
      <c r="N127" s="12" t="s">
        <v>34</v>
      </c>
      <c r="P127" s="10" t="n">
        <v>167</v>
      </c>
      <c r="Q127" s="12" t="s">
        <v>220</v>
      </c>
      <c r="R127" s="12" t="s">
        <v>137</v>
      </c>
      <c r="S127" s="10" t="n">
        <v>4210309</v>
      </c>
      <c r="T127" s="12" t="s">
        <v>238</v>
      </c>
      <c r="U127" s="13" t="n">
        <v>270</v>
      </c>
      <c r="W127" s="13" t="n">
        <v>0</v>
      </c>
      <c r="X127" s="12" t="s">
        <v>239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3</v>
      </c>
      <c r="B128" s="11" t="n">
        <v>46204</v>
      </c>
      <c r="C128" s="11" t="n">
        <v>46204</v>
      </c>
      <c r="D128" s="10" t="n">
        <v>41</v>
      </c>
      <c r="E128" s="12" t="s">
        <v>228</v>
      </c>
      <c r="F128" s="10" t="n">
        <v>34</v>
      </c>
      <c r="G128" s="12" t="s">
        <v>58</v>
      </c>
      <c r="H128" s="10" t="n">
        <v>2110405</v>
      </c>
      <c r="I128" s="12" t="s">
        <v>63</v>
      </c>
      <c r="J128" s="10" t="n">
        <v>1339025</v>
      </c>
      <c r="L128" s="10" t="n">
        <v>209085</v>
      </c>
      <c r="M128" s="12" t="s">
        <v>33</v>
      </c>
      <c r="N128" s="12" t="s">
        <v>34</v>
      </c>
      <c r="P128" s="10" t="n">
        <v>167</v>
      </c>
      <c r="Q128" s="12" t="s">
        <v>220</v>
      </c>
      <c r="R128" s="12" t="s">
        <v>137</v>
      </c>
      <c r="S128" s="10" t="n">
        <v>4210309</v>
      </c>
      <c r="T128" s="12" t="s">
        <v>238</v>
      </c>
      <c r="U128" s="13" t="n">
        <v>270</v>
      </c>
      <c r="W128" s="13" t="n">
        <v>0</v>
      </c>
      <c r="X128" s="12" t="s">
        <v>239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3</v>
      </c>
      <c r="B129" s="11" t="n">
        <v>46204</v>
      </c>
      <c r="C129" s="11" t="n">
        <v>46204</v>
      </c>
      <c r="D129" s="10" t="n">
        <v>225</v>
      </c>
      <c r="E129" s="12" t="s">
        <v>230</v>
      </c>
      <c r="F129" s="10" t="n">
        <v>34</v>
      </c>
      <c r="G129" s="12" t="s">
        <v>58</v>
      </c>
      <c r="H129" s="10" t="n">
        <v>2110405</v>
      </c>
      <c r="I129" s="12" t="s">
        <v>63</v>
      </c>
      <c r="J129" s="10" t="n">
        <v>1339030</v>
      </c>
      <c r="L129" s="10" t="n">
        <v>209086</v>
      </c>
      <c r="M129" s="12" t="s">
        <v>33</v>
      </c>
      <c r="N129" s="12" t="s">
        <v>34</v>
      </c>
      <c r="P129" s="10" t="n">
        <v>167</v>
      </c>
      <c r="Q129" s="12" t="s">
        <v>220</v>
      </c>
      <c r="R129" s="12" t="s">
        <v>137</v>
      </c>
      <c r="S129" s="10" t="n">
        <v>4210309</v>
      </c>
      <c r="T129" s="12" t="s">
        <v>238</v>
      </c>
      <c r="U129" s="13" t="n">
        <v>260</v>
      </c>
      <c r="W129" s="13" t="n">
        <v>0</v>
      </c>
      <c r="X129" s="12" t="s">
        <v>239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0" t="n">
        <v>3</v>
      </c>
      <c r="B130" s="11" t="n">
        <v>46204</v>
      </c>
      <c r="C130" s="11" t="n">
        <v>46204</v>
      </c>
      <c r="D130" s="10" t="n">
        <v>332</v>
      </c>
      <c r="E130" s="12" t="s">
        <v>235</v>
      </c>
      <c r="F130" s="10" t="n">
        <v>34</v>
      </c>
      <c r="G130" s="12" t="s">
        <v>58</v>
      </c>
      <c r="H130" s="10" t="n">
        <v>2110405</v>
      </c>
      <c r="I130" s="12" t="s">
        <v>63</v>
      </c>
      <c r="J130" s="10" t="n">
        <v>1339035</v>
      </c>
      <c r="L130" s="10" t="n">
        <v>209088</v>
      </c>
      <c r="M130" s="12" t="s">
        <v>33</v>
      </c>
      <c r="N130" s="12" t="s">
        <v>34</v>
      </c>
      <c r="P130" s="10" t="n">
        <v>167</v>
      </c>
      <c r="Q130" s="12" t="s">
        <v>220</v>
      </c>
      <c r="R130" s="12" t="s">
        <v>137</v>
      </c>
      <c r="S130" s="10" t="n">
        <v>4210309</v>
      </c>
      <c r="T130" s="12" t="s">
        <v>238</v>
      </c>
      <c r="U130" s="13" t="n">
        <v>250</v>
      </c>
      <c r="W130" s="13" t="n">
        <v>0</v>
      </c>
      <c r="X130" s="12" t="s">
        <v>239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0" t="n">
        <v>3</v>
      </c>
      <c r="B131" s="11" t="n">
        <v>46204</v>
      </c>
      <c r="C131" s="11" t="n">
        <v>46204</v>
      </c>
      <c r="D131" s="10" t="n">
        <v>10071</v>
      </c>
      <c r="E131" s="12" t="s">
        <v>236</v>
      </c>
      <c r="F131" s="10" t="n">
        <v>34</v>
      </c>
      <c r="G131" s="12" t="s">
        <v>58</v>
      </c>
      <c r="H131" s="10" t="n">
        <v>2110405</v>
      </c>
      <c r="I131" s="12" t="s">
        <v>63</v>
      </c>
      <c r="J131" s="10" t="n">
        <v>1339044</v>
      </c>
      <c r="L131" s="10" t="n">
        <v>209091</v>
      </c>
      <c r="M131" s="12" t="s">
        <v>33</v>
      </c>
      <c r="N131" s="12" t="s">
        <v>34</v>
      </c>
      <c r="P131" s="10" t="n">
        <v>167</v>
      </c>
      <c r="Q131" s="12" t="s">
        <v>220</v>
      </c>
      <c r="R131" s="12" t="s">
        <v>137</v>
      </c>
      <c r="S131" s="10" t="n">
        <v>4210309</v>
      </c>
      <c r="T131" s="12" t="s">
        <v>238</v>
      </c>
      <c r="U131" s="13" t="n">
        <v>330</v>
      </c>
      <c r="W131" s="13" t="n">
        <v>0</v>
      </c>
      <c r="X131" s="12" t="s">
        <v>239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3</v>
      </c>
      <c r="B132" s="11" t="n">
        <v>46204</v>
      </c>
      <c r="C132" s="11" t="n">
        <v>46204</v>
      </c>
      <c r="D132" s="10" t="n">
        <v>200</v>
      </c>
      <c r="E132" s="12" t="s">
        <v>231</v>
      </c>
      <c r="F132" s="10" t="n">
        <v>34</v>
      </c>
      <c r="G132" s="12" t="s">
        <v>58</v>
      </c>
      <c r="H132" s="10" t="n">
        <v>2110405</v>
      </c>
      <c r="I132" s="12" t="s">
        <v>63</v>
      </c>
      <c r="J132" s="10" t="n">
        <v>1339053</v>
      </c>
      <c r="L132" s="10" t="n">
        <v>209093</v>
      </c>
      <c r="M132" s="12" t="s">
        <v>33</v>
      </c>
      <c r="N132" s="12" t="s">
        <v>34</v>
      </c>
      <c r="P132" s="10" t="n">
        <v>167</v>
      </c>
      <c r="Q132" s="12" t="s">
        <v>220</v>
      </c>
      <c r="R132" s="12" t="s">
        <v>137</v>
      </c>
      <c r="S132" s="10" t="n">
        <v>4210309</v>
      </c>
      <c r="T132" s="12" t="s">
        <v>238</v>
      </c>
      <c r="U132" s="13" t="n">
        <v>260</v>
      </c>
      <c r="W132" s="13" t="n">
        <v>0</v>
      </c>
      <c r="X132" s="12" t="s">
        <v>239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0" t="n">
        <v>3</v>
      </c>
      <c r="B133" s="11" t="n">
        <v>46204</v>
      </c>
      <c r="C133" s="11" t="n">
        <v>46204</v>
      </c>
      <c r="D133" s="10" t="n">
        <v>515</v>
      </c>
      <c r="E133" s="12" t="s">
        <v>240</v>
      </c>
      <c r="F133" s="10" t="n">
        <v>34</v>
      </c>
      <c r="G133" s="12" t="s">
        <v>58</v>
      </c>
      <c r="H133" s="10" t="n">
        <v>4310103</v>
      </c>
      <c r="I133" s="12" t="s">
        <v>164</v>
      </c>
      <c r="J133" s="10" t="n">
        <v>1340220</v>
      </c>
      <c r="L133" s="10" t="n">
        <v>209278</v>
      </c>
      <c r="M133" s="12" t="s">
        <v>33</v>
      </c>
      <c r="N133" s="12" t="s">
        <v>34</v>
      </c>
      <c r="P133" s="10" t="n">
        <v>102</v>
      </c>
      <c r="Q133" s="12" t="s">
        <v>141</v>
      </c>
      <c r="R133" s="12" t="s">
        <v>165</v>
      </c>
      <c r="S133" s="10" t="n">
        <v>4210508</v>
      </c>
      <c r="T133" s="12" t="s">
        <v>241</v>
      </c>
      <c r="U133" s="13" t="n">
        <v>151.61</v>
      </c>
      <c r="W133" s="13" t="n">
        <v>0</v>
      </c>
      <c r="X133" s="12" t="s">
        <v>242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0" t="n">
        <v>3</v>
      </c>
      <c r="B134" s="11" t="n">
        <v>46204</v>
      </c>
      <c r="C134" s="11" t="n">
        <v>46204</v>
      </c>
      <c r="D134" s="10" t="n">
        <v>10087</v>
      </c>
      <c r="E134" s="12" t="s">
        <v>243</v>
      </c>
      <c r="F134" s="10" t="n">
        <v>13</v>
      </c>
      <c r="G134" s="12" t="s">
        <v>91</v>
      </c>
      <c r="H134" s="10" t="n">
        <v>2110101</v>
      </c>
      <c r="I134" s="12" t="s">
        <v>32</v>
      </c>
      <c r="J134" s="10" t="n">
        <v>1340515</v>
      </c>
      <c r="L134" s="10" t="n">
        <v>135</v>
      </c>
      <c r="M134" s="12" t="s">
        <v>33</v>
      </c>
      <c r="N134" s="12" t="s">
        <v>40</v>
      </c>
      <c r="P134" s="10" t="n">
        <v>167</v>
      </c>
      <c r="Q134" s="12" t="s">
        <v>220</v>
      </c>
      <c r="R134" s="12" t="s">
        <v>36</v>
      </c>
      <c r="S134" s="10" t="n">
        <v>1130101</v>
      </c>
      <c r="T134" s="12" t="s">
        <v>37</v>
      </c>
      <c r="U134" s="13" t="n">
        <v>345</v>
      </c>
      <c r="W134" s="13" t="n">
        <v>345</v>
      </c>
      <c r="X134" s="12" t="s">
        <v>244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0" t="n">
        <v>3</v>
      </c>
      <c r="B135" s="11" t="n">
        <v>46184</v>
      </c>
      <c r="C135" s="11" t="n">
        <v>46205</v>
      </c>
      <c r="D135" s="10" t="n">
        <v>1815</v>
      </c>
      <c r="E135" s="12" t="s">
        <v>157</v>
      </c>
      <c r="F135" s="10" t="n">
        <v>24</v>
      </c>
      <c r="G135" s="12" t="s">
        <v>31</v>
      </c>
      <c r="H135" s="10" t="n">
        <v>2110101</v>
      </c>
      <c r="I135" s="12" t="s">
        <v>32</v>
      </c>
      <c r="J135" s="10" t="n">
        <v>1235364</v>
      </c>
      <c r="L135" s="10" t="n">
        <v>4501672</v>
      </c>
      <c r="M135" s="12" t="s">
        <v>33</v>
      </c>
      <c r="N135" s="12" t="s">
        <v>34</v>
      </c>
      <c r="P135" s="10" t="n">
        <v>128</v>
      </c>
      <c r="Q135" s="12" t="s">
        <v>35</v>
      </c>
      <c r="R135" s="12" t="s">
        <v>36</v>
      </c>
      <c r="S135" s="10" t="n">
        <v>1130101</v>
      </c>
      <c r="T135" s="12" t="s">
        <v>37</v>
      </c>
      <c r="U135" s="13" t="n">
        <v>2315.49</v>
      </c>
      <c r="W135" s="13" t="n">
        <v>0</v>
      </c>
      <c r="X135" s="12" t="s">
        <v>245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3</v>
      </c>
      <c r="B136" s="11" t="n">
        <v>46184</v>
      </c>
      <c r="C136" s="11" t="n">
        <v>46205</v>
      </c>
      <c r="D136" s="10" t="n">
        <v>1672</v>
      </c>
      <c r="E136" s="12" t="s">
        <v>93</v>
      </c>
      <c r="F136" s="10" t="n">
        <v>24</v>
      </c>
      <c r="G136" s="12" t="s">
        <v>31</v>
      </c>
      <c r="H136" s="10" t="n">
        <v>2110101</v>
      </c>
      <c r="I136" s="12" t="s">
        <v>32</v>
      </c>
      <c r="J136" s="10" t="n">
        <v>1241458</v>
      </c>
      <c r="L136" s="10" t="n">
        <v>13694072</v>
      </c>
      <c r="M136" s="12" t="s">
        <v>33</v>
      </c>
      <c r="N136" s="12" t="s">
        <v>34</v>
      </c>
      <c r="P136" s="10" t="n">
        <v>128</v>
      </c>
      <c r="Q136" s="12" t="s">
        <v>35</v>
      </c>
      <c r="R136" s="12" t="s">
        <v>36</v>
      </c>
      <c r="S136" s="10" t="n">
        <v>1130101</v>
      </c>
      <c r="T136" s="12" t="s">
        <v>37</v>
      </c>
      <c r="U136" s="13" t="n">
        <v>562.05</v>
      </c>
      <c r="W136" s="13" t="n">
        <v>0</v>
      </c>
      <c r="X136" s="12" t="s">
        <v>246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0" t="n">
        <v>3</v>
      </c>
      <c r="B137" s="11" t="n">
        <v>46186</v>
      </c>
      <c r="C137" s="11" t="n">
        <v>46205</v>
      </c>
      <c r="D137" s="10" t="n">
        <v>1613</v>
      </c>
      <c r="E137" s="12" t="s">
        <v>209</v>
      </c>
      <c r="F137" s="10" t="n">
        <v>24</v>
      </c>
      <c r="G137" s="12" t="s">
        <v>31</v>
      </c>
      <c r="H137" s="10" t="n">
        <v>2110101</v>
      </c>
      <c r="I137" s="12" t="s">
        <v>32</v>
      </c>
      <c r="J137" s="10" t="n">
        <v>1255809</v>
      </c>
      <c r="L137" s="10" t="n">
        <v>15963143</v>
      </c>
      <c r="M137" s="12" t="s">
        <v>33</v>
      </c>
      <c r="N137" s="12" t="s">
        <v>34</v>
      </c>
      <c r="P137" s="10" t="n">
        <v>128</v>
      </c>
      <c r="Q137" s="12" t="s">
        <v>35</v>
      </c>
      <c r="R137" s="12" t="s">
        <v>36</v>
      </c>
      <c r="S137" s="10" t="n">
        <v>1130101</v>
      </c>
      <c r="T137" s="12" t="s">
        <v>37</v>
      </c>
      <c r="U137" s="13" t="n">
        <v>1017.82</v>
      </c>
      <c r="W137" s="13" t="n">
        <v>0</v>
      </c>
      <c r="X137" s="12" t="s">
        <v>247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0" t="n">
        <v>3</v>
      </c>
      <c r="B138" s="11" t="n">
        <v>46190</v>
      </c>
      <c r="C138" s="11" t="n">
        <v>46205</v>
      </c>
      <c r="D138" s="10" t="n">
        <v>1778</v>
      </c>
      <c r="E138" s="12" t="s">
        <v>248</v>
      </c>
      <c r="F138" s="10" t="n">
        <v>24</v>
      </c>
      <c r="G138" s="12" t="s">
        <v>31</v>
      </c>
      <c r="H138" s="10" t="n">
        <v>4310103</v>
      </c>
      <c r="I138" s="12" t="s">
        <v>164</v>
      </c>
      <c r="J138" s="10" t="n">
        <v>1265019</v>
      </c>
      <c r="L138" s="10" t="n">
        <v>162612168</v>
      </c>
      <c r="M138" s="12" t="s">
        <v>33</v>
      </c>
      <c r="N138" s="12" t="s">
        <v>34</v>
      </c>
      <c r="P138" s="10" t="n">
        <v>128</v>
      </c>
      <c r="Q138" s="12" t="s">
        <v>35</v>
      </c>
      <c r="R138" s="12" t="s">
        <v>64</v>
      </c>
      <c r="S138" s="10" t="n">
        <v>4210207</v>
      </c>
      <c r="T138" s="12" t="s">
        <v>249</v>
      </c>
      <c r="U138" s="13" t="n">
        <v>337.29</v>
      </c>
      <c r="W138" s="13" t="n">
        <v>0</v>
      </c>
      <c r="X138" s="12" t="s">
        <v>250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0" t="n">
        <v>3</v>
      </c>
      <c r="B139" s="11" t="n">
        <v>46190</v>
      </c>
      <c r="C139" s="11" t="n">
        <v>46205</v>
      </c>
      <c r="D139" s="10" t="n">
        <v>1815</v>
      </c>
      <c r="E139" s="12" t="s">
        <v>157</v>
      </c>
      <c r="F139" s="10" t="n">
        <v>24</v>
      </c>
      <c r="G139" s="12" t="s">
        <v>31</v>
      </c>
      <c r="H139" s="10" t="n">
        <v>2110101</v>
      </c>
      <c r="I139" s="12" t="s">
        <v>32</v>
      </c>
      <c r="J139" s="10" t="n">
        <v>1265566</v>
      </c>
      <c r="L139" s="10" t="n">
        <v>4512041</v>
      </c>
      <c r="M139" s="12" t="s">
        <v>33</v>
      </c>
      <c r="N139" s="12" t="s">
        <v>34</v>
      </c>
      <c r="P139" s="10" t="n">
        <v>128</v>
      </c>
      <c r="Q139" s="12" t="s">
        <v>35</v>
      </c>
      <c r="R139" s="12" t="s">
        <v>36</v>
      </c>
      <c r="S139" s="10" t="n">
        <v>1130101</v>
      </c>
      <c r="T139" s="12" t="s">
        <v>37</v>
      </c>
      <c r="U139" s="13" t="n">
        <v>369</v>
      </c>
      <c r="W139" s="13" t="n">
        <v>0</v>
      </c>
      <c r="X139" s="12" t="s">
        <v>251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0" t="n">
        <v>3</v>
      </c>
      <c r="B140" s="11" t="n">
        <v>46197</v>
      </c>
      <c r="C140" s="11" t="n">
        <v>46205</v>
      </c>
      <c r="D140" s="10" t="n">
        <v>1705</v>
      </c>
      <c r="E140" s="12" t="s">
        <v>252</v>
      </c>
      <c r="F140" s="10" t="n">
        <v>24</v>
      </c>
      <c r="G140" s="12" t="s">
        <v>31</v>
      </c>
      <c r="H140" s="10" t="n">
        <v>2110101</v>
      </c>
      <c r="I140" s="12" t="s">
        <v>32</v>
      </c>
      <c r="J140" s="10" t="n">
        <v>1300053</v>
      </c>
      <c r="L140" s="10" t="n">
        <v>18998775</v>
      </c>
      <c r="M140" s="12" t="s">
        <v>33</v>
      </c>
      <c r="N140" s="12" t="s">
        <v>34</v>
      </c>
      <c r="P140" s="10" t="n">
        <v>128</v>
      </c>
      <c r="Q140" s="12" t="s">
        <v>35</v>
      </c>
      <c r="R140" s="12" t="s">
        <v>36</v>
      </c>
      <c r="S140" s="10" t="n">
        <v>1130101</v>
      </c>
      <c r="T140" s="12" t="s">
        <v>37</v>
      </c>
      <c r="U140" s="13" t="n">
        <v>5450.28</v>
      </c>
      <c r="W140" s="13" t="n">
        <v>0</v>
      </c>
      <c r="X140" s="12" t="s">
        <v>253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0" t="n">
        <v>3</v>
      </c>
      <c r="B141" s="11" t="n">
        <v>46197</v>
      </c>
      <c r="C141" s="11" t="n">
        <v>46205</v>
      </c>
      <c r="D141" s="10" t="n">
        <v>1705</v>
      </c>
      <c r="E141" s="12" t="s">
        <v>252</v>
      </c>
      <c r="F141" s="10" t="n">
        <v>24</v>
      </c>
      <c r="G141" s="12" t="s">
        <v>31</v>
      </c>
      <c r="H141" s="10" t="n">
        <v>2110101</v>
      </c>
      <c r="I141" s="12" t="s">
        <v>32</v>
      </c>
      <c r="J141" s="10" t="n">
        <v>1300069</v>
      </c>
      <c r="L141" s="10" t="n">
        <v>11758727</v>
      </c>
      <c r="M141" s="12" t="s">
        <v>33</v>
      </c>
      <c r="N141" s="12" t="s">
        <v>34</v>
      </c>
      <c r="P141" s="10" t="n">
        <v>128</v>
      </c>
      <c r="Q141" s="12" t="s">
        <v>35</v>
      </c>
      <c r="R141" s="12" t="s">
        <v>36</v>
      </c>
      <c r="S141" s="10" t="n">
        <v>1130101</v>
      </c>
      <c r="T141" s="12" t="s">
        <v>37</v>
      </c>
      <c r="U141" s="13" t="n">
        <v>1518.71</v>
      </c>
      <c r="W141" s="13" t="n">
        <v>0</v>
      </c>
      <c r="X141" s="12" t="s">
        <v>254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0" t="n">
        <v>3</v>
      </c>
      <c r="B142" s="11" t="n">
        <v>46205</v>
      </c>
      <c r="C142" s="11" t="n">
        <v>46205</v>
      </c>
      <c r="D142" s="10" t="n">
        <v>42</v>
      </c>
      <c r="E142" s="12" t="s">
        <v>106</v>
      </c>
      <c r="F142" s="10" t="n">
        <v>13</v>
      </c>
      <c r="G142" s="12" t="s">
        <v>91</v>
      </c>
      <c r="H142" s="10" t="n">
        <v>2110101</v>
      </c>
      <c r="I142" s="12" t="s">
        <v>32</v>
      </c>
      <c r="J142" s="10" t="n">
        <v>1338913</v>
      </c>
      <c r="L142" s="10" t="n">
        <v>4341</v>
      </c>
      <c r="M142" s="12" t="s">
        <v>33</v>
      </c>
      <c r="N142" s="12" t="s">
        <v>40</v>
      </c>
      <c r="P142" s="10" t="n">
        <v>167</v>
      </c>
      <c r="Q142" s="12" t="s">
        <v>220</v>
      </c>
      <c r="R142" s="12" t="s">
        <v>36</v>
      </c>
      <c r="S142" s="10" t="n">
        <v>1130101</v>
      </c>
      <c r="T142" s="12" t="s">
        <v>37</v>
      </c>
      <c r="U142" s="13" t="n">
        <v>240</v>
      </c>
      <c r="W142" s="13" t="n">
        <v>240</v>
      </c>
      <c r="X142" s="12" t="s">
        <v>255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0" t="n">
        <v>3</v>
      </c>
      <c r="B143" s="11" t="n">
        <v>46205</v>
      </c>
      <c r="C143" s="11" t="n">
        <v>46205</v>
      </c>
      <c r="D143" s="10" t="n">
        <v>42</v>
      </c>
      <c r="E143" s="12" t="s">
        <v>106</v>
      </c>
      <c r="F143" s="10" t="n">
        <v>13</v>
      </c>
      <c r="G143" s="12" t="s">
        <v>91</v>
      </c>
      <c r="H143" s="10" t="n">
        <v>2110101</v>
      </c>
      <c r="I143" s="12" t="s">
        <v>32</v>
      </c>
      <c r="J143" s="10" t="n">
        <v>1339067</v>
      </c>
      <c r="L143" s="10" t="n">
        <v>4342</v>
      </c>
      <c r="M143" s="12" t="s">
        <v>33</v>
      </c>
      <c r="N143" s="12" t="s">
        <v>40</v>
      </c>
      <c r="P143" s="10" t="n">
        <v>167</v>
      </c>
      <c r="Q143" s="12" t="s">
        <v>220</v>
      </c>
      <c r="R143" s="12" t="s">
        <v>36</v>
      </c>
      <c r="S143" s="10" t="n">
        <v>1130101</v>
      </c>
      <c r="T143" s="12" t="s">
        <v>37</v>
      </c>
      <c r="U143" s="13" t="n">
        <v>173</v>
      </c>
      <c r="W143" s="13" t="n">
        <v>173</v>
      </c>
      <c r="X143" s="12" t="s">
        <v>108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0" t="n">
        <v>3</v>
      </c>
      <c r="B144" s="11" t="n">
        <v>46205</v>
      </c>
      <c r="C144" s="11" t="n">
        <v>46205</v>
      </c>
      <c r="D144" s="10" t="n">
        <v>42</v>
      </c>
      <c r="E144" s="12" t="s">
        <v>106</v>
      </c>
      <c r="F144" s="10" t="n">
        <v>13</v>
      </c>
      <c r="G144" s="12" t="s">
        <v>91</v>
      </c>
      <c r="H144" s="10" t="n">
        <v>2110101</v>
      </c>
      <c r="I144" s="12" t="s">
        <v>32</v>
      </c>
      <c r="J144" s="10" t="n">
        <v>1339084</v>
      </c>
      <c r="L144" s="10" t="n">
        <v>4343</v>
      </c>
      <c r="M144" s="12" t="s">
        <v>33</v>
      </c>
      <c r="N144" s="12" t="s">
        <v>40</v>
      </c>
      <c r="P144" s="10" t="n">
        <v>167</v>
      </c>
      <c r="Q144" s="12" t="s">
        <v>220</v>
      </c>
      <c r="R144" s="12" t="s">
        <v>36</v>
      </c>
      <c r="S144" s="10" t="n">
        <v>1130101</v>
      </c>
      <c r="T144" s="12" t="s">
        <v>37</v>
      </c>
      <c r="U144" s="13" t="n">
        <v>40.48</v>
      </c>
      <c r="W144" s="13" t="n">
        <v>40.48</v>
      </c>
      <c r="X144" s="12" t="s">
        <v>256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0" t="n">
        <v>3</v>
      </c>
      <c r="B145" s="11" t="n">
        <v>46205</v>
      </c>
      <c r="C145" s="11" t="n">
        <v>46205</v>
      </c>
      <c r="D145" s="10" t="n">
        <v>514</v>
      </c>
      <c r="E145" s="12" t="s">
        <v>163</v>
      </c>
      <c r="F145" s="10" t="n">
        <v>34</v>
      </c>
      <c r="G145" s="12" t="s">
        <v>58</v>
      </c>
      <c r="H145" s="10" t="n">
        <v>4210504</v>
      </c>
      <c r="I145" s="12" t="s">
        <v>166</v>
      </c>
      <c r="J145" s="10" t="n">
        <v>1340329</v>
      </c>
      <c r="L145" s="10" t="n">
        <v>209303</v>
      </c>
      <c r="M145" s="12" t="s">
        <v>33</v>
      </c>
      <c r="N145" s="12" t="s">
        <v>34</v>
      </c>
      <c r="P145" s="10" t="n">
        <v>102</v>
      </c>
      <c r="Q145" s="12" t="s">
        <v>141</v>
      </c>
      <c r="R145" s="12" t="s">
        <v>165</v>
      </c>
      <c r="S145" s="10" t="n">
        <v>4210505</v>
      </c>
      <c r="T145" s="12" t="s">
        <v>257</v>
      </c>
      <c r="U145" s="13" t="n">
        <v>22.46</v>
      </c>
      <c r="W145" s="13" t="n">
        <v>0</v>
      </c>
      <c r="X145" s="12" t="s">
        <v>258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0" t="n">
        <v>3</v>
      </c>
      <c r="B146" s="11" t="n">
        <v>46205</v>
      </c>
      <c r="C146" s="11" t="n">
        <v>46205</v>
      </c>
      <c r="D146" s="10" t="n">
        <v>514</v>
      </c>
      <c r="E146" s="12" t="s">
        <v>163</v>
      </c>
      <c r="F146" s="10" t="n">
        <v>34</v>
      </c>
      <c r="G146" s="12" t="s">
        <v>58</v>
      </c>
      <c r="H146" s="10" t="n">
        <v>4210504</v>
      </c>
      <c r="I146" s="12" t="s">
        <v>166</v>
      </c>
      <c r="J146" s="10" t="n">
        <v>1340367</v>
      </c>
      <c r="L146" s="10" t="n">
        <v>209315</v>
      </c>
      <c r="M146" s="12" t="s">
        <v>33</v>
      </c>
      <c r="N146" s="12" t="s">
        <v>34</v>
      </c>
      <c r="P146" s="10" t="n">
        <v>102</v>
      </c>
      <c r="Q146" s="12" t="s">
        <v>141</v>
      </c>
      <c r="R146" s="12" t="s">
        <v>165</v>
      </c>
      <c r="S146" s="10" t="n">
        <v>4210505</v>
      </c>
      <c r="T146" s="12" t="s">
        <v>257</v>
      </c>
      <c r="U146" s="13" t="n">
        <v>10.07</v>
      </c>
      <c r="W146" s="13" t="n">
        <v>0</v>
      </c>
      <c r="X146" s="12" t="s">
        <v>259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0" t="n">
        <v>3</v>
      </c>
      <c r="B147" s="11" t="n">
        <v>46205</v>
      </c>
      <c r="C147" s="11" t="n">
        <v>46205</v>
      </c>
      <c r="D147" s="10" t="n">
        <v>514</v>
      </c>
      <c r="E147" s="12" t="s">
        <v>163</v>
      </c>
      <c r="F147" s="10" t="n">
        <v>34</v>
      </c>
      <c r="G147" s="12" t="s">
        <v>58</v>
      </c>
      <c r="H147" s="10" t="n">
        <v>4210504</v>
      </c>
      <c r="I147" s="12" t="s">
        <v>166</v>
      </c>
      <c r="J147" s="10" t="n">
        <v>1340371</v>
      </c>
      <c r="L147" s="10" t="n">
        <v>209317</v>
      </c>
      <c r="M147" s="12" t="s">
        <v>33</v>
      </c>
      <c r="N147" s="12" t="s">
        <v>34</v>
      </c>
      <c r="P147" s="10" t="n">
        <v>102</v>
      </c>
      <c r="Q147" s="12" t="s">
        <v>141</v>
      </c>
      <c r="R147" s="12" t="s">
        <v>165</v>
      </c>
      <c r="S147" s="10" t="n">
        <v>4210502</v>
      </c>
      <c r="T147" s="12" t="s">
        <v>260</v>
      </c>
      <c r="U147" s="13" t="n">
        <v>673.65</v>
      </c>
      <c r="W147" s="13" t="n">
        <v>0</v>
      </c>
      <c r="X147" s="12" t="s">
        <v>261</v>
      </c>
      <c r="Z147" s="1" t="str">
        <f aca="false">IF($T147="","",IFERROR(INDEX('Resumo Grupos'!$AC$3:$AC$200,MATCH($T147,'Resumo Grupos'!$AB$3:$AB$200,0)),"n/d"))</f>
        <v>Empréstimo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3</v>
      </c>
      <c r="B148" s="11" t="n">
        <v>46205</v>
      </c>
      <c r="C148" s="11" t="n">
        <v>46205</v>
      </c>
      <c r="D148" s="10" t="n">
        <v>514</v>
      </c>
      <c r="E148" s="12" t="s">
        <v>163</v>
      </c>
      <c r="F148" s="10" t="n">
        <v>34</v>
      </c>
      <c r="G148" s="12" t="s">
        <v>58</v>
      </c>
      <c r="H148" s="10" t="n">
        <v>2110405</v>
      </c>
      <c r="I148" s="12" t="s">
        <v>63</v>
      </c>
      <c r="J148" s="10" t="n">
        <v>1340384</v>
      </c>
      <c r="L148" s="10" t="n">
        <v>209319</v>
      </c>
      <c r="M148" s="12" t="s">
        <v>33</v>
      </c>
      <c r="N148" s="12" t="s">
        <v>34</v>
      </c>
      <c r="P148" s="10" t="n">
        <v>102</v>
      </c>
      <c r="Q148" s="12" t="s">
        <v>141</v>
      </c>
      <c r="R148" s="12" t="s">
        <v>222</v>
      </c>
      <c r="S148" s="10" t="n">
        <v>4220199</v>
      </c>
      <c r="T148" s="12" t="s">
        <v>223</v>
      </c>
      <c r="U148" s="13" t="n">
        <v>700</v>
      </c>
      <c r="W148" s="13" t="n">
        <v>0</v>
      </c>
      <c r="X148" s="12" t="s">
        <v>262</v>
      </c>
      <c r="Z148" s="1" t="str">
        <f aca="false">IF($T148="","",IFERROR(INDEX('Resumo Grupos'!$AC$3:$AC$200,MATCH($T148,'Resumo Grupos'!$AB$3:$AB$200,0)),"n/d"))</f>
        <v>Pagamentos outros não operacionais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3</v>
      </c>
      <c r="B149" s="11" t="n">
        <v>46205</v>
      </c>
      <c r="C149" s="11" t="n">
        <v>46205</v>
      </c>
      <c r="D149" s="10" t="n">
        <v>10047</v>
      </c>
      <c r="E149" s="12" t="s">
        <v>140</v>
      </c>
      <c r="F149" s="10" t="n">
        <v>24</v>
      </c>
      <c r="G149" s="12" t="s">
        <v>31</v>
      </c>
      <c r="H149" s="10" t="n">
        <v>1110202</v>
      </c>
      <c r="I149" s="12" t="s">
        <v>263</v>
      </c>
      <c r="J149" s="10" t="n">
        <v>1345943</v>
      </c>
      <c r="L149" s="10" t="n">
        <v>210088</v>
      </c>
      <c r="M149" s="12" t="s">
        <v>33</v>
      </c>
      <c r="N149" s="12" t="s">
        <v>34</v>
      </c>
      <c r="P149" s="10" t="n">
        <v>102</v>
      </c>
      <c r="Q149" s="12" t="s">
        <v>141</v>
      </c>
      <c r="R149" s="12" t="s">
        <v>36</v>
      </c>
      <c r="S149" s="10" t="n">
        <v>1130101</v>
      </c>
      <c r="T149" s="12" t="s">
        <v>37</v>
      </c>
      <c r="U149" s="13" t="n">
        <v>250.86</v>
      </c>
      <c r="W149" s="13" t="n">
        <v>0</v>
      </c>
      <c r="X149" s="12" t="s">
        <v>264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0" t="n">
        <v>3</v>
      </c>
      <c r="B150" s="11" t="n">
        <v>46205</v>
      </c>
      <c r="C150" s="11" t="n">
        <v>46205</v>
      </c>
      <c r="D150" s="10" t="n">
        <v>515</v>
      </c>
      <c r="E150" s="12" t="s">
        <v>240</v>
      </c>
      <c r="F150" s="10" t="n">
        <v>34</v>
      </c>
      <c r="G150" s="12" t="s">
        <v>58</v>
      </c>
      <c r="H150" s="10" t="n">
        <v>1110204</v>
      </c>
      <c r="I150" s="12" t="s">
        <v>177</v>
      </c>
      <c r="J150" s="10" t="n">
        <v>1345959</v>
      </c>
      <c r="L150" s="10" t="n">
        <v>210089</v>
      </c>
      <c r="M150" s="12" t="s">
        <v>33</v>
      </c>
      <c r="N150" s="12" t="s">
        <v>34</v>
      </c>
      <c r="P150" s="10" t="n">
        <v>102</v>
      </c>
      <c r="Q150" s="12" t="s">
        <v>141</v>
      </c>
      <c r="R150" s="12" t="s">
        <v>165</v>
      </c>
      <c r="S150" s="10" t="n">
        <v>4210505</v>
      </c>
      <c r="T150" s="12" t="s">
        <v>257</v>
      </c>
      <c r="U150" s="13" t="n">
        <v>21.19</v>
      </c>
      <c r="W150" s="13" t="n">
        <v>0</v>
      </c>
      <c r="X150" s="12" t="s">
        <v>265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3</v>
      </c>
      <c r="B151" s="11" t="n">
        <v>46205</v>
      </c>
      <c r="C151" s="11" t="n">
        <v>46205</v>
      </c>
      <c r="D151" s="10" t="n">
        <v>515</v>
      </c>
      <c r="E151" s="12" t="s">
        <v>240</v>
      </c>
      <c r="F151" s="10" t="n">
        <v>34</v>
      </c>
      <c r="G151" s="12" t="s">
        <v>58</v>
      </c>
      <c r="H151" s="10" t="n">
        <v>1110204</v>
      </c>
      <c r="I151" s="12" t="s">
        <v>177</v>
      </c>
      <c r="J151" s="10" t="n">
        <v>1345980</v>
      </c>
      <c r="L151" s="10" t="n">
        <v>210091</v>
      </c>
      <c r="M151" s="12" t="s">
        <v>33</v>
      </c>
      <c r="N151" s="12" t="s">
        <v>34</v>
      </c>
      <c r="P151" s="10" t="n">
        <v>102</v>
      </c>
      <c r="Q151" s="12" t="s">
        <v>141</v>
      </c>
      <c r="R151" s="12" t="s">
        <v>165</v>
      </c>
      <c r="S151" s="10" t="n">
        <v>4210504</v>
      </c>
      <c r="T151" s="12" t="s">
        <v>166</v>
      </c>
      <c r="U151" s="13" t="n">
        <v>31.46</v>
      </c>
      <c r="W151" s="13" t="n">
        <v>0</v>
      </c>
      <c r="X151" s="12" t="s">
        <v>266</v>
      </c>
      <c r="Z151" s="1" t="str">
        <f aca="false">IF($T151="","",IFERROR(INDEX('Resumo Grupos'!$AC$3:$AC$200,MATCH($T151,'Resumo Grupos'!$AB$3:$AB$200,0)),"n/d"))</f>
        <v>Despesa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0" t="n">
        <v>3</v>
      </c>
      <c r="B152" s="11" t="n">
        <v>46205</v>
      </c>
      <c r="C152" s="11" t="n">
        <v>46205</v>
      </c>
      <c r="D152" s="10" t="n">
        <v>515</v>
      </c>
      <c r="E152" s="12" t="s">
        <v>240</v>
      </c>
      <c r="F152" s="10" t="n">
        <v>34</v>
      </c>
      <c r="G152" s="12" t="s">
        <v>58</v>
      </c>
      <c r="H152" s="10" t="n">
        <v>1110204</v>
      </c>
      <c r="I152" s="12" t="s">
        <v>177</v>
      </c>
      <c r="J152" s="10" t="n">
        <v>1345992</v>
      </c>
      <c r="L152" s="10" t="n">
        <v>210094</v>
      </c>
      <c r="M152" s="12" t="s">
        <v>33</v>
      </c>
      <c r="N152" s="12" t="s">
        <v>34</v>
      </c>
      <c r="P152" s="10" t="n">
        <v>102</v>
      </c>
      <c r="Q152" s="12" t="s">
        <v>141</v>
      </c>
      <c r="R152" s="12" t="s">
        <v>165</v>
      </c>
      <c r="S152" s="10" t="n">
        <v>4210504</v>
      </c>
      <c r="T152" s="12" t="s">
        <v>166</v>
      </c>
      <c r="U152" s="13" t="n">
        <v>32.34</v>
      </c>
      <c r="W152" s="13" t="n">
        <v>0</v>
      </c>
      <c r="X152" s="12" t="s">
        <v>267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3</v>
      </c>
      <c r="B153" s="11" t="n">
        <v>46205</v>
      </c>
      <c r="C153" s="11" t="n">
        <v>46205</v>
      </c>
      <c r="D153" s="10" t="n">
        <v>515</v>
      </c>
      <c r="E153" s="12" t="s">
        <v>240</v>
      </c>
      <c r="F153" s="10" t="n">
        <v>34</v>
      </c>
      <c r="G153" s="12" t="s">
        <v>58</v>
      </c>
      <c r="H153" s="10" t="n">
        <v>1110204</v>
      </c>
      <c r="I153" s="12" t="s">
        <v>177</v>
      </c>
      <c r="J153" s="10" t="n">
        <v>1345999</v>
      </c>
      <c r="L153" s="10" t="n">
        <v>210098</v>
      </c>
      <c r="M153" s="12" t="s">
        <v>33</v>
      </c>
      <c r="N153" s="12" t="s">
        <v>34</v>
      </c>
      <c r="P153" s="10" t="n">
        <v>102</v>
      </c>
      <c r="Q153" s="12" t="s">
        <v>141</v>
      </c>
      <c r="R153" s="12" t="s">
        <v>165</v>
      </c>
      <c r="S153" s="10" t="n">
        <v>4210504</v>
      </c>
      <c r="T153" s="12" t="s">
        <v>166</v>
      </c>
      <c r="U153" s="13" t="n">
        <v>199.75</v>
      </c>
      <c r="W153" s="13" t="n">
        <v>0</v>
      </c>
      <c r="X153" s="12" t="s">
        <v>268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3</v>
      </c>
      <c r="B154" s="11" t="n">
        <v>46205</v>
      </c>
      <c r="C154" s="11" t="n">
        <v>46205</v>
      </c>
      <c r="D154" s="10" t="n">
        <v>515</v>
      </c>
      <c r="E154" s="12" t="s">
        <v>240</v>
      </c>
      <c r="F154" s="10" t="n">
        <v>34</v>
      </c>
      <c r="G154" s="12" t="s">
        <v>58</v>
      </c>
      <c r="H154" s="10" t="n">
        <v>1110204</v>
      </c>
      <c r="I154" s="12" t="s">
        <v>177</v>
      </c>
      <c r="J154" s="10" t="n">
        <v>1346040</v>
      </c>
      <c r="L154" s="10" t="n">
        <v>210105</v>
      </c>
      <c r="M154" s="12" t="s">
        <v>33</v>
      </c>
      <c r="N154" s="12" t="s">
        <v>34</v>
      </c>
      <c r="P154" s="10" t="n">
        <v>102</v>
      </c>
      <c r="Q154" s="12" t="s">
        <v>141</v>
      </c>
      <c r="R154" s="12" t="s">
        <v>165</v>
      </c>
      <c r="S154" s="10" t="n">
        <v>4210505</v>
      </c>
      <c r="T154" s="12" t="s">
        <v>257</v>
      </c>
      <c r="U154" s="13" t="n">
        <v>203.79</v>
      </c>
      <c r="W154" s="13" t="n">
        <v>0</v>
      </c>
      <c r="X154" s="12" t="s">
        <v>269</v>
      </c>
      <c r="Z154" s="1" t="str">
        <f aca="false">IF($T154="","",IFERROR(INDEX('Resumo Grupos'!$AC$3:$AC$200,MATCH($T154,'Resumo Grupos'!$AB$3:$AB$200,0)),"n/d"))</f>
        <v>Despesa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3</v>
      </c>
      <c r="B155" s="11" t="n">
        <v>46205</v>
      </c>
      <c r="C155" s="11" t="n">
        <v>46205</v>
      </c>
      <c r="D155" s="10" t="n">
        <v>515</v>
      </c>
      <c r="E155" s="12" t="s">
        <v>240</v>
      </c>
      <c r="F155" s="10" t="n">
        <v>34</v>
      </c>
      <c r="G155" s="12" t="s">
        <v>58</v>
      </c>
      <c r="H155" s="10" t="n">
        <v>1110204</v>
      </c>
      <c r="I155" s="12" t="s">
        <v>177</v>
      </c>
      <c r="J155" s="10" t="n">
        <v>1346044</v>
      </c>
      <c r="L155" s="10" t="n">
        <v>210106</v>
      </c>
      <c r="M155" s="12" t="s">
        <v>33</v>
      </c>
      <c r="N155" s="12" t="s">
        <v>34</v>
      </c>
      <c r="P155" s="10" t="n">
        <v>102</v>
      </c>
      <c r="Q155" s="12" t="s">
        <v>141</v>
      </c>
      <c r="R155" s="12" t="s">
        <v>165</v>
      </c>
      <c r="S155" s="10" t="n">
        <v>4210504</v>
      </c>
      <c r="T155" s="12" t="s">
        <v>166</v>
      </c>
      <c r="U155" s="13" t="n">
        <v>862.07</v>
      </c>
      <c r="W155" s="13" t="n">
        <v>0</v>
      </c>
      <c r="X155" s="12" t="s">
        <v>270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3</v>
      </c>
      <c r="B156" s="11" t="n">
        <v>46205</v>
      </c>
      <c r="C156" s="11" t="n">
        <v>46205</v>
      </c>
      <c r="D156" s="10" t="n">
        <v>10072</v>
      </c>
      <c r="E156" s="12" t="s">
        <v>271</v>
      </c>
      <c r="F156" s="10" t="n">
        <v>34</v>
      </c>
      <c r="G156" s="12" t="s">
        <v>58</v>
      </c>
      <c r="H156" s="10" t="n">
        <v>1110202</v>
      </c>
      <c r="I156" s="12" t="s">
        <v>263</v>
      </c>
      <c r="J156" s="10" t="n">
        <v>1346121</v>
      </c>
      <c r="L156" s="10" t="n">
        <v>210116</v>
      </c>
      <c r="M156" s="12" t="s">
        <v>33</v>
      </c>
      <c r="N156" s="12" t="s">
        <v>34</v>
      </c>
      <c r="P156" s="10" t="n">
        <v>102</v>
      </c>
      <c r="Q156" s="12" t="s">
        <v>141</v>
      </c>
      <c r="R156" s="12" t="s">
        <v>137</v>
      </c>
      <c r="S156" s="10" t="n">
        <v>4210310</v>
      </c>
      <c r="T156" s="12" t="s">
        <v>226</v>
      </c>
      <c r="U156" s="13" t="n">
        <v>375</v>
      </c>
      <c r="W156" s="13" t="n">
        <v>0</v>
      </c>
      <c r="X156" s="12" t="s">
        <v>272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0" t="n">
        <v>3</v>
      </c>
      <c r="B157" s="11" t="n">
        <v>46175</v>
      </c>
      <c r="C157" s="11" t="n">
        <v>46206</v>
      </c>
      <c r="D157" s="10" t="n">
        <v>1740</v>
      </c>
      <c r="E157" s="12" t="s">
        <v>273</v>
      </c>
      <c r="F157" s="10" t="n">
        <v>24</v>
      </c>
      <c r="G157" s="12" t="s">
        <v>31</v>
      </c>
      <c r="H157" s="10" t="n">
        <v>2110101</v>
      </c>
      <c r="I157" s="12" t="s">
        <v>32</v>
      </c>
      <c r="J157" s="10" t="n">
        <v>1196471</v>
      </c>
      <c r="L157" s="10" t="n">
        <v>12326073</v>
      </c>
      <c r="M157" s="12" t="s">
        <v>33</v>
      </c>
      <c r="N157" s="12" t="s">
        <v>34</v>
      </c>
      <c r="P157" s="10" t="n">
        <v>128</v>
      </c>
      <c r="Q157" s="12" t="s">
        <v>35</v>
      </c>
      <c r="R157" s="12" t="s">
        <v>36</v>
      </c>
      <c r="S157" s="10" t="n">
        <v>1130101</v>
      </c>
      <c r="T157" s="12" t="s">
        <v>37</v>
      </c>
      <c r="U157" s="13" t="n">
        <v>742.93</v>
      </c>
      <c r="W157" s="13" t="n">
        <v>0</v>
      </c>
      <c r="X157" s="12" t="s">
        <v>274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0" t="n">
        <v>3</v>
      </c>
      <c r="B158" s="11" t="n">
        <v>46182</v>
      </c>
      <c r="C158" s="11" t="n">
        <v>46206</v>
      </c>
      <c r="D158" s="10" t="n">
        <v>1740</v>
      </c>
      <c r="E158" s="12" t="s">
        <v>273</v>
      </c>
      <c r="F158" s="10" t="n">
        <v>24</v>
      </c>
      <c r="G158" s="12" t="s">
        <v>31</v>
      </c>
      <c r="H158" s="10" t="n">
        <v>2110101</v>
      </c>
      <c r="I158" s="12" t="s">
        <v>32</v>
      </c>
      <c r="J158" s="10" t="n">
        <v>1230759</v>
      </c>
      <c r="L158" s="10" t="n">
        <v>12346572</v>
      </c>
      <c r="M158" s="12" t="s">
        <v>33</v>
      </c>
      <c r="N158" s="12" t="s">
        <v>34</v>
      </c>
      <c r="P158" s="10" t="n">
        <v>128</v>
      </c>
      <c r="Q158" s="12" t="s">
        <v>35</v>
      </c>
      <c r="R158" s="12" t="s">
        <v>36</v>
      </c>
      <c r="S158" s="10" t="n">
        <v>1130101</v>
      </c>
      <c r="T158" s="12" t="s">
        <v>37</v>
      </c>
      <c r="U158" s="13" t="n">
        <v>1155.4</v>
      </c>
      <c r="W158" s="13" t="n">
        <v>0</v>
      </c>
      <c r="X158" s="12" t="s">
        <v>275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0" t="n">
        <v>3</v>
      </c>
      <c r="B159" s="11" t="n">
        <v>46182</v>
      </c>
      <c r="C159" s="11" t="n">
        <v>46206</v>
      </c>
      <c r="D159" s="10" t="n">
        <v>1668</v>
      </c>
      <c r="E159" s="12" t="s">
        <v>276</v>
      </c>
      <c r="F159" s="10" t="n">
        <v>24</v>
      </c>
      <c r="G159" s="12" t="s">
        <v>31</v>
      </c>
      <c r="H159" s="10" t="n">
        <v>2110101</v>
      </c>
      <c r="I159" s="12" t="s">
        <v>32</v>
      </c>
      <c r="J159" s="10" t="n">
        <v>1231370</v>
      </c>
      <c r="L159" s="10" t="n">
        <v>7269632</v>
      </c>
      <c r="M159" s="12" t="s">
        <v>33</v>
      </c>
      <c r="N159" s="12" t="s">
        <v>34</v>
      </c>
      <c r="P159" s="10" t="n">
        <v>128</v>
      </c>
      <c r="Q159" s="12" t="s">
        <v>35</v>
      </c>
      <c r="R159" s="12" t="s">
        <v>36</v>
      </c>
      <c r="S159" s="10" t="n">
        <v>1130101</v>
      </c>
      <c r="T159" s="12" t="s">
        <v>37</v>
      </c>
      <c r="U159" s="13" t="n">
        <v>648.24</v>
      </c>
      <c r="W159" s="13" t="n">
        <v>0</v>
      </c>
      <c r="X159" s="12" t="s">
        <v>277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0" t="n">
        <v>3</v>
      </c>
      <c r="B160" s="11" t="n">
        <v>46188</v>
      </c>
      <c r="C160" s="11" t="n">
        <v>46206</v>
      </c>
      <c r="D160" s="10" t="n">
        <v>1024</v>
      </c>
      <c r="E160" s="12" t="s">
        <v>278</v>
      </c>
      <c r="F160" s="10" t="n">
        <v>24</v>
      </c>
      <c r="G160" s="12" t="s">
        <v>31</v>
      </c>
      <c r="H160" s="10" t="n">
        <v>2110101</v>
      </c>
      <c r="I160" s="12" t="s">
        <v>32</v>
      </c>
      <c r="J160" s="10" t="n">
        <v>1261030</v>
      </c>
      <c r="L160" s="10" t="n">
        <v>5847652</v>
      </c>
      <c r="M160" s="12" t="s">
        <v>33</v>
      </c>
      <c r="N160" s="12" t="s">
        <v>34</v>
      </c>
      <c r="P160" s="10" t="n">
        <v>128</v>
      </c>
      <c r="Q160" s="12" t="s">
        <v>35</v>
      </c>
      <c r="R160" s="12" t="s">
        <v>36</v>
      </c>
      <c r="S160" s="10" t="n">
        <v>1130101</v>
      </c>
      <c r="T160" s="12" t="s">
        <v>37</v>
      </c>
      <c r="U160" s="13" t="n">
        <v>520</v>
      </c>
      <c r="W160" s="13" t="n">
        <v>0</v>
      </c>
      <c r="X160" s="12" t="s">
        <v>279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91.5" hidden="false" customHeight="true" outlineLevel="0" collapsed="false">
      <c r="A161" s="10" t="n">
        <v>3</v>
      </c>
      <c r="B161" s="11" t="n">
        <v>46188</v>
      </c>
      <c r="C161" s="11" t="n">
        <v>46206</v>
      </c>
      <c r="D161" s="10" t="n">
        <v>1814</v>
      </c>
      <c r="E161" s="12" t="s">
        <v>280</v>
      </c>
      <c r="F161" s="10" t="n">
        <v>24</v>
      </c>
      <c r="G161" s="12" t="s">
        <v>31</v>
      </c>
      <c r="H161" s="10" t="n">
        <v>2110101</v>
      </c>
      <c r="I161" s="12" t="s">
        <v>32</v>
      </c>
      <c r="J161" s="10" t="n">
        <v>1261170</v>
      </c>
      <c r="L161" s="10" t="n">
        <v>268262</v>
      </c>
      <c r="M161" s="12" t="s">
        <v>33</v>
      </c>
      <c r="N161" s="12" t="s">
        <v>34</v>
      </c>
      <c r="P161" s="10" t="n">
        <v>128</v>
      </c>
      <c r="Q161" s="12" t="s">
        <v>35</v>
      </c>
      <c r="R161" s="12" t="s">
        <v>36</v>
      </c>
      <c r="S161" s="10" t="n">
        <v>1130101</v>
      </c>
      <c r="T161" s="12" t="s">
        <v>37</v>
      </c>
      <c r="U161" s="13" t="n">
        <v>486.97</v>
      </c>
      <c r="W161" s="13" t="n">
        <v>0</v>
      </c>
      <c r="X161" s="12" t="s">
        <v>281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0" t="n">
        <v>3</v>
      </c>
      <c r="B162" s="11" t="n">
        <v>46189</v>
      </c>
      <c r="C162" s="11" t="n">
        <v>46206</v>
      </c>
      <c r="D162" s="10" t="n">
        <v>1740</v>
      </c>
      <c r="E162" s="12" t="s">
        <v>273</v>
      </c>
      <c r="F162" s="10" t="n">
        <v>24</v>
      </c>
      <c r="G162" s="12" t="s">
        <v>31</v>
      </c>
      <c r="H162" s="10" t="n">
        <v>2110101</v>
      </c>
      <c r="I162" s="12" t="s">
        <v>32</v>
      </c>
      <c r="J162" s="10" t="n">
        <v>1261767</v>
      </c>
      <c r="L162" s="10" t="n">
        <v>1237464</v>
      </c>
      <c r="M162" s="12" t="s">
        <v>33</v>
      </c>
      <c r="N162" s="12" t="s">
        <v>40</v>
      </c>
      <c r="P162" s="10" t="n">
        <v>128</v>
      </c>
      <c r="Q162" s="12" t="s">
        <v>35</v>
      </c>
      <c r="R162" s="12" t="s">
        <v>36</v>
      </c>
      <c r="S162" s="10" t="n">
        <v>1130101</v>
      </c>
      <c r="T162" s="12" t="s">
        <v>37</v>
      </c>
      <c r="U162" s="13" t="n">
        <v>431.5</v>
      </c>
      <c r="W162" s="13" t="n">
        <v>0</v>
      </c>
      <c r="X162" s="12" t="s">
        <v>282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45.75" hidden="false" customHeight="true" outlineLevel="0" collapsed="false">
      <c r="A163" s="10" t="n">
        <v>3</v>
      </c>
      <c r="B163" s="11" t="n">
        <v>46189</v>
      </c>
      <c r="C163" s="11" t="n">
        <v>46206</v>
      </c>
      <c r="D163" s="10" t="n">
        <v>1740</v>
      </c>
      <c r="E163" s="12" t="s">
        <v>273</v>
      </c>
      <c r="F163" s="10" t="n">
        <v>24</v>
      </c>
      <c r="G163" s="12" t="s">
        <v>31</v>
      </c>
      <c r="H163" s="10" t="n">
        <v>2110101</v>
      </c>
      <c r="I163" s="12" t="s">
        <v>32</v>
      </c>
      <c r="J163" s="10" t="n">
        <v>1261789</v>
      </c>
      <c r="L163" s="10" t="n">
        <v>1237462</v>
      </c>
      <c r="M163" s="12" t="s">
        <v>33</v>
      </c>
      <c r="N163" s="12" t="s">
        <v>40</v>
      </c>
      <c r="P163" s="10" t="n">
        <v>128</v>
      </c>
      <c r="Q163" s="12" t="s">
        <v>35</v>
      </c>
      <c r="R163" s="12" t="s">
        <v>36</v>
      </c>
      <c r="S163" s="10" t="n">
        <v>1130101</v>
      </c>
      <c r="T163" s="12" t="s">
        <v>37</v>
      </c>
      <c r="U163" s="13" t="n">
        <v>632.15</v>
      </c>
      <c r="W163" s="13" t="n">
        <v>0</v>
      </c>
      <c r="X163" s="12" t="s">
        <v>283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45.75" hidden="false" customHeight="true" outlineLevel="0" collapsed="false">
      <c r="A164" s="10" t="n">
        <v>3</v>
      </c>
      <c r="B164" s="11" t="n">
        <v>46189</v>
      </c>
      <c r="C164" s="11" t="n">
        <v>46206</v>
      </c>
      <c r="D164" s="10" t="n">
        <v>754</v>
      </c>
      <c r="E164" s="12" t="s">
        <v>284</v>
      </c>
      <c r="F164" s="10" t="n">
        <v>24</v>
      </c>
      <c r="G164" s="12" t="s">
        <v>31</v>
      </c>
      <c r="H164" s="10" t="n">
        <v>2110101</v>
      </c>
      <c r="I164" s="12" t="s">
        <v>32</v>
      </c>
      <c r="J164" s="10" t="n">
        <v>1264982</v>
      </c>
      <c r="L164" s="10" t="n">
        <v>1574602</v>
      </c>
      <c r="M164" s="12" t="s">
        <v>33</v>
      </c>
      <c r="N164" s="12" t="s">
        <v>34</v>
      </c>
      <c r="P164" s="10" t="n">
        <v>128</v>
      </c>
      <c r="Q164" s="12" t="s">
        <v>35</v>
      </c>
      <c r="R164" s="12" t="s">
        <v>36</v>
      </c>
      <c r="S164" s="10" t="n">
        <v>1130101</v>
      </c>
      <c r="T164" s="12" t="s">
        <v>37</v>
      </c>
      <c r="U164" s="13" t="n">
        <v>552</v>
      </c>
      <c r="W164" s="13" t="n">
        <v>0</v>
      </c>
      <c r="X164" s="12" t="s">
        <v>285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45.75" hidden="false" customHeight="true" outlineLevel="0" collapsed="false">
      <c r="A165" s="10" t="n">
        <v>3</v>
      </c>
      <c r="B165" s="11" t="n">
        <v>46188</v>
      </c>
      <c r="C165" s="11" t="n">
        <v>46206</v>
      </c>
      <c r="D165" s="10" t="n">
        <v>1667</v>
      </c>
      <c r="E165" s="12" t="s">
        <v>286</v>
      </c>
      <c r="F165" s="10" t="n">
        <v>24</v>
      </c>
      <c r="G165" s="12" t="s">
        <v>31</v>
      </c>
      <c r="H165" s="10" t="n">
        <v>2110101</v>
      </c>
      <c r="I165" s="12" t="s">
        <v>32</v>
      </c>
      <c r="J165" s="10" t="n">
        <v>1265455</v>
      </c>
      <c r="L165" s="10" t="n">
        <v>3095011</v>
      </c>
      <c r="M165" s="12" t="s">
        <v>33</v>
      </c>
      <c r="N165" s="12" t="s">
        <v>34</v>
      </c>
      <c r="P165" s="10" t="n">
        <v>128</v>
      </c>
      <c r="Q165" s="12" t="s">
        <v>35</v>
      </c>
      <c r="R165" s="12" t="s">
        <v>36</v>
      </c>
      <c r="S165" s="10" t="n">
        <v>1130101</v>
      </c>
      <c r="T165" s="12" t="s">
        <v>37</v>
      </c>
      <c r="U165" s="13" t="n">
        <v>541.96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3</v>
      </c>
      <c r="B166" s="11" t="n">
        <v>46190</v>
      </c>
      <c r="C166" s="11" t="n">
        <v>46206</v>
      </c>
      <c r="D166" s="10" t="n">
        <v>1628</v>
      </c>
      <c r="E166" s="12" t="s">
        <v>288</v>
      </c>
      <c r="F166" s="10" t="n">
        <v>24</v>
      </c>
      <c r="G166" s="12" t="s">
        <v>31</v>
      </c>
      <c r="H166" s="10" t="n">
        <v>2110101</v>
      </c>
      <c r="I166" s="12" t="s">
        <v>32</v>
      </c>
      <c r="J166" s="10" t="n">
        <v>1265595</v>
      </c>
      <c r="L166" s="10" t="n">
        <v>88887</v>
      </c>
      <c r="M166" s="12" t="s">
        <v>33</v>
      </c>
      <c r="N166" s="12" t="s">
        <v>40</v>
      </c>
      <c r="P166" s="10" t="n">
        <v>128</v>
      </c>
      <c r="Q166" s="12" t="s">
        <v>35</v>
      </c>
      <c r="R166" s="12" t="s">
        <v>36</v>
      </c>
      <c r="S166" s="10" t="n">
        <v>1130101</v>
      </c>
      <c r="T166" s="12" t="s">
        <v>37</v>
      </c>
      <c r="U166" s="13" t="n">
        <v>411.68</v>
      </c>
      <c r="W166" s="13" t="n">
        <v>0</v>
      </c>
      <c r="X166" s="12"/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3</v>
      </c>
      <c r="B167" s="11" t="n">
        <v>46189</v>
      </c>
      <c r="C167" s="11" t="n">
        <v>46206</v>
      </c>
      <c r="D167" s="10" t="n">
        <v>1734</v>
      </c>
      <c r="E167" s="12" t="s">
        <v>214</v>
      </c>
      <c r="F167" s="10" t="n">
        <v>24</v>
      </c>
      <c r="G167" s="12" t="s">
        <v>31</v>
      </c>
      <c r="H167" s="10" t="n">
        <v>2110101</v>
      </c>
      <c r="I167" s="12" t="s">
        <v>32</v>
      </c>
      <c r="J167" s="10" t="n">
        <v>1266168</v>
      </c>
      <c r="L167" s="10" t="n">
        <v>2536322</v>
      </c>
      <c r="M167" s="12" t="s">
        <v>33</v>
      </c>
      <c r="N167" s="12" t="s">
        <v>34</v>
      </c>
      <c r="P167" s="10" t="n">
        <v>128</v>
      </c>
      <c r="Q167" s="12" t="s">
        <v>35</v>
      </c>
      <c r="R167" s="12" t="s">
        <v>36</v>
      </c>
      <c r="S167" s="10" t="n">
        <v>1130101</v>
      </c>
      <c r="T167" s="12" t="s">
        <v>37</v>
      </c>
      <c r="U167" s="13" t="n">
        <v>452.58</v>
      </c>
      <c r="W167" s="13" t="n">
        <v>0</v>
      </c>
      <c r="X167" s="12" t="s">
        <v>289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3</v>
      </c>
      <c r="B168" s="11" t="n">
        <v>46195</v>
      </c>
      <c r="C168" s="11" t="n">
        <v>46206</v>
      </c>
      <c r="D168" s="10" t="n">
        <v>1608</v>
      </c>
      <c r="E168" s="12" t="s">
        <v>69</v>
      </c>
      <c r="F168" s="10" t="n">
        <v>24</v>
      </c>
      <c r="G168" s="12" t="s">
        <v>31</v>
      </c>
      <c r="H168" s="10" t="n">
        <v>2110101</v>
      </c>
      <c r="I168" s="12" t="s">
        <v>32</v>
      </c>
      <c r="J168" s="10" t="n">
        <v>1293852</v>
      </c>
      <c r="L168" s="10" t="n">
        <v>16785001</v>
      </c>
      <c r="M168" s="12" t="s">
        <v>33</v>
      </c>
      <c r="N168" s="12" t="s">
        <v>34</v>
      </c>
      <c r="P168" s="10" t="n">
        <v>128</v>
      </c>
      <c r="Q168" s="12" t="s">
        <v>35</v>
      </c>
      <c r="R168" s="12" t="s">
        <v>36</v>
      </c>
      <c r="S168" s="10" t="n">
        <v>1130101</v>
      </c>
      <c r="T168" s="12" t="s">
        <v>37</v>
      </c>
      <c r="U168" s="13" t="n">
        <v>1189.34</v>
      </c>
      <c r="W168" s="13" t="n">
        <v>0</v>
      </c>
      <c r="X168" s="12" t="s">
        <v>290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3</v>
      </c>
      <c r="B169" s="11" t="n">
        <v>46195</v>
      </c>
      <c r="C169" s="11" t="n">
        <v>46206</v>
      </c>
      <c r="D169" s="10" t="n">
        <v>440</v>
      </c>
      <c r="E169" s="12" t="s">
        <v>291</v>
      </c>
      <c r="F169" s="10" t="n">
        <v>24</v>
      </c>
      <c r="G169" s="12" t="s">
        <v>31</v>
      </c>
      <c r="H169" s="10" t="n">
        <v>2110101</v>
      </c>
      <c r="I169" s="12" t="s">
        <v>32</v>
      </c>
      <c r="J169" s="10" t="n">
        <v>1293942</v>
      </c>
      <c r="L169" s="10" t="n">
        <v>166751</v>
      </c>
      <c r="M169" s="12" t="s">
        <v>33</v>
      </c>
      <c r="N169" s="12" t="s">
        <v>34</v>
      </c>
      <c r="P169" s="10" t="n">
        <v>128</v>
      </c>
      <c r="Q169" s="12" t="s">
        <v>35</v>
      </c>
      <c r="R169" s="12" t="s">
        <v>36</v>
      </c>
      <c r="S169" s="10" t="n">
        <v>1130101</v>
      </c>
      <c r="T169" s="12" t="s">
        <v>37</v>
      </c>
      <c r="U169" s="13" t="n">
        <v>431</v>
      </c>
      <c r="W169" s="13" t="n">
        <v>0</v>
      </c>
      <c r="X169" s="12" t="s">
        <v>292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54.75" hidden="false" customHeight="true" outlineLevel="0" collapsed="false">
      <c r="A170" s="10" t="n">
        <v>3</v>
      </c>
      <c r="B170" s="11" t="n">
        <v>46196</v>
      </c>
      <c r="C170" s="11" t="n">
        <v>46206</v>
      </c>
      <c r="D170" s="10" t="n">
        <v>1196</v>
      </c>
      <c r="E170" s="12" t="s">
        <v>293</v>
      </c>
      <c r="F170" s="10" t="n">
        <v>24</v>
      </c>
      <c r="G170" s="12" t="s">
        <v>31</v>
      </c>
      <c r="H170" s="10" t="n">
        <v>2110101</v>
      </c>
      <c r="I170" s="12" t="s">
        <v>32</v>
      </c>
      <c r="J170" s="10" t="n">
        <v>1304396</v>
      </c>
      <c r="L170" s="10" t="n">
        <v>125431</v>
      </c>
      <c r="M170" s="12" t="s">
        <v>33</v>
      </c>
      <c r="N170" s="12" t="s">
        <v>34</v>
      </c>
      <c r="P170" s="10" t="n">
        <v>128</v>
      </c>
      <c r="Q170" s="12" t="s">
        <v>35</v>
      </c>
      <c r="R170" s="12" t="s">
        <v>36</v>
      </c>
      <c r="S170" s="10" t="n">
        <v>1130101</v>
      </c>
      <c r="T170" s="12" t="s">
        <v>37</v>
      </c>
      <c r="U170" s="13" t="n">
        <v>431.88</v>
      </c>
      <c r="W170" s="13" t="n">
        <v>0</v>
      </c>
      <c r="X170" s="12" t="s">
        <v>294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3</v>
      </c>
      <c r="B171" s="11" t="n">
        <v>46203</v>
      </c>
      <c r="C171" s="11" t="n">
        <v>46206</v>
      </c>
      <c r="D171" s="10" t="n">
        <v>42</v>
      </c>
      <c r="E171" s="12" t="s">
        <v>106</v>
      </c>
      <c r="F171" s="10" t="n">
        <v>34</v>
      </c>
      <c r="G171" s="12" t="s">
        <v>58</v>
      </c>
      <c r="H171" s="10" t="n">
        <v>2110101</v>
      </c>
      <c r="I171" s="12" t="s">
        <v>32</v>
      </c>
      <c r="J171" s="10" t="n">
        <v>1330496</v>
      </c>
      <c r="L171" s="10" t="n">
        <v>4335</v>
      </c>
      <c r="M171" s="12" t="s">
        <v>33</v>
      </c>
      <c r="N171" s="12" t="s">
        <v>40</v>
      </c>
      <c r="P171" s="10" t="n">
        <v>128</v>
      </c>
      <c r="Q171" s="12" t="s">
        <v>35</v>
      </c>
      <c r="R171" s="12" t="s">
        <v>36</v>
      </c>
      <c r="S171" s="10" t="n">
        <v>1130101</v>
      </c>
      <c r="T171" s="12" t="s">
        <v>37</v>
      </c>
      <c r="U171" s="13" t="n">
        <v>2666.5</v>
      </c>
      <c r="W171" s="13" t="n">
        <v>0</v>
      </c>
      <c r="X171" s="12" t="s">
        <v>107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3</v>
      </c>
      <c r="B172" s="11" t="n">
        <v>46203</v>
      </c>
      <c r="C172" s="11" t="n">
        <v>46206</v>
      </c>
      <c r="D172" s="10" t="n">
        <v>1615</v>
      </c>
      <c r="E172" s="12" t="s">
        <v>57</v>
      </c>
      <c r="F172" s="10" t="n">
        <v>34</v>
      </c>
      <c r="G172" s="12" t="s">
        <v>58</v>
      </c>
      <c r="H172" s="10" t="n">
        <v>2110101</v>
      </c>
      <c r="I172" s="12" t="s">
        <v>32</v>
      </c>
      <c r="J172" s="10" t="n">
        <v>1330504</v>
      </c>
      <c r="L172" s="10" t="n">
        <v>14766</v>
      </c>
      <c r="M172" s="12" t="s">
        <v>33</v>
      </c>
      <c r="N172" s="12" t="s">
        <v>40</v>
      </c>
      <c r="P172" s="10" t="n">
        <v>128</v>
      </c>
      <c r="Q172" s="12" t="s">
        <v>35</v>
      </c>
      <c r="R172" s="12" t="s">
        <v>36</v>
      </c>
      <c r="S172" s="10" t="n">
        <v>1130101</v>
      </c>
      <c r="T172" s="12" t="s">
        <v>37</v>
      </c>
      <c r="U172" s="13" t="n">
        <v>680</v>
      </c>
      <c r="W172" s="13" t="n">
        <v>0</v>
      </c>
      <c r="X172" s="12" t="s">
        <v>295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36.75" hidden="false" customHeight="true" outlineLevel="0" collapsed="false">
      <c r="A173" s="10" t="n">
        <v>3</v>
      </c>
      <c r="B173" s="11" t="n">
        <v>46203</v>
      </c>
      <c r="C173" s="11" t="n">
        <v>46206</v>
      </c>
      <c r="D173" s="10" t="n">
        <v>1615</v>
      </c>
      <c r="E173" s="12" t="s">
        <v>57</v>
      </c>
      <c r="F173" s="10" t="n">
        <v>34</v>
      </c>
      <c r="G173" s="12" t="s">
        <v>58</v>
      </c>
      <c r="H173" s="10" t="n">
        <v>2110101</v>
      </c>
      <c r="I173" s="12" t="s">
        <v>32</v>
      </c>
      <c r="J173" s="10" t="n">
        <v>1330510</v>
      </c>
      <c r="L173" s="10" t="n">
        <v>207809</v>
      </c>
      <c r="M173" s="12" t="s">
        <v>33</v>
      </c>
      <c r="N173" s="12" t="s">
        <v>34</v>
      </c>
      <c r="P173" s="10" t="n">
        <v>128</v>
      </c>
      <c r="Q173" s="12" t="s">
        <v>35</v>
      </c>
      <c r="R173" s="12" t="s">
        <v>36</v>
      </c>
      <c r="S173" s="10" t="n">
        <v>1130101</v>
      </c>
      <c r="T173" s="12" t="s">
        <v>37</v>
      </c>
      <c r="U173" s="13" t="n">
        <v>354</v>
      </c>
      <c r="W173" s="13" t="n">
        <v>0</v>
      </c>
      <c r="X173" s="12" t="s">
        <v>296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36.75" hidden="false" customHeight="true" outlineLevel="0" collapsed="false">
      <c r="A174" s="10" t="n">
        <v>3</v>
      </c>
      <c r="B174" s="11" t="n">
        <v>46206</v>
      </c>
      <c r="C174" s="11" t="n">
        <v>46206</v>
      </c>
      <c r="D174" s="10" t="n">
        <v>42</v>
      </c>
      <c r="E174" s="12" t="s">
        <v>106</v>
      </c>
      <c r="F174" s="10" t="n">
        <v>13</v>
      </c>
      <c r="G174" s="12" t="s">
        <v>91</v>
      </c>
      <c r="H174" s="10" t="n">
        <v>2110101</v>
      </c>
      <c r="I174" s="12" t="s">
        <v>32</v>
      </c>
      <c r="J174" s="10" t="n">
        <v>1343820</v>
      </c>
      <c r="L174" s="10" t="n">
        <v>4347</v>
      </c>
      <c r="M174" s="12" t="s">
        <v>33</v>
      </c>
      <c r="N174" s="12" t="s">
        <v>40</v>
      </c>
      <c r="P174" s="10" t="n">
        <v>167</v>
      </c>
      <c r="Q174" s="12" t="s">
        <v>220</v>
      </c>
      <c r="R174" s="12" t="s">
        <v>36</v>
      </c>
      <c r="S174" s="10" t="n">
        <v>1130101</v>
      </c>
      <c r="T174" s="12" t="s">
        <v>37</v>
      </c>
      <c r="U174" s="13" t="n">
        <v>110</v>
      </c>
      <c r="W174" s="13" t="n">
        <v>110</v>
      </c>
      <c r="X174" s="12" t="s">
        <v>108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3</v>
      </c>
      <c r="B175" s="11" t="n">
        <v>46206</v>
      </c>
      <c r="C175" s="11" t="n">
        <v>46206</v>
      </c>
      <c r="D175" s="10" t="n">
        <v>33</v>
      </c>
      <c r="E175" s="12" t="s">
        <v>297</v>
      </c>
      <c r="F175" s="10" t="n">
        <v>34</v>
      </c>
      <c r="G175" s="12" t="s">
        <v>58</v>
      </c>
      <c r="H175" s="10" t="n">
        <v>1110204</v>
      </c>
      <c r="I175" s="12" t="s">
        <v>177</v>
      </c>
      <c r="J175" s="10" t="n">
        <v>1345333</v>
      </c>
      <c r="L175" s="10" t="n">
        <v>209999</v>
      </c>
      <c r="M175" s="12" t="s">
        <v>33</v>
      </c>
      <c r="N175" s="12" t="s">
        <v>34</v>
      </c>
      <c r="P175" s="10" t="n">
        <v>101</v>
      </c>
      <c r="Q175" s="12" t="s">
        <v>136</v>
      </c>
      <c r="R175" s="12" t="s">
        <v>64</v>
      </c>
      <c r="S175" s="10" t="n">
        <v>4210203</v>
      </c>
      <c r="T175" s="12" t="s">
        <v>298</v>
      </c>
      <c r="U175" s="13" t="n">
        <v>1121.37</v>
      </c>
      <c r="W175" s="13" t="n">
        <v>0</v>
      </c>
      <c r="X175" s="12" t="s">
        <v>299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3</v>
      </c>
      <c r="B176" s="11" t="n">
        <v>46206</v>
      </c>
      <c r="C176" s="11" t="n">
        <v>46206</v>
      </c>
      <c r="D176" s="10" t="n">
        <v>42</v>
      </c>
      <c r="E176" s="12" t="s">
        <v>106</v>
      </c>
      <c r="F176" s="10" t="n">
        <v>13</v>
      </c>
      <c r="G176" s="12" t="s">
        <v>91</v>
      </c>
      <c r="H176" s="10" t="n">
        <v>2110101</v>
      </c>
      <c r="I176" s="12" t="s">
        <v>32</v>
      </c>
      <c r="J176" s="10" t="n">
        <v>1345528</v>
      </c>
      <c r="L176" s="10" t="n">
        <v>4349</v>
      </c>
      <c r="M176" s="12" t="s">
        <v>33</v>
      </c>
      <c r="N176" s="12" t="s">
        <v>40</v>
      </c>
      <c r="P176" s="10" t="n">
        <v>167</v>
      </c>
      <c r="Q176" s="12" t="s">
        <v>220</v>
      </c>
      <c r="R176" s="12" t="s">
        <v>36</v>
      </c>
      <c r="S176" s="10" t="n">
        <v>1130101</v>
      </c>
      <c r="T176" s="12" t="s">
        <v>37</v>
      </c>
      <c r="U176" s="13" t="n">
        <v>240</v>
      </c>
      <c r="W176" s="13" t="n">
        <v>240</v>
      </c>
      <c r="X176" s="12" t="s">
        <v>162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36.75" hidden="false" customHeight="true" outlineLevel="0" collapsed="false">
      <c r="A177" s="10" t="n">
        <v>3</v>
      </c>
      <c r="B177" s="11" t="n">
        <v>46206</v>
      </c>
      <c r="C177" s="11" t="n">
        <v>46206</v>
      </c>
      <c r="D177" s="10" t="n">
        <v>10047</v>
      </c>
      <c r="E177" s="12" t="s">
        <v>140</v>
      </c>
      <c r="F177" s="10" t="n">
        <v>24</v>
      </c>
      <c r="G177" s="12" t="s">
        <v>31</v>
      </c>
      <c r="H177" s="10" t="n">
        <v>2110101</v>
      </c>
      <c r="I177" s="12" t="s">
        <v>32</v>
      </c>
      <c r="J177" s="10" t="n">
        <v>1346280</v>
      </c>
      <c r="L177" s="10" t="n">
        <v>210134</v>
      </c>
      <c r="M177" s="12" t="s">
        <v>33</v>
      </c>
      <c r="N177" s="12" t="s">
        <v>34</v>
      </c>
      <c r="P177" s="10" t="n">
        <v>102</v>
      </c>
      <c r="Q177" s="12" t="s">
        <v>141</v>
      </c>
      <c r="R177" s="12" t="s">
        <v>36</v>
      </c>
      <c r="S177" s="10" t="n">
        <v>1130101</v>
      </c>
      <c r="T177" s="12" t="s">
        <v>37</v>
      </c>
      <c r="U177" s="13" t="n">
        <v>157.31</v>
      </c>
      <c r="W177" s="13" t="n">
        <v>0</v>
      </c>
      <c r="X177" s="12" t="s">
        <v>225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72.75" hidden="false" customHeight="true" outlineLevel="0" collapsed="false">
      <c r="A178" s="10" t="n">
        <v>3</v>
      </c>
      <c r="B178" s="11" t="n">
        <v>46206</v>
      </c>
      <c r="C178" s="11" t="n">
        <v>46206</v>
      </c>
      <c r="D178" s="10" t="n">
        <v>10035</v>
      </c>
      <c r="E178" s="12" t="s">
        <v>300</v>
      </c>
      <c r="F178" s="10" t="n">
        <v>13</v>
      </c>
      <c r="G178" s="12" t="s">
        <v>91</v>
      </c>
      <c r="H178" s="10" t="n">
        <v>2110101</v>
      </c>
      <c r="I178" s="12" t="s">
        <v>32</v>
      </c>
      <c r="J178" s="10" t="n">
        <v>1348284</v>
      </c>
      <c r="L178" s="10" t="n">
        <v>339</v>
      </c>
      <c r="M178" s="12" t="s">
        <v>33</v>
      </c>
      <c r="N178" s="12" t="s">
        <v>40</v>
      </c>
      <c r="P178" s="10" t="n">
        <v>167</v>
      </c>
      <c r="Q178" s="12" t="s">
        <v>220</v>
      </c>
      <c r="R178" s="12" t="s">
        <v>36</v>
      </c>
      <c r="S178" s="10" t="n">
        <v>1130101</v>
      </c>
      <c r="T178" s="12" t="s">
        <v>37</v>
      </c>
      <c r="U178" s="13" t="n">
        <v>704</v>
      </c>
      <c r="W178" s="13" t="n">
        <v>704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72.75" hidden="false" customHeight="true" outlineLevel="0" collapsed="false">
      <c r="A179" s="10" t="n">
        <v>3</v>
      </c>
      <c r="B179" s="11" t="n">
        <v>46206</v>
      </c>
      <c r="C179" s="11" t="n">
        <v>46206</v>
      </c>
      <c r="D179" s="10" t="n">
        <v>515</v>
      </c>
      <c r="E179" s="12" t="s">
        <v>240</v>
      </c>
      <c r="F179" s="10" t="n">
        <v>34</v>
      </c>
      <c r="G179" s="12" t="s">
        <v>58</v>
      </c>
      <c r="H179" s="10" t="n">
        <v>1110202</v>
      </c>
      <c r="I179" s="12" t="s">
        <v>263</v>
      </c>
      <c r="J179" s="10" t="n">
        <v>1362130</v>
      </c>
      <c r="L179" s="10" t="n">
        <v>212678</v>
      </c>
      <c r="M179" s="12" t="s">
        <v>33</v>
      </c>
      <c r="N179" s="12" t="s">
        <v>34</v>
      </c>
      <c r="P179" s="10" t="n">
        <v>102</v>
      </c>
      <c r="Q179" s="12" t="s">
        <v>141</v>
      </c>
      <c r="R179" s="12" t="s">
        <v>165</v>
      </c>
      <c r="S179" s="10" t="n">
        <v>4210504</v>
      </c>
      <c r="T179" s="12" t="s">
        <v>166</v>
      </c>
      <c r="U179" s="13" t="n">
        <v>116.12</v>
      </c>
      <c r="W179" s="13" t="n">
        <v>0</v>
      </c>
      <c r="X179" s="12" t="s">
        <v>302</v>
      </c>
      <c r="Z179" s="1" t="str">
        <f aca="false">IF($T179="","",IFERROR(INDEX('Resumo Grupos'!$AC$3:$AC$200,MATCH($T179,'Resumo Grupos'!$AB$3:$AB$200,0)),"n/d"))</f>
        <v>Despesa</v>
      </c>
      <c r="AA179" s="1" t="str">
        <f aca="false">IF($T179="","",IF(COUNTIF('Resumo Grupos'!$AE$3:$AE$40,$T179)&gt;0,"NAO","SIM"))</f>
        <v>SIM</v>
      </c>
    </row>
    <row r="180" customFormat="false" ht="45.75" hidden="false" customHeight="true" outlineLevel="0" collapsed="false">
      <c r="A180" s="10" t="n">
        <v>3</v>
      </c>
      <c r="B180" s="11" t="n">
        <v>46161</v>
      </c>
      <c r="C180" s="11" t="n">
        <v>46207</v>
      </c>
      <c r="D180" s="10" t="n">
        <v>10037</v>
      </c>
      <c r="E180" s="12" t="s">
        <v>81</v>
      </c>
      <c r="F180" s="10" t="n">
        <v>24</v>
      </c>
      <c r="G180" s="12" t="s">
        <v>31</v>
      </c>
      <c r="H180" s="10" t="n">
        <v>2110101</v>
      </c>
      <c r="I180" s="12" t="s">
        <v>32</v>
      </c>
      <c r="J180" s="10" t="n">
        <v>1128097</v>
      </c>
      <c r="L180" s="10" t="n">
        <v>21044</v>
      </c>
      <c r="M180" s="12" t="s">
        <v>33</v>
      </c>
      <c r="N180" s="12" t="s">
        <v>34</v>
      </c>
      <c r="P180" s="10" t="n">
        <v>128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670.83</v>
      </c>
      <c r="W180" s="13" t="n">
        <v>0</v>
      </c>
      <c r="X180" s="12" t="s">
        <v>303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0" t="n">
        <v>3</v>
      </c>
      <c r="B181" s="11" t="n">
        <v>46161</v>
      </c>
      <c r="C181" s="11" t="n">
        <v>46207</v>
      </c>
      <c r="D181" s="10" t="n">
        <v>1675</v>
      </c>
      <c r="E181" s="12" t="s">
        <v>95</v>
      </c>
      <c r="F181" s="10" t="n">
        <v>24</v>
      </c>
      <c r="G181" s="12" t="s">
        <v>31</v>
      </c>
      <c r="H181" s="10" t="n">
        <v>2110101</v>
      </c>
      <c r="I181" s="12" t="s">
        <v>32</v>
      </c>
      <c r="J181" s="10" t="n">
        <v>1131786</v>
      </c>
      <c r="L181" s="10" t="n">
        <v>4910424</v>
      </c>
      <c r="M181" s="12" t="s">
        <v>33</v>
      </c>
      <c r="N181" s="12" t="s">
        <v>34</v>
      </c>
      <c r="P181" s="10" t="n">
        <v>128</v>
      </c>
      <c r="Q181" s="12" t="s">
        <v>35</v>
      </c>
      <c r="R181" s="12" t="s">
        <v>36</v>
      </c>
      <c r="S181" s="10" t="n">
        <v>1130101</v>
      </c>
      <c r="T181" s="12" t="s">
        <v>37</v>
      </c>
      <c r="U181" s="13" t="n">
        <v>750.73</v>
      </c>
      <c r="W181" s="13" t="n">
        <v>0</v>
      </c>
      <c r="X181" s="12" t="s">
        <v>304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3</v>
      </c>
      <c r="B182" s="11" t="n">
        <v>46163</v>
      </c>
      <c r="C182" s="11" t="n">
        <v>46207</v>
      </c>
      <c r="D182" s="10" t="n">
        <v>10012</v>
      </c>
      <c r="E182" s="12" t="s">
        <v>121</v>
      </c>
      <c r="F182" s="10" t="n">
        <v>24</v>
      </c>
      <c r="G182" s="12" t="s">
        <v>31</v>
      </c>
      <c r="H182" s="10" t="n">
        <v>2110101</v>
      </c>
      <c r="I182" s="12" t="s">
        <v>32</v>
      </c>
      <c r="J182" s="10" t="n">
        <v>1162539</v>
      </c>
      <c r="L182" s="10" t="n">
        <v>19540614</v>
      </c>
      <c r="M182" s="12" t="s">
        <v>33</v>
      </c>
      <c r="N182" s="12" t="s">
        <v>34</v>
      </c>
      <c r="P182" s="10" t="n">
        <v>128</v>
      </c>
      <c r="Q182" s="12" t="s">
        <v>35</v>
      </c>
      <c r="R182" s="12" t="s">
        <v>36</v>
      </c>
      <c r="S182" s="10" t="n">
        <v>1130101</v>
      </c>
      <c r="T182" s="12" t="s">
        <v>37</v>
      </c>
      <c r="U182" s="13" t="n">
        <v>1624.37</v>
      </c>
      <c r="W182" s="13" t="n">
        <v>0</v>
      </c>
      <c r="X182" s="12" t="s">
        <v>122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0" t="n">
        <v>3</v>
      </c>
      <c r="B183" s="11" t="n">
        <v>46170</v>
      </c>
      <c r="C183" s="11" t="n">
        <v>46207</v>
      </c>
      <c r="D183" s="10" t="n">
        <v>1624</v>
      </c>
      <c r="E183" s="12" t="s">
        <v>117</v>
      </c>
      <c r="F183" s="10" t="n">
        <v>24</v>
      </c>
      <c r="G183" s="12" t="s">
        <v>31</v>
      </c>
      <c r="H183" s="10" t="n">
        <v>2110101</v>
      </c>
      <c r="I183" s="12" t="s">
        <v>32</v>
      </c>
      <c r="J183" s="10" t="n">
        <v>1176083</v>
      </c>
      <c r="L183" s="10" t="n">
        <v>6561743</v>
      </c>
      <c r="M183" s="12" t="s">
        <v>33</v>
      </c>
      <c r="N183" s="12" t="s">
        <v>34</v>
      </c>
      <c r="P183" s="10" t="n">
        <v>128</v>
      </c>
      <c r="Q183" s="12" t="s">
        <v>35</v>
      </c>
      <c r="R183" s="12" t="s">
        <v>36</v>
      </c>
      <c r="S183" s="10" t="n">
        <v>1130101</v>
      </c>
      <c r="T183" s="12" t="s">
        <v>37</v>
      </c>
      <c r="U183" s="13" t="n">
        <v>653.4</v>
      </c>
      <c r="W183" s="13" t="n">
        <v>0</v>
      </c>
      <c r="X183" s="12" t="s">
        <v>305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3</v>
      </c>
      <c r="B184" s="11" t="n">
        <v>46176</v>
      </c>
      <c r="C184" s="11" t="n">
        <v>46207</v>
      </c>
      <c r="D184" s="10" t="n">
        <v>1608</v>
      </c>
      <c r="E184" s="12" t="s">
        <v>69</v>
      </c>
      <c r="F184" s="10" t="n">
        <v>24</v>
      </c>
      <c r="G184" s="12" t="s">
        <v>31</v>
      </c>
      <c r="H184" s="10" t="n">
        <v>2110101</v>
      </c>
      <c r="I184" s="12" t="s">
        <v>32</v>
      </c>
      <c r="J184" s="10" t="n">
        <v>1205844</v>
      </c>
      <c r="L184" s="10" t="n">
        <v>16679323</v>
      </c>
      <c r="M184" s="12" t="s">
        <v>33</v>
      </c>
      <c r="N184" s="12" t="s">
        <v>34</v>
      </c>
      <c r="P184" s="10" t="n">
        <v>128</v>
      </c>
      <c r="Q184" s="12" t="s">
        <v>35</v>
      </c>
      <c r="R184" s="12" t="s">
        <v>36</v>
      </c>
      <c r="S184" s="10" t="n">
        <v>1130101</v>
      </c>
      <c r="T184" s="12" t="s">
        <v>37</v>
      </c>
      <c r="U184" s="13" t="n">
        <v>712.11</v>
      </c>
      <c r="W184" s="13" t="n">
        <v>0</v>
      </c>
      <c r="X184" s="12" t="s">
        <v>306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3</v>
      </c>
      <c r="B185" s="11" t="n">
        <v>46176</v>
      </c>
      <c r="C185" s="11" t="n">
        <v>46207</v>
      </c>
      <c r="D185" s="10" t="n">
        <v>1679</v>
      </c>
      <c r="E185" s="12" t="s">
        <v>307</v>
      </c>
      <c r="F185" s="10" t="n">
        <v>24</v>
      </c>
      <c r="G185" s="12" t="s">
        <v>31</v>
      </c>
      <c r="H185" s="10" t="n">
        <v>2110405</v>
      </c>
      <c r="I185" s="12" t="s">
        <v>63</v>
      </c>
      <c r="J185" s="10" t="n">
        <v>1205880</v>
      </c>
      <c r="L185" s="10" t="n">
        <v>49863</v>
      </c>
      <c r="M185" s="12" t="s">
        <v>33</v>
      </c>
      <c r="N185" s="12" t="s">
        <v>34</v>
      </c>
      <c r="P185" s="10" t="n">
        <v>128</v>
      </c>
      <c r="Q185" s="12" t="s">
        <v>35</v>
      </c>
      <c r="R185" s="12" t="s">
        <v>64</v>
      </c>
      <c r="S185" s="10" t="n">
        <v>4210227</v>
      </c>
      <c r="T185" s="12" t="s">
        <v>65</v>
      </c>
      <c r="U185" s="13" t="n">
        <v>333</v>
      </c>
      <c r="W185" s="13" t="n">
        <v>0</v>
      </c>
      <c r="X185" s="12" t="s">
        <v>308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0" t="n">
        <v>3</v>
      </c>
      <c r="B186" s="11" t="n">
        <v>46179</v>
      </c>
      <c r="C186" s="11" t="n">
        <v>46207</v>
      </c>
      <c r="D186" s="10" t="n">
        <v>1815</v>
      </c>
      <c r="E186" s="12" t="s">
        <v>157</v>
      </c>
      <c r="F186" s="10" t="n">
        <v>24</v>
      </c>
      <c r="G186" s="12" t="s">
        <v>31</v>
      </c>
      <c r="H186" s="10" t="n">
        <v>2110101</v>
      </c>
      <c r="I186" s="12" t="s">
        <v>32</v>
      </c>
      <c r="J186" s="10" t="n">
        <v>1223018</v>
      </c>
      <c r="L186" s="10" t="n">
        <v>449099</v>
      </c>
      <c r="M186" s="12" t="s">
        <v>33</v>
      </c>
      <c r="N186" s="12" t="s">
        <v>34</v>
      </c>
      <c r="P186" s="10" t="n">
        <v>128</v>
      </c>
      <c r="Q186" s="12" t="s">
        <v>35</v>
      </c>
      <c r="R186" s="12" t="s">
        <v>36</v>
      </c>
      <c r="S186" s="10" t="n">
        <v>1130101</v>
      </c>
      <c r="T186" s="12" t="s">
        <v>37</v>
      </c>
      <c r="U186" s="13" t="n">
        <v>706.2</v>
      </c>
      <c r="W186" s="13" t="n">
        <v>0</v>
      </c>
      <c r="X186" s="12" t="s">
        <v>309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0" t="n">
        <v>3</v>
      </c>
      <c r="B187" s="11" t="n">
        <v>46183</v>
      </c>
      <c r="C187" s="11" t="n">
        <v>46207</v>
      </c>
      <c r="D187" s="10" t="n">
        <v>794</v>
      </c>
      <c r="E187" s="12" t="s">
        <v>74</v>
      </c>
      <c r="F187" s="10" t="n">
        <v>24</v>
      </c>
      <c r="G187" s="12" t="s">
        <v>31</v>
      </c>
      <c r="H187" s="10" t="n">
        <v>2110101</v>
      </c>
      <c r="I187" s="12" t="s">
        <v>32</v>
      </c>
      <c r="J187" s="10" t="n">
        <v>1230853</v>
      </c>
      <c r="L187" s="10" t="n">
        <v>80582</v>
      </c>
      <c r="M187" s="12" t="s">
        <v>33</v>
      </c>
      <c r="N187" s="12" t="s">
        <v>34</v>
      </c>
      <c r="P187" s="10" t="n">
        <v>128</v>
      </c>
      <c r="Q187" s="12" t="s">
        <v>35</v>
      </c>
      <c r="R187" s="12" t="s">
        <v>36</v>
      </c>
      <c r="S187" s="10" t="n">
        <v>1130101</v>
      </c>
      <c r="T187" s="12" t="s">
        <v>37</v>
      </c>
      <c r="U187" s="13" t="n">
        <v>496.03</v>
      </c>
      <c r="W187" s="13" t="n">
        <v>0</v>
      </c>
      <c r="X187" s="12" t="s">
        <v>310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0" t="n">
        <v>3</v>
      </c>
      <c r="B188" s="11" t="n">
        <v>46184</v>
      </c>
      <c r="C188" s="11" t="n">
        <v>46207</v>
      </c>
      <c r="D188" s="10" t="n">
        <v>1706</v>
      </c>
      <c r="E188" s="12" t="s">
        <v>190</v>
      </c>
      <c r="F188" s="10" t="n">
        <v>24</v>
      </c>
      <c r="G188" s="12" t="s">
        <v>31</v>
      </c>
      <c r="H188" s="10" t="n">
        <v>2110101</v>
      </c>
      <c r="I188" s="12" t="s">
        <v>32</v>
      </c>
      <c r="J188" s="10" t="n">
        <v>1235271</v>
      </c>
      <c r="L188" s="10" t="n">
        <v>202492</v>
      </c>
      <c r="M188" s="12" t="s">
        <v>33</v>
      </c>
      <c r="N188" s="12" t="s">
        <v>40</v>
      </c>
      <c r="P188" s="10" t="n">
        <v>128</v>
      </c>
      <c r="Q188" s="12" t="s">
        <v>35</v>
      </c>
      <c r="R188" s="12" t="s">
        <v>36</v>
      </c>
      <c r="S188" s="10" t="n">
        <v>1130101</v>
      </c>
      <c r="T188" s="12" t="s">
        <v>37</v>
      </c>
      <c r="U188" s="13" t="n">
        <v>742.5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72.75" hidden="false" customHeight="true" outlineLevel="0" collapsed="false">
      <c r="A189" s="10" t="n">
        <v>3</v>
      </c>
      <c r="B189" s="11" t="n">
        <v>46183</v>
      </c>
      <c r="C189" s="11" t="n">
        <v>46207</v>
      </c>
      <c r="D189" s="10" t="n">
        <v>1605</v>
      </c>
      <c r="E189" s="12" t="s">
        <v>114</v>
      </c>
      <c r="F189" s="10" t="n">
        <v>24</v>
      </c>
      <c r="G189" s="12" t="s">
        <v>31</v>
      </c>
      <c r="H189" s="10" t="n">
        <v>2110101</v>
      </c>
      <c r="I189" s="12" t="s">
        <v>32</v>
      </c>
      <c r="J189" s="10" t="n">
        <v>1235330</v>
      </c>
      <c r="L189" s="10" t="n">
        <v>2139122</v>
      </c>
      <c r="M189" s="12" t="s">
        <v>33</v>
      </c>
      <c r="N189" s="12" t="s">
        <v>34</v>
      </c>
      <c r="P189" s="10" t="n">
        <v>128</v>
      </c>
      <c r="Q189" s="12" t="s">
        <v>35</v>
      </c>
      <c r="R189" s="12" t="s">
        <v>36</v>
      </c>
      <c r="S189" s="10" t="n">
        <v>1130101</v>
      </c>
      <c r="T189" s="12" t="s">
        <v>37</v>
      </c>
      <c r="U189" s="13" t="n">
        <v>572.7</v>
      </c>
      <c r="W189" s="13" t="n">
        <v>0</v>
      </c>
      <c r="X189" s="12" t="s">
        <v>312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72.75" hidden="false" customHeight="true" outlineLevel="0" collapsed="false">
      <c r="A190" s="10" t="n">
        <v>3</v>
      </c>
      <c r="B190" s="11" t="n">
        <v>46184</v>
      </c>
      <c r="C190" s="11" t="n">
        <v>46207</v>
      </c>
      <c r="D190" s="10" t="n">
        <v>1601</v>
      </c>
      <c r="E190" s="12" t="s">
        <v>50</v>
      </c>
      <c r="F190" s="10" t="n">
        <v>24</v>
      </c>
      <c r="G190" s="12" t="s">
        <v>31</v>
      </c>
      <c r="H190" s="10" t="n">
        <v>2110101</v>
      </c>
      <c r="I190" s="12" t="s">
        <v>32</v>
      </c>
      <c r="J190" s="10" t="n">
        <v>1235961</v>
      </c>
      <c r="L190" s="10" t="n">
        <v>843061</v>
      </c>
      <c r="M190" s="12" t="s">
        <v>33</v>
      </c>
      <c r="N190" s="12" t="s">
        <v>40</v>
      </c>
      <c r="P190" s="10" t="n">
        <v>128</v>
      </c>
      <c r="Q190" s="12" t="s">
        <v>35</v>
      </c>
      <c r="R190" s="12" t="s">
        <v>36</v>
      </c>
      <c r="S190" s="10" t="n">
        <v>1130101</v>
      </c>
      <c r="T190" s="12" t="s">
        <v>37</v>
      </c>
      <c r="U190" s="13" t="n">
        <v>417</v>
      </c>
      <c r="W190" s="13" t="n">
        <v>0</v>
      </c>
      <c r="X190" s="12" t="s">
        <v>313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54.75" hidden="false" customHeight="true" outlineLevel="0" collapsed="false">
      <c r="A191" s="10" t="n">
        <v>3</v>
      </c>
      <c r="B191" s="11" t="n">
        <v>46183</v>
      </c>
      <c r="C191" s="11" t="n">
        <v>46207</v>
      </c>
      <c r="D191" s="10" t="n">
        <v>1601</v>
      </c>
      <c r="E191" s="12" t="s">
        <v>50</v>
      </c>
      <c r="F191" s="10" t="n">
        <v>24</v>
      </c>
      <c r="G191" s="12" t="s">
        <v>31</v>
      </c>
      <c r="H191" s="10" t="n">
        <v>2110101</v>
      </c>
      <c r="I191" s="12" t="s">
        <v>32</v>
      </c>
      <c r="J191" s="10" t="n">
        <v>1235987</v>
      </c>
      <c r="L191" s="10" t="n">
        <v>9383742</v>
      </c>
      <c r="M191" s="12" t="s">
        <v>33</v>
      </c>
      <c r="N191" s="12" t="s">
        <v>34</v>
      </c>
      <c r="P191" s="10" t="n">
        <v>128</v>
      </c>
      <c r="Q191" s="12" t="s">
        <v>35</v>
      </c>
      <c r="R191" s="12" t="s">
        <v>36</v>
      </c>
      <c r="S191" s="10" t="n">
        <v>1130101</v>
      </c>
      <c r="T191" s="12" t="s">
        <v>37</v>
      </c>
      <c r="U191" s="13" t="n">
        <v>504.27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54.75" hidden="false" customHeight="true" outlineLevel="0" collapsed="false">
      <c r="A192" s="10" t="n">
        <v>3</v>
      </c>
      <c r="B192" s="11" t="n">
        <v>46184</v>
      </c>
      <c r="C192" s="11" t="n">
        <v>46207</v>
      </c>
      <c r="D192" s="10" t="n">
        <v>1749</v>
      </c>
      <c r="E192" s="12" t="s">
        <v>110</v>
      </c>
      <c r="F192" s="10" t="n">
        <v>24</v>
      </c>
      <c r="G192" s="12" t="s">
        <v>31</v>
      </c>
      <c r="H192" s="10" t="n">
        <v>2110101</v>
      </c>
      <c r="I192" s="12" t="s">
        <v>32</v>
      </c>
      <c r="J192" s="10" t="n">
        <v>1241402</v>
      </c>
      <c r="L192" s="10" t="n">
        <v>19603</v>
      </c>
      <c r="M192" s="12" t="s">
        <v>33</v>
      </c>
      <c r="N192" s="12" t="s">
        <v>34</v>
      </c>
      <c r="P192" s="10" t="n">
        <v>128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926.18</v>
      </c>
      <c r="W192" s="13" t="n">
        <v>0</v>
      </c>
      <c r="X192" s="12" t="s">
        <v>315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54.75" hidden="false" customHeight="true" outlineLevel="0" collapsed="false">
      <c r="A193" s="10" t="n">
        <v>3</v>
      </c>
      <c r="B193" s="11" t="n">
        <v>46184</v>
      </c>
      <c r="C193" s="11" t="n">
        <v>46207</v>
      </c>
      <c r="D193" s="10" t="n">
        <v>1804</v>
      </c>
      <c r="E193" s="12" t="s">
        <v>46</v>
      </c>
      <c r="F193" s="10" t="n">
        <v>24</v>
      </c>
      <c r="G193" s="12" t="s">
        <v>31</v>
      </c>
      <c r="H193" s="10" t="n">
        <v>2110101</v>
      </c>
      <c r="I193" s="12" t="s">
        <v>32</v>
      </c>
      <c r="J193" s="10" t="n">
        <v>1244062</v>
      </c>
      <c r="L193" s="10" t="n">
        <v>326852</v>
      </c>
      <c r="M193" s="12" t="s">
        <v>33</v>
      </c>
      <c r="N193" s="12" t="s">
        <v>34</v>
      </c>
      <c r="P193" s="10" t="n">
        <v>128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467.19</v>
      </c>
      <c r="W193" s="13" t="n">
        <v>0</v>
      </c>
      <c r="X193" s="12" t="s">
        <v>316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3</v>
      </c>
      <c r="B194" s="11" t="n">
        <v>46176</v>
      </c>
      <c r="C194" s="11" t="n">
        <v>46207</v>
      </c>
      <c r="D194" s="10" t="n">
        <v>1816</v>
      </c>
      <c r="E194" s="12" t="s">
        <v>83</v>
      </c>
      <c r="F194" s="10" t="n">
        <v>24</v>
      </c>
      <c r="G194" s="12" t="s">
        <v>31</v>
      </c>
      <c r="H194" s="10" t="n">
        <v>2110101</v>
      </c>
      <c r="I194" s="12" t="s">
        <v>32</v>
      </c>
      <c r="J194" s="10" t="n">
        <v>1260190</v>
      </c>
      <c r="L194" s="10" t="n">
        <v>545753</v>
      </c>
      <c r="M194" s="12" t="s">
        <v>33</v>
      </c>
      <c r="N194" s="12" t="s">
        <v>34</v>
      </c>
      <c r="P194" s="10" t="n">
        <v>128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1094.25</v>
      </c>
      <c r="W194" s="13" t="n">
        <v>0</v>
      </c>
      <c r="X194" s="12" t="s">
        <v>317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45.75" hidden="false" customHeight="true" outlineLevel="0" collapsed="false">
      <c r="A195" s="10" t="n">
        <v>3</v>
      </c>
      <c r="B195" s="11" t="n">
        <v>46190</v>
      </c>
      <c r="C195" s="11" t="n">
        <v>46207</v>
      </c>
      <c r="D195" s="10" t="n">
        <v>1921</v>
      </c>
      <c r="E195" s="12" t="s">
        <v>318</v>
      </c>
      <c r="F195" s="10" t="n">
        <v>24</v>
      </c>
      <c r="G195" s="12" t="s">
        <v>31</v>
      </c>
      <c r="H195" s="10" t="n">
        <v>2110101</v>
      </c>
      <c r="I195" s="12" t="s">
        <v>32</v>
      </c>
      <c r="J195" s="10" t="n">
        <v>1265377</v>
      </c>
      <c r="L195" s="10" t="n">
        <v>130521</v>
      </c>
      <c r="M195" s="12" t="s">
        <v>33</v>
      </c>
      <c r="N195" s="12" t="s">
        <v>34</v>
      </c>
      <c r="P195" s="10" t="n">
        <v>128</v>
      </c>
      <c r="Q195" s="12" t="s">
        <v>35</v>
      </c>
      <c r="R195" s="12" t="s">
        <v>36</v>
      </c>
      <c r="S195" s="10" t="n">
        <v>1130101</v>
      </c>
      <c r="T195" s="12" t="s">
        <v>37</v>
      </c>
      <c r="U195" s="13" t="n">
        <v>442.01</v>
      </c>
      <c r="W195" s="13" t="n">
        <v>0</v>
      </c>
      <c r="X195" s="12" t="s">
        <v>319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45.75" hidden="false" customHeight="true" outlineLevel="0" collapsed="false">
      <c r="A196" s="10" t="n">
        <v>3</v>
      </c>
      <c r="B196" s="11" t="n">
        <v>46189</v>
      </c>
      <c r="C196" s="11" t="n">
        <v>46207</v>
      </c>
      <c r="D196" s="10" t="n">
        <v>1667</v>
      </c>
      <c r="E196" s="12" t="s">
        <v>286</v>
      </c>
      <c r="F196" s="10" t="n">
        <v>24</v>
      </c>
      <c r="G196" s="12" t="s">
        <v>31</v>
      </c>
      <c r="H196" s="10" t="n">
        <v>2110101</v>
      </c>
      <c r="I196" s="12" t="s">
        <v>32</v>
      </c>
      <c r="J196" s="10" t="n">
        <v>1265431</v>
      </c>
      <c r="L196" s="10" t="n">
        <v>3950871</v>
      </c>
      <c r="M196" s="12" t="s">
        <v>33</v>
      </c>
      <c r="N196" s="12" t="s">
        <v>34</v>
      </c>
      <c r="P196" s="10" t="n">
        <v>128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412.48</v>
      </c>
      <c r="W196" s="13" t="n">
        <v>0</v>
      </c>
      <c r="X196" s="12" t="s">
        <v>320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3</v>
      </c>
      <c r="B197" s="11" t="n">
        <v>46189</v>
      </c>
      <c r="C197" s="11" t="n">
        <v>46207</v>
      </c>
      <c r="D197" s="10" t="n">
        <v>1636</v>
      </c>
      <c r="E197" s="12" t="s">
        <v>195</v>
      </c>
      <c r="F197" s="10" t="n">
        <v>24</v>
      </c>
      <c r="G197" s="12" t="s">
        <v>31</v>
      </c>
      <c r="H197" s="10" t="n">
        <v>2110101</v>
      </c>
      <c r="I197" s="12" t="s">
        <v>32</v>
      </c>
      <c r="J197" s="10" t="n">
        <v>1265912</v>
      </c>
      <c r="L197" s="10" t="n">
        <v>32042671</v>
      </c>
      <c r="M197" s="12" t="s">
        <v>33</v>
      </c>
      <c r="N197" s="12" t="s">
        <v>34</v>
      </c>
      <c r="P197" s="10" t="n">
        <v>128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357</v>
      </c>
      <c r="W197" s="13" t="n">
        <v>0</v>
      </c>
      <c r="X197" s="12" t="s">
        <v>321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27.75" hidden="false" customHeight="true" outlineLevel="0" collapsed="false">
      <c r="A198" s="10" t="n">
        <v>3</v>
      </c>
      <c r="B198" s="11" t="n">
        <v>46189</v>
      </c>
      <c r="C198" s="11" t="n">
        <v>46207</v>
      </c>
      <c r="D198" s="10" t="n">
        <v>1636</v>
      </c>
      <c r="E198" s="12" t="s">
        <v>195</v>
      </c>
      <c r="F198" s="10" t="n">
        <v>24</v>
      </c>
      <c r="G198" s="12" t="s">
        <v>31</v>
      </c>
      <c r="H198" s="10" t="n">
        <v>2110101</v>
      </c>
      <c r="I198" s="12" t="s">
        <v>32</v>
      </c>
      <c r="J198" s="10" t="n">
        <v>1265944</v>
      </c>
      <c r="L198" s="10" t="n">
        <v>32042681</v>
      </c>
      <c r="M198" s="12" t="s">
        <v>33</v>
      </c>
      <c r="N198" s="12" t="s">
        <v>34</v>
      </c>
      <c r="P198" s="10" t="n">
        <v>128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1017.59</v>
      </c>
      <c r="W198" s="13" t="n">
        <v>0</v>
      </c>
      <c r="X198" s="12" t="s">
        <v>322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54.75" hidden="false" customHeight="true" outlineLevel="0" collapsed="false">
      <c r="A199" s="10" t="n">
        <v>3</v>
      </c>
      <c r="B199" s="11" t="n">
        <v>46189</v>
      </c>
      <c r="C199" s="11" t="n">
        <v>46207</v>
      </c>
      <c r="D199" s="10" t="n">
        <v>1636</v>
      </c>
      <c r="E199" s="12" t="s">
        <v>195</v>
      </c>
      <c r="F199" s="10" t="n">
        <v>24</v>
      </c>
      <c r="G199" s="12" t="s">
        <v>31</v>
      </c>
      <c r="H199" s="10" t="n">
        <v>2110101</v>
      </c>
      <c r="I199" s="12" t="s">
        <v>32</v>
      </c>
      <c r="J199" s="10" t="n">
        <v>1266061</v>
      </c>
      <c r="L199" s="10" t="n">
        <v>32042631</v>
      </c>
      <c r="M199" s="12" t="s">
        <v>33</v>
      </c>
      <c r="N199" s="12" t="s">
        <v>34</v>
      </c>
      <c r="P199" s="10" t="n">
        <v>128</v>
      </c>
      <c r="Q199" s="12" t="s">
        <v>35</v>
      </c>
      <c r="R199" s="12" t="s">
        <v>36</v>
      </c>
      <c r="S199" s="10" t="n">
        <v>1130101</v>
      </c>
      <c r="T199" s="12" t="s">
        <v>37</v>
      </c>
      <c r="U199" s="13" t="n">
        <v>1096.02</v>
      </c>
      <c r="W199" s="13" t="n">
        <v>0</v>
      </c>
      <c r="X199" s="12" t="s">
        <v>323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54.75" hidden="false" customHeight="true" outlineLevel="0" collapsed="false">
      <c r="A200" s="10" t="n">
        <v>3</v>
      </c>
      <c r="B200" s="11" t="n">
        <v>46189</v>
      </c>
      <c r="C200" s="11" t="n">
        <v>46207</v>
      </c>
      <c r="D200" s="10" t="n">
        <v>1636</v>
      </c>
      <c r="E200" s="12" t="s">
        <v>195</v>
      </c>
      <c r="F200" s="10" t="n">
        <v>24</v>
      </c>
      <c r="G200" s="12" t="s">
        <v>31</v>
      </c>
      <c r="H200" s="10" t="n">
        <v>2110101</v>
      </c>
      <c r="I200" s="12" t="s">
        <v>32</v>
      </c>
      <c r="J200" s="10" t="n">
        <v>1266096</v>
      </c>
      <c r="L200" s="10" t="n">
        <v>32042641</v>
      </c>
      <c r="M200" s="12" t="s">
        <v>33</v>
      </c>
      <c r="N200" s="12" t="s">
        <v>34</v>
      </c>
      <c r="P200" s="10" t="n">
        <v>128</v>
      </c>
      <c r="Q200" s="12" t="s">
        <v>35</v>
      </c>
      <c r="R200" s="12" t="s">
        <v>36</v>
      </c>
      <c r="S200" s="10" t="n">
        <v>1130101</v>
      </c>
      <c r="T200" s="12" t="s">
        <v>37</v>
      </c>
      <c r="U200" s="13" t="n">
        <v>804.51</v>
      </c>
      <c r="W200" s="13" t="n">
        <v>0</v>
      </c>
      <c r="X200" s="12" t="s">
        <v>324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54.75" hidden="false" customHeight="true" outlineLevel="0" collapsed="false">
      <c r="A201" s="10" t="n">
        <v>3</v>
      </c>
      <c r="B201" s="11" t="n">
        <v>46189</v>
      </c>
      <c r="C201" s="11" t="n">
        <v>46207</v>
      </c>
      <c r="D201" s="10" t="n">
        <v>1636</v>
      </c>
      <c r="E201" s="12" t="s">
        <v>195</v>
      </c>
      <c r="F201" s="10" t="n">
        <v>24</v>
      </c>
      <c r="G201" s="12" t="s">
        <v>31</v>
      </c>
      <c r="H201" s="10" t="n">
        <v>2110101</v>
      </c>
      <c r="I201" s="12" t="s">
        <v>32</v>
      </c>
      <c r="J201" s="10" t="n">
        <v>1266131</v>
      </c>
      <c r="L201" s="10" t="n">
        <v>32042691</v>
      </c>
      <c r="M201" s="12" t="s">
        <v>33</v>
      </c>
      <c r="N201" s="12" t="s">
        <v>34</v>
      </c>
      <c r="P201" s="10" t="n">
        <v>128</v>
      </c>
      <c r="Q201" s="12" t="s">
        <v>35</v>
      </c>
      <c r="R201" s="12" t="s">
        <v>36</v>
      </c>
      <c r="S201" s="10" t="n">
        <v>1130101</v>
      </c>
      <c r="T201" s="12" t="s">
        <v>37</v>
      </c>
      <c r="U201" s="13" t="n">
        <v>1136.33</v>
      </c>
      <c r="W201" s="13" t="n">
        <v>0</v>
      </c>
      <c r="X201" s="12" t="s">
        <v>325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3</v>
      </c>
      <c r="B202" s="11" t="n">
        <v>46190</v>
      </c>
      <c r="C202" s="11" t="n">
        <v>46207</v>
      </c>
      <c r="D202" s="10" t="n">
        <v>1740</v>
      </c>
      <c r="E202" s="12" t="s">
        <v>273</v>
      </c>
      <c r="F202" s="10" t="n">
        <v>24</v>
      </c>
      <c r="G202" s="12" t="s">
        <v>31</v>
      </c>
      <c r="H202" s="10" t="n">
        <v>2110101</v>
      </c>
      <c r="I202" s="12" t="s">
        <v>32</v>
      </c>
      <c r="J202" s="10" t="n">
        <v>1266185</v>
      </c>
      <c r="L202" s="10" t="n">
        <v>12382021</v>
      </c>
      <c r="M202" s="12" t="s">
        <v>33</v>
      </c>
      <c r="N202" s="12" t="s">
        <v>34</v>
      </c>
      <c r="P202" s="10" t="n">
        <v>128</v>
      </c>
      <c r="Q202" s="12" t="s">
        <v>35</v>
      </c>
      <c r="R202" s="12" t="s">
        <v>36</v>
      </c>
      <c r="S202" s="10" t="n">
        <v>1130101</v>
      </c>
      <c r="T202" s="12" t="s">
        <v>37</v>
      </c>
      <c r="U202" s="13" t="n">
        <v>930.35</v>
      </c>
      <c r="W202" s="13" t="n">
        <v>0</v>
      </c>
      <c r="X202" s="12" t="s">
        <v>326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63.75" hidden="false" customHeight="true" outlineLevel="0" collapsed="false">
      <c r="A203" s="10" t="n">
        <v>3</v>
      </c>
      <c r="B203" s="11" t="n">
        <v>46189</v>
      </c>
      <c r="C203" s="11" t="n">
        <v>46207</v>
      </c>
      <c r="D203" s="10" t="n">
        <v>1699</v>
      </c>
      <c r="E203" s="12" t="s">
        <v>87</v>
      </c>
      <c r="F203" s="10" t="n">
        <v>24</v>
      </c>
      <c r="G203" s="12" t="s">
        <v>31</v>
      </c>
      <c r="H203" s="10" t="n">
        <v>2110101</v>
      </c>
      <c r="I203" s="12" t="s">
        <v>32</v>
      </c>
      <c r="J203" s="10" t="n">
        <v>1266323</v>
      </c>
      <c r="L203" s="10" t="n">
        <v>3047921</v>
      </c>
      <c r="M203" s="12" t="s">
        <v>33</v>
      </c>
      <c r="N203" s="12" t="s">
        <v>34</v>
      </c>
      <c r="P203" s="10" t="n">
        <v>128</v>
      </c>
      <c r="Q203" s="12" t="s">
        <v>35</v>
      </c>
      <c r="R203" s="12" t="s">
        <v>36</v>
      </c>
      <c r="S203" s="10" t="n">
        <v>1130101</v>
      </c>
      <c r="T203" s="12" t="s">
        <v>37</v>
      </c>
      <c r="U203" s="13" t="n">
        <v>391.4</v>
      </c>
      <c r="W203" s="13" t="n">
        <v>0</v>
      </c>
      <c r="X203" s="12" t="s">
        <v>327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63.75" hidden="false" customHeight="true" outlineLevel="0" collapsed="false">
      <c r="A204" s="10" t="n">
        <v>3</v>
      </c>
      <c r="B204" s="11" t="n">
        <v>46191</v>
      </c>
      <c r="C204" s="11" t="n">
        <v>46207</v>
      </c>
      <c r="D204" s="10" t="n">
        <v>1266</v>
      </c>
      <c r="E204" s="12" t="s">
        <v>328</v>
      </c>
      <c r="F204" s="10" t="n">
        <v>24</v>
      </c>
      <c r="G204" s="12" t="s">
        <v>31</v>
      </c>
      <c r="H204" s="10" t="n">
        <v>2110101</v>
      </c>
      <c r="I204" s="12" t="s">
        <v>32</v>
      </c>
      <c r="J204" s="10" t="n">
        <v>1269283</v>
      </c>
      <c r="L204" s="10" t="n">
        <v>29851</v>
      </c>
      <c r="M204" s="12" t="s">
        <v>33</v>
      </c>
      <c r="N204" s="12" t="s">
        <v>34</v>
      </c>
      <c r="P204" s="10" t="n">
        <v>128</v>
      </c>
      <c r="Q204" s="12" t="s">
        <v>35</v>
      </c>
      <c r="R204" s="12" t="s">
        <v>64</v>
      </c>
      <c r="S204" s="10" t="n">
        <v>4210227</v>
      </c>
      <c r="T204" s="12" t="s">
        <v>65</v>
      </c>
      <c r="U204" s="13" t="n">
        <v>506.02</v>
      </c>
      <c r="W204" s="13" t="n">
        <v>0</v>
      </c>
      <c r="X204" s="12" t="s">
        <v>329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</row>
    <row r="205" customFormat="false" ht="63.75" hidden="false" customHeight="true" outlineLevel="0" collapsed="false">
      <c r="A205" s="10" t="n">
        <v>3</v>
      </c>
      <c r="B205" s="11" t="n">
        <v>46191</v>
      </c>
      <c r="C205" s="11" t="n">
        <v>46207</v>
      </c>
      <c r="D205" s="10" t="n">
        <v>1656</v>
      </c>
      <c r="E205" s="12" t="s">
        <v>330</v>
      </c>
      <c r="F205" s="10" t="n">
        <v>24</v>
      </c>
      <c r="G205" s="12" t="s">
        <v>31</v>
      </c>
      <c r="H205" s="10" t="n">
        <v>2110101</v>
      </c>
      <c r="I205" s="12" t="s">
        <v>32</v>
      </c>
      <c r="J205" s="10" t="n">
        <v>1272602</v>
      </c>
      <c r="L205" s="10" t="n">
        <v>2222631</v>
      </c>
      <c r="M205" s="12" t="s">
        <v>33</v>
      </c>
      <c r="N205" s="12" t="s">
        <v>34</v>
      </c>
      <c r="P205" s="10" t="n">
        <v>128</v>
      </c>
      <c r="Q205" s="12" t="s">
        <v>35</v>
      </c>
      <c r="R205" s="12" t="s">
        <v>36</v>
      </c>
      <c r="S205" s="10" t="n">
        <v>1130101</v>
      </c>
      <c r="T205" s="12" t="s">
        <v>37</v>
      </c>
      <c r="U205" s="13" t="n">
        <v>782.57</v>
      </c>
      <c r="W205" s="13" t="n">
        <v>0</v>
      </c>
      <c r="X205" s="12" t="s">
        <v>331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3</v>
      </c>
      <c r="B206" s="11" t="n">
        <v>46190</v>
      </c>
      <c r="C206" s="11" t="n">
        <v>46207</v>
      </c>
      <c r="D206" s="10" t="n">
        <v>1611</v>
      </c>
      <c r="E206" s="12" t="s">
        <v>199</v>
      </c>
      <c r="F206" s="10" t="n">
        <v>24</v>
      </c>
      <c r="G206" s="12" t="s">
        <v>31</v>
      </c>
      <c r="H206" s="10" t="n">
        <v>2110101</v>
      </c>
      <c r="I206" s="12" t="s">
        <v>32</v>
      </c>
      <c r="J206" s="10" t="n">
        <v>1272623</v>
      </c>
      <c r="L206" s="10" t="n">
        <v>17732561</v>
      </c>
      <c r="M206" s="12" t="s">
        <v>33</v>
      </c>
      <c r="N206" s="12" t="s">
        <v>34</v>
      </c>
      <c r="P206" s="10" t="n">
        <v>128</v>
      </c>
      <c r="Q206" s="12" t="s">
        <v>35</v>
      </c>
      <c r="R206" s="12" t="s">
        <v>36</v>
      </c>
      <c r="S206" s="10" t="n">
        <v>1130101</v>
      </c>
      <c r="T206" s="12" t="s">
        <v>37</v>
      </c>
      <c r="U206" s="13" t="n">
        <v>393.5</v>
      </c>
      <c r="W206" s="13" t="n">
        <v>0</v>
      </c>
      <c r="X206" s="12" t="s">
        <v>332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63.75" hidden="false" customHeight="true" outlineLevel="0" collapsed="false">
      <c r="A207" s="10" t="n">
        <v>3</v>
      </c>
      <c r="B207" s="11" t="n">
        <v>46191</v>
      </c>
      <c r="C207" s="11" t="n">
        <v>46207</v>
      </c>
      <c r="D207" s="10" t="n">
        <v>1657</v>
      </c>
      <c r="E207" s="12" t="s">
        <v>333</v>
      </c>
      <c r="F207" s="10" t="n">
        <v>24</v>
      </c>
      <c r="G207" s="12" t="s">
        <v>31</v>
      </c>
      <c r="H207" s="10" t="n">
        <v>2110101</v>
      </c>
      <c r="I207" s="12" t="s">
        <v>32</v>
      </c>
      <c r="J207" s="10" t="n">
        <v>1279227</v>
      </c>
      <c r="L207" s="10" t="n">
        <v>3747571</v>
      </c>
      <c r="M207" s="12" t="s">
        <v>33</v>
      </c>
      <c r="N207" s="12" t="s">
        <v>34</v>
      </c>
      <c r="P207" s="10" t="n">
        <v>128</v>
      </c>
      <c r="Q207" s="12" t="s">
        <v>35</v>
      </c>
      <c r="R207" s="12" t="s">
        <v>36</v>
      </c>
      <c r="S207" s="10" t="n">
        <v>1130101</v>
      </c>
      <c r="T207" s="12" t="s">
        <v>37</v>
      </c>
      <c r="U207" s="13" t="n">
        <v>977.07</v>
      </c>
      <c r="W207" s="13" t="n">
        <v>0</v>
      </c>
      <c r="X207" s="12" t="s">
        <v>334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63.75" hidden="false" customHeight="true" outlineLevel="0" collapsed="false">
      <c r="A208" s="10" t="n">
        <v>3</v>
      </c>
      <c r="B208" s="11" t="n">
        <v>46195</v>
      </c>
      <c r="C208" s="11" t="n">
        <v>46207</v>
      </c>
      <c r="D208" s="10" t="n">
        <v>10009</v>
      </c>
      <c r="E208" s="12" t="s">
        <v>99</v>
      </c>
      <c r="F208" s="10" t="n">
        <v>24</v>
      </c>
      <c r="G208" s="12" t="s">
        <v>31</v>
      </c>
      <c r="H208" s="10" t="n">
        <v>2110101</v>
      </c>
      <c r="I208" s="12" t="s">
        <v>32</v>
      </c>
      <c r="J208" s="10" t="n">
        <v>1289332</v>
      </c>
      <c r="L208" s="10" t="n">
        <v>1418632</v>
      </c>
      <c r="M208" s="12" t="s">
        <v>33</v>
      </c>
      <c r="N208" s="12" t="s">
        <v>40</v>
      </c>
      <c r="P208" s="10" t="n">
        <v>128</v>
      </c>
      <c r="Q208" s="12" t="s">
        <v>35</v>
      </c>
      <c r="R208" s="12" t="s">
        <v>36</v>
      </c>
      <c r="S208" s="10" t="n">
        <v>1130101</v>
      </c>
      <c r="T208" s="12" t="s">
        <v>37</v>
      </c>
      <c r="U208" s="13" t="n">
        <v>732.36</v>
      </c>
      <c r="W208" s="13" t="n">
        <v>0</v>
      </c>
      <c r="X208" s="12" t="s">
        <v>335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63.75" hidden="false" customHeight="true" outlineLevel="0" collapsed="false">
      <c r="A209" s="10" t="n">
        <v>3</v>
      </c>
      <c r="B209" s="11" t="n">
        <v>46195</v>
      </c>
      <c r="C209" s="11" t="n">
        <v>46207</v>
      </c>
      <c r="D209" s="10" t="n">
        <v>1792</v>
      </c>
      <c r="E209" s="12" t="s">
        <v>336</v>
      </c>
      <c r="F209" s="10" t="n">
        <v>24</v>
      </c>
      <c r="G209" s="12" t="s">
        <v>31</v>
      </c>
      <c r="H209" s="10" t="n">
        <v>2110405</v>
      </c>
      <c r="I209" s="12" t="s">
        <v>63</v>
      </c>
      <c r="J209" s="10" t="n">
        <v>1290195</v>
      </c>
      <c r="L209" s="10" t="n">
        <v>201754</v>
      </c>
      <c r="M209" s="12" t="s">
        <v>33</v>
      </c>
      <c r="N209" s="12" t="s">
        <v>34</v>
      </c>
      <c r="P209" s="10" t="n">
        <v>101</v>
      </c>
      <c r="Q209" s="12" t="s">
        <v>136</v>
      </c>
      <c r="R209" s="12" t="s">
        <v>337</v>
      </c>
      <c r="S209" s="10" t="n">
        <v>1240203</v>
      </c>
      <c r="T209" s="12" t="s">
        <v>338</v>
      </c>
      <c r="U209" s="13" t="n">
        <v>404.78</v>
      </c>
      <c r="W209" s="13" t="n">
        <v>0</v>
      </c>
      <c r="X209" s="12" t="s">
        <v>339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</row>
    <row r="210" customFormat="false" ht="63.75" hidden="false" customHeight="true" outlineLevel="0" collapsed="false">
      <c r="A210" s="10" t="n">
        <v>3</v>
      </c>
      <c r="B210" s="11" t="n">
        <v>46196</v>
      </c>
      <c r="C210" s="11" t="n">
        <v>46207</v>
      </c>
      <c r="D210" s="10" t="n">
        <v>1457</v>
      </c>
      <c r="E210" s="12" t="s">
        <v>39</v>
      </c>
      <c r="F210" s="10" t="n">
        <v>24</v>
      </c>
      <c r="G210" s="12" t="s">
        <v>31</v>
      </c>
      <c r="H210" s="10" t="n">
        <v>2110101</v>
      </c>
      <c r="I210" s="12" t="s">
        <v>32</v>
      </c>
      <c r="J210" s="10" t="n">
        <v>1300032</v>
      </c>
      <c r="L210" s="10" t="n">
        <v>12262</v>
      </c>
      <c r="M210" s="12" t="s">
        <v>33</v>
      </c>
      <c r="N210" s="12" t="s">
        <v>34</v>
      </c>
      <c r="P210" s="10" t="n">
        <v>128</v>
      </c>
      <c r="Q210" s="12" t="s">
        <v>35</v>
      </c>
      <c r="R210" s="12" t="s">
        <v>36</v>
      </c>
      <c r="S210" s="10" t="n">
        <v>1130101</v>
      </c>
      <c r="T210" s="12" t="s">
        <v>37</v>
      </c>
      <c r="U210" s="13" t="n">
        <v>351.36</v>
      </c>
      <c r="W210" s="13" t="n">
        <v>0</v>
      </c>
      <c r="X210" s="12" t="s">
        <v>340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0" t="n">
        <v>3</v>
      </c>
      <c r="B211" s="11" t="n">
        <v>46198</v>
      </c>
      <c r="C211" s="11" t="n">
        <v>46207</v>
      </c>
      <c r="D211" s="10" t="n">
        <v>1642</v>
      </c>
      <c r="E211" s="12" t="s">
        <v>48</v>
      </c>
      <c r="F211" s="10" t="n">
        <v>24</v>
      </c>
      <c r="G211" s="12" t="s">
        <v>31</v>
      </c>
      <c r="H211" s="10" t="n">
        <v>2110101</v>
      </c>
      <c r="I211" s="12" t="s">
        <v>32</v>
      </c>
      <c r="J211" s="10" t="n">
        <v>1304475</v>
      </c>
      <c r="L211" s="10" t="n">
        <v>1028803</v>
      </c>
      <c r="M211" s="12" t="s">
        <v>33</v>
      </c>
      <c r="N211" s="12" t="s">
        <v>40</v>
      </c>
      <c r="P211" s="10" t="n">
        <v>128</v>
      </c>
      <c r="Q211" s="12" t="s">
        <v>35</v>
      </c>
      <c r="R211" s="12" t="s">
        <v>36</v>
      </c>
      <c r="S211" s="10" t="n">
        <v>1130101</v>
      </c>
      <c r="T211" s="12" t="s">
        <v>37</v>
      </c>
      <c r="U211" s="13" t="n">
        <v>594.06</v>
      </c>
      <c r="W211" s="13" t="n">
        <v>0</v>
      </c>
      <c r="X211" s="12" t="s">
        <v>341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0" t="n">
        <v>3</v>
      </c>
      <c r="B212" s="11" t="n">
        <v>46198</v>
      </c>
      <c r="C212" s="11" t="n">
        <v>46207</v>
      </c>
      <c r="D212" s="10" t="n">
        <v>10038</v>
      </c>
      <c r="E212" s="12" t="s">
        <v>44</v>
      </c>
      <c r="F212" s="10" t="n">
        <v>24</v>
      </c>
      <c r="G212" s="12" t="s">
        <v>31</v>
      </c>
      <c r="H212" s="10" t="n">
        <v>2110101</v>
      </c>
      <c r="I212" s="12" t="s">
        <v>32</v>
      </c>
      <c r="J212" s="10" t="n">
        <v>1312401</v>
      </c>
      <c r="L212" s="10" t="n">
        <v>190591216</v>
      </c>
      <c r="M212" s="12" t="s">
        <v>33</v>
      </c>
      <c r="N212" s="12" t="s">
        <v>34</v>
      </c>
      <c r="P212" s="10" t="n">
        <v>128</v>
      </c>
      <c r="Q212" s="12" t="s">
        <v>35</v>
      </c>
      <c r="R212" s="12" t="s">
        <v>36</v>
      </c>
      <c r="S212" s="10" t="n">
        <v>1130101</v>
      </c>
      <c r="T212" s="12" t="s">
        <v>37</v>
      </c>
      <c r="U212" s="13" t="n">
        <v>240</v>
      </c>
      <c r="W212" s="13" t="n">
        <v>0</v>
      </c>
      <c r="X212" s="12" t="s">
        <v>342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0" t="n">
        <v>3</v>
      </c>
      <c r="B213" s="11" t="n">
        <v>46202</v>
      </c>
      <c r="C213" s="11" t="n">
        <v>46207</v>
      </c>
      <c r="D213" s="10" t="n">
        <v>642</v>
      </c>
      <c r="E213" s="12" t="s">
        <v>343</v>
      </c>
      <c r="F213" s="10" t="n">
        <v>24</v>
      </c>
      <c r="G213" s="12" t="s">
        <v>31</v>
      </c>
      <c r="H213" s="10" t="n">
        <v>2110101</v>
      </c>
      <c r="I213" s="12" t="s">
        <v>32</v>
      </c>
      <c r="J213" s="10" t="n">
        <v>1321563</v>
      </c>
      <c r="L213" s="10" t="n">
        <v>512</v>
      </c>
      <c r="M213" s="12" t="s">
        <v>33</v>
      </c>
      <c r="N213" s="12" t="s">
        <v>40</v>
      </c>
      <c r="P213" s="10" t="n">
        <v>128</v>
      </c>
      <c r="Q213" s="12" t="s">
        <v>35</v>
      </c>
      <c r="R213" s="12" t="s">
        <v>36</v>
      </c>
      <c r="S213" s="10" t="n">
        <v>1130101</v>
      </c>
      <c r="T213" s="12" t="s">
        <v>37</v>
      </c>
      <c r="U213" s="13" t="n">
        <v>240</v>
      </c>
      <c r="W213" s="13" t="n">
        <v>0</v>
      </c>
      <c r="X213" s="12" t="s">
        <v>344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0" t="n">
        <v>3</v>
      </c>
      <c r="B214" s="11" t="n">
        <v>46196</v>
      </c>
      <c r="C214" s="11" t="n">
        <v>46207</v>
      </c>
      <c r="D214" s="10" t="n">
        <v>10019</v>
      </c>
      <c r="E214" s="12" t="s">
        <v>345</v>
      </c>
      <c r="F214" s="10" t="n">
        <v>24</v>
      </c>
      <c r="G214" s="12" t="s">
        <v>31</v>
      </c>
      <c r="H214" s="10" t="n">
        <v>2110101</v>
      </c>
      <c r="I214" s="12" t="s">
        <v>32</v>
      </c>
      <c r="J214" s="10" t="n">
        <v>1321686</v>
      </c>
      <c r="L214" s="10" t="n">
        <v>774801</v>
      </c>
      <c r="M214" s="12" t="s">
        <v>33</v>
      </c>
      <c r="N214" s="12" t="s">
        <v>34</v>
      </c>
      <c r="P214" s="10" t="n">
        <v>128</v>
      </c>
      <c r="Q214" s="12" t="s">
        <v>35</v>
      </c>
      <c r="R214" s="12" t="s">
        <v>36</v>
      </c>
      <c r="S214" s="10" t="n">
        <v>1130101</v>
      </c>
      <c r="T214" s="12" t="s">
        <v>37</v>
      </c>
      <c r="U214" s="13" t="n">
        <v>1651.2</v>
      </c>
      <c r="W214" s="13" t="n">
        <v>0</v>
      </c>
      <c r="X214" s="12" t="s">
        <v>346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0" t="n">
        <v>3</v>
      </c>
      <c r="B215" s="11" t="n">
        <v>46196</v>
      </c>
      <c r="C215" s="11" t="n">
        <v>46207</v>
      </c>
      <c r="D215" s="10" t="n">
        <v>10019</v>
      </c>
      <c r="E215" s="12" t="s">
        <v>345</v>
      </c>
      <c r="F215" s="10" t="n">
        <v>24</v>
      </c>
      <c r="G215" s="12" t="s">
        <v>31</v>
      </c>
      <c r="H215" s="10" t="n">
        <v>2110101</v>
      </c>
      <c r="I215" s="12" t="s">
        <v>32</v>
      </c>
      <c r="J215" s="10" t="n">
        <v>1321745</v>
      </c>
      <c r="L215" s="10" t="n">
        <v>774381</v>
      </c>
      <c r="M215" s="12" t="s">
        <v>33</v>
      </c>
      <c r="N215" s="12" t="s">
        <v>34</v>
      </c>
      <c r="P215" s="10" t="n">
        <v>128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1830.97</v>
      </c>
      <c r="W215" s="13" t="n">
        <v>0</v>
      </c>
      <c r="X215" s="12" t="s">
        <v>347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0" t="n">
        <v>3</v>
      </c>
      <c r="B216" s="11" t="n">
        <v>46207</v>
      </c>
      <c r="C216" s="11" t="n">
        <v>46207</v>
      </c>
      <c r="D216" s="10" t="n">
        <v>42</v>
      </c>
      <c r="E216" s="12" t="s">
        <v>106</v>
      </c>
      <c r="F216" s="10" t="n">
        <v>13</v>
      </c>
      <c r="G216" s="12" t="s">
        <v>91</v>
      </c>
      <c r="H216" s="10" t="n">
        <v>2110101</v>
      </c>
      <c r="I216" s="12" t="s">
        <v>32</v>
      </c>
      <c r="J216" s="10" t="n">
        <v>1348268</v>
      </c>
      <c r="L216" s="10" t="n">
        <v>4350</v>
      </c>
      <c r="M216" s="12" t="s">
        <v>33</v>
      </c>
      <c r="N216" s="12" t="s">
        <v>40</v>
      </c>
      <c r="P216" s="10" t="n">
        <v>167</v>
      </c>
      <c r="Q216" s="12" t="s">
        <v>220</v>
      </c>
      <c r="R216" s="12" t="s">
        <v>36</v>
      </c>
      <c r="S216" s="10" t="n">
        <v>1130101</v>
      </c>
      <c r="T216" s="12" t="s">
        <v>37</v>
      </c>
      <c r="U216" s="13" t="n">
        <v>318</v>
      </c>
      <c r="W216" s="13" t="n">
        <v>318</v>
      </c>
      <c r="X216" s="12" t="s">
        <v>348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0" t="n">
        <v>3</v>
      </c>
      <c r="B217" s="11" t="n">
        <v>46147</v>
      </c>
      <c r="C217" s="11" t="n">
        <v>46209</v>
      </c>
      <c r="D217" s="10" t="n">
        <v>515</v>
      </c>
      <c r="E217" s="12" t="s">
        <v>240</v>
      </c>
      <c r="F217" s="10" t="n">
        <v>34</v>
      </c>
      <c r="G217" s="12" t="s">
        <v>58</v>
      </c>
      <c r="H217" s="10" t="n">
        <v>2110405</v>
      </c>
      <c r="I217" s="12" t="s">
        <v>63</v>
      </c>
      <c r="J217" s="10" t="n">
        <v>1157461</v>
      </c>
      <c r="L217" s="10" t="n">
        <v>181615</v>
      </c>
      <c r="M217" s="12" t="s">
        <v>349</v>
      </c>
      <c r="N217" s="12" t="s">
        <v>34</v>
      </c>
      <c r="P217" s="10" t="n">
        <v>101</v>
      </c>
      <c r="Q217" s="12" t="s">
        <v>136</v>
      </c>
      <c r="R217" s="12" t="s">
        <v>165</v>
      </c>
      <c r="S217" s="10" t="n">
        <v>4210508</v>
      </c>
      <c r="T217" s="12" t="s">
        <v>241</v>
      </c>
      <c r="U217" s="13" t="n">
        <v>151.61</v>
      </c>
      <c r="W217" s="13" t="n">
        <v>0</v>
      </c>
      <c r="X217" s="12" t="s">
        <v>350</v>
      </c>
      <c r="Z217" s="1" t="str">
        <f aca="false">IF($T217="","",IFERROR(INDEX('Resumo Grupos'!$AC$3:$AC$200,MATCH($T217,'Resumo Grupos'!$AB$3:$AB$200,0)),"n/d"))</f>
        <v>Despesa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0" t="n">
        <v>3</v>
      </c>
      <c r="B218" s="11" t="n">
        <v>46183</v>
      </c>
      <c r="C218" s="11" t="n">
        <v>46209</v>
      </c>
      <c r="D218" s="10" t="n">
        <v>1734</v>
      </c>
      <c r="E218" s="12" t="s">
        <v>214</v>
      </c>
      <c r="F218" s="10" t="n">
        <v>24</v>
      </c>
      <c r="G218" s="12" t="s">
        <v>31</v>
      </c>
      <c r="H218" s="10" t="n">
        <v>2110101</v>
      </c>
      <c r="I218" s="12" t="s">
        <v>32</v>
      </c>
      <c r="J218" s="10" t="n">
        <v>1231812</v>
      </c>
      <c r="L218" s="10" t="n">
        <v>253203</v>
      </c>
      <c r="M218" s="12" t="s">
        <v>33</v>
      </c>
      <c r="N218" s="12" t="s">
        <v>40</v>
      </c>
      <c r="P218" s="10" t="n">
        <v>128</v>
      </c>
      <c r="Q218" s="12" t="s">
        <v>35</v>
      </c>
      <c r="R218" s="12" t="s">
        <v>36</v>
      </c>
      <c r="S218" s="10" t="n">
        <v>1130101</v>
      </c>
      <c r="T218" s="12" t="s">
        <v>37</v>
      </c>
      <c r="U218" s="13" t="n">
        <v>541.26</v>
      </c>
      <c r="W218" s="13" t="n">
        <v>0</v>
      </c>
      <c r="X218" s="12" t="s">
        <v>351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63.75" hidden="false" customHeight="true" outlineLevel="0" collapsed="false">
      <c r="A219" s="10" t="n">
        <v>3</v>
      </c>
      <c r="B219" s="11" t="n">
        <v>46190</v>
      </c>
      <c r="C219" s="11" t="n">
        <v>46209</v>
      </c>
      <c r="D219" s="10" t="n">
        <v>1768</v>
      </c>
      <c r="E219" s="12" t="s">
        <v>352</v>
      </c>
      <c r="F219" s="10" t="n">
        <v>34</v>
      </c>
      <c r="G219" s="12" t="s">
        <v>58</v>
      </c>
      <c r="H219" s="10" t="n">
        <v>2110405</v>
      </c>
      <c r="I219" s="12" t="s">
        <v>63</v>
      </c>
      <c r="J219" s="10" t="n">
        <v>628297</v>
      </c>
      <c r="L219" s="10" t="n">
        <v>100146</v>
      </c>
      <c r="M219" s="12" t="s">
        <v>353</v>
      </c>
      <c r="N219" s="12" t="s">
        <v>34</v>
      </c>
      <c r="P219" s="10" t="n">
        <v>102</v>
      </c>
      <c r="Q219" s="12" t="s">
        <v>141</v>
      </c>
      <c r="R219" s="12" t="s">
        <v>64</v>
      </c>
      <c r="S219" s="10" t="n">
        <v>4210202</v>
      </c>
      <c r="T219" s="12" t="s">
        <v>354</v>
      </c>
      <c r="U219" s="13" t="n">
        <v>2431.5</v>
      </c>
      <c r="W219" s="13" t="n">
        <v>0</v>
      </c>
      <c r="X219" s="12" t="s">
        <v>355</v>
      </c>
      <c r="Z219" s="1" t="str">
        <f aca="false">IF($T219="","",IFERROR(INDEX('Resumo Grupos'!$AC$3:$AC$200,MATCH($T219,'Resumo Grupos'!$AB$3:$AB$200,0)),"n/d"))</f>
        <v>Despesa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3</v>
      </c>
      <c r="B220" s="11" t="n">
        <v>46189</v>
      </c>
      <c r="C220" s="11" t="n">
        <v>46209</v>
      </c>
      <c r="D220" s="10" t="n">
        <v>1636</v>
      </c>
      <c r="E220" s="12" t="s">
        <v>195</v>
      </c>
      <c r="F220" s="10" t="n">
        <v>24</v>
      </c>
      <c r="G220" s="12" t="s">
        <v>31</v>
      </c>
      <c r="H220" s="10" t="n">
        <v>2110101</v>
      </c>
      <c r="I220" s="12" t="s">
        <v>32</v>
      </c>
      <c r="J220" s="10" t="n">
        <v>1266029</v>
      </c>
      <c r="L220" s="10" t="n">
        <v>32042651</v>
      </c>
      <c r="M220" s="12" t="s">
        <v>33</v>
      </c>
      <c r="N220" s="12" t="s">
        <v>34</v>
      </c>
      <c r="P220" s="10" t="n">
        <v>128</v>
      </c>
      <c r="Q220" s="12" t="s">
        <v>35</v>
      </c>
      <c r="R220" s="12" t="s">
        <v>36</v>
      </c>
      <c r="S220" s="10" t="n">
        <v>1130101</v>
      </c>
      <c r="T220" s="12" t="s">
        <v>37</v>
      </c>
      <c r="U220" s="13" t="n">
        <v>1317.18</v>
      </c>
      <c r="W220" s="13" t="n">
        <v>0</v>
      </c>
      <c r="X220" s="12" t="s">
        <v>356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3</v>
      </c>
      <c r="B221" s="11" t="n">
        <v>46209</v>
      </c>
      <c r="C221" s="11" t="n">
        <v>46209</v>
      </c>
      <c r="D221" s="10" t="n">
        <v>42</v>
      </c>
      <c r="E221" s="12" t="s">
        <v>106</v>
      </c>
      <c r="F221" s="10" t="n">
        <v>13</v>
      </c>
      <c r="G221" s="12" t="s">
        <v>91</v>
      </c>
      <c r="H221" s="10" t="n">
        <v>2110101</v>
      </c>
      <c r="I221" s="12" t="s">
        <v>32</v>
      </c>
      <c r="J221" s="10" t="n">
        <v>1359860</v>
      </c>
      <c r="L221" s="10" t="n">
        <v>4353</v>
      </c>
      <c r="M221" s="12" t="s">
        <v>33</v>
      </c>
      <c r="N221" s="12" t="s">
        <v>40</v>
      </c>
      <c r="P221" s="10" t="n">
        <v>167</v>
      </c>
      <c r="Q221" s="12" t="s">
        <v>220</v>
      </c>
      <c r="R221" s="12" t="s">
        <v>36</v>
      </c>
      <c r="S221" s="10" t="n">
        <v>1130101</v>
      </c>
      <c r="T221" s="12" t="s">
        <v>37</v>
      </c>
      <c r="U221" s="13" t="n">
        <v>90</v>
      </c>
      <c r="W221" s="13" t="n">
        <v>90</v>
      </c>
      <c r="X221" s="12" t="s">
        <v>108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3</v>
      </c>
      <c r="B222" s="11" t="n">
        <v>46209</v>
      </c>
      <c r="C222" s="11" t="n">
        <v>46209</v>
      </c>
      <c r="D222" s="10" t="n">
        <v>42</v>
      </c>
      <c r="E222" s="12" t="s">
        <v>106</v>
      </c>
      <c r="F222" s="10" t="n">
        <v>13</v>
      </c>
      <c r="G222" s="12" t="s">
        <v>91</v>
      </c>
      <c r="H222" s="10" t="n">
        <v>2110101</v>
      </c>
      <c r="I222" s="12" t="s">
        <v>32</v>
      </c>
      <c r="J222" s="10" t="n">
        <v>1359935</v>
      </c>
      <c r="L222" s="10" t="n">
        <v>4354</v>
      </c>
      <c r="M222" s="12" t="s">
        <v>33</v>
      </c>
      <c r="N222" s="12" t="s">
        <v>40</v>
      </c>
      <c r="P222" s="10" t="n">
        <v>167</v>
      </c>
      <c r="Q222" s="12" t="s">
        <v>220</v>
      </c>
      <c r="R222" s="12" t="s">
        <v>36</v>
      </c>
      <c r="S222" s="10" t="n">
        <v>1130101</v>
      </c>
      <c r="T222" s="12" t="s">
        <v>37</v>
      </c>
      <c r="U222" s="13" t="n">
        <v>240</v>
      </c>
      <c r="W222" s="13" t="n">
        <v>240</v>
      </c>
      <c r="X222" s="12" t="s">
        <v>162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0" t="n">
        <v>3</v>
      </c>
      <c r="B223" s="11" t="n">
        <v>46209</v>
      </c>
      <c r="C223" s="11" t="n">
        <v>46209</v>
      </c>
      <c r="D223" s="10" t="n">
        <v>239</v>
      </c>
      <c r="E223" s="12" t="s">
        <v>229</v>
      </c>
      <c r="F223" s="10" t="n">
        <v>34</v>
      </c>
      <c r="G223" s="12" t="s">
        <v>58</v>
      </c>
      <c r="H223" s="10" t="n">
        <v>2110405</v>
      </c>
      <c r="I223" s="12" t="s">
        <v>63</v>
      </c>
      <c r="J223" s="10" t="n">
        <v>1360617</v>
      </c>
      <c r="L223" s="10" t="n">
        <v>212444</v>
      </c>
      <c r="M223" s="12" t="s">
        <v>33</v>
      </c>
      <c r="N223" s="12" t="s">
        <v>34</v>
      </c>
      <c r="P223" s="10" t="n">
        <v>167</v>
      </c>
      <c r="Q223" s="12" t="s">
        <v>220</v>
      </c>
      <c r="R223" s="12" t="s">
        <v>137</v>
      </c>
      <c r="S223" s="10" t="n">
        <v>4210301</v>
      </c>
      <c r="T223" s="12" t="s">
        <v>357</v>
      </c>
      <c r="U223" s="13" t="n">
        <v>573.64</v>
      </c>
      <c r="W223" s="13" t="n">
        <v>0</v>
      </c>
      <c r="X223" s="12" t="s">
        <v>358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</row>
    <row r="224" customFormat="false" ht="45.75" hidden="false" customHeight="true" outlineLevel="0" collapsed="false">
      <c r="A224" s="10" t="n">
        <v>3</v>
      </c>
      <c r="B224" s="11" t="n">
        <v>46209</v>
      </c>
      <c r="C224" s="11" t="n">
        <v>46209</v>
      </c>
      <c r="D224" s="10" t="n">
        <v>10070</v>
      </c>
      <c r="E224" s="12" t="s">
        <v>232</v>
      </c>
      <c r="F224" s="10" t="n">
        <v>34</v>
      </c>
      <c r="G224" s="12" t="s">
        <v>58</v>
      </c>
      <c r="H224" s="10" t="n">
        <v>2110405</v>
      </c>
      <c r="I224" s="12" t="s">
        <v>63</v>
      </c>
      <c r="J224" s="10" t="n">
        <v>1360622</v>
      </c>
      <c r="L224" s="10" t="n">
        <v>212446</v>
      </c>
      <c r="M224" s="12" t="s">
        <v>33</v>
      </c>
      <c r="N224" s="12" t="s">
        <v>34</v>
      </c>
      <c r="P224" s="10" t="n">
        <v>167</v>
      </c>
      <c r="Q224" s="12" t="s">
        <v>220</v>
      </c>
      <c r="R224" s="12" t="s">
        <v>137</v>
      </c>
      <c r="S224" s="10" t="n">
        <v>4210301</v>
      </c>
      <c r="T224" s="12" t="s">
        <v>357</v>
      </c>
      <c r="U224" s="13" t="n">
        <v>1286.92</v>
      </c>
      <c r="W224" s="13" t="n">
        <v>0</v>
      </c>
      <c r="X224" s="12" t="s">
        <v>358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3</v>
      </c>
      <c r="B225" s="11" t="n">
        <v>46209</v>
      </c>
      <c r="C225" s="11" t="n">
        <v>46209</v>
      </c>
      <c r="D225" s="10" t="n">
        <v>10053</v>
      </c>
      <c r="E225" s="12" t="s">
        <v>220</v>
      </c>
      <c r="F225" s="10" t="n">
        <v>34</v>
      </c>
      <c r="G225" s="12" t="s">
        <v>58</v>
      </c>
      <c r="H225" s="10" t="n">
        <v>2110405</v>
      </c>
      <c r="I225" s="12" t="s">
        <v>63</v>
      </c>
      <c r="J225" s="10" t="n">
        <v>1360627</v>
      </c>
      <c r="L225" s="10" t="n">
        <v>212448</v>
      </c>
      <c r="M225" s="12" t="s">
        <v>33</v>
      </c>
      <c r="N225" s="12" t="s">
        <v>34</v>
      </c>
      <c r="P225" s="10" t="n">
        <v>167</v>
      </c>
      <c r="Q225" s="12" t="s">
        <v>220</v>
      </c>
      <c r="R225" s="12" t="s">
        <v>137</v>
      </c>
      <c r="S225" s="10" t="n">
        <v>4210301</v>
      </c>
      <c r="T225" s="12" t="s">
        <v>357</v>
      </c>
      <c r="U225" s="13" t="n">
        <v>1029.46</v>
      </c>
      <c r="W225" s="13" t="n">
        <v>0</v>
      </c>
      <c r="X225" s="12" t="s">
        <v>358</v>
      </c>
      <c r="Z225" s="1" t="str">
        <f aca="false">IF($T225="","",IFERROR(INDEX('Resumo Grupos'!$AC$3:$AC$200,MATCH($T225,'Resumo Grupos'!$AB$3:$AB$200,0)),"n/d"))</f>
        <v>Salários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3</v>
      </c>
      <c r="B226" s="11" t="n">
        <v>46209</v>
      </c>
      <c r="C226" s="11" t="n">
        <v>46209</v>
      </c>
      <c r="D226" s="10" t="n">
        <v>389</v>
      </c>
      <c r="E226" s="12" t="s">
        <v>233</v>
      </c>
      <c r="F226" s="10" t="n">
        <v>34</v>
      </c>
      <c r="G226" s="12" t="s">
        <v>58</v>
      </c>
      <c r="H226" s="10" t="n">
        <v>2110405</v>
      </c>
      <c r="I226" s="12" t="s">
        <v>63</v>
      </c>
      <c r="J226" s="10" t="n">
        <v>1360628</v>
      </c>
      <c r="L226" s="10" t="n">
        <v>212450</v>
      </c>
      <c r="M226" s="12" t="s">
        <v>33</v>
      </c>
      <c r="N226" s="12" t="s">
        <v>34</v>
      </c>
      <c r="P226" s="10" t="n">
        <v>167</v>
      </c>
      <c r="Q226" s="12" t="s">
        <v>220</v>
      </c>
      <c r="R226" s="12" t="s">
        <v>137</v>
      </c>
      <c r="S226" s="10" t="n">
        <v>4210301</v>
      </c>
      <c r="T226" s="12" t="s">
        <v>357</v>
      </c>
      <c r="U226" s="13" t="n">
        <v>1165.15</v>
      </c>
      <c r="W226" s="13" t="n">
        <v>0</v>
      </c>
      <c r="X226" s="12" t="s">
        <v>358</v>
      </c>
      <c r="Z226" s="1" t="str">
        <f aca="false">IF($T226="","",IFERROR(INDEX('Resumo Grupos'!$AC$3:$AC$200,MATCH($T226,'Resumo Grupos'!$AB$3:$AB$200,0)),"n/d"))</f>
        <v>Salários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3</v>
      </c>
      <c r="B227" s="11" t="n">
        <v>46209</v>
      </c>
      <c r="C227" s="11" t="n">
        <v>46209</v>
      </c>
      <c r="D227" s="10" t="n">
        <v>35</v>
      </c>
      <c r="E227" s="12" t="s">
        <v>35</v>
      </c>
      <c r="F227" s="10" t="n">
        <v>34</v>
      </c>
      <c r="G227" s="12" t="s">
        <v>58</v>
      </c>
      <c r="H227" s="10" t="n">
        <v>2110405</v>
      </c>
      <c r="I227" s="12" t="s">
        <v>63</v>
      </c>
      <c r="J227" s="10" t="n">
        <v>1360631</v>
      </c>
      <c r="L227" s="10" t="n">
        <v>212451</v>
      </c>
      <c r="M227" s="12" t="s">
        <v>33</v>
      </c>
      <c r="N227" s="12" t="s">
        <v>34</v>
      </c>
      <c r="P227" s="10" t="n">
        <v>167</v>
      </c>
      <c r="Q227" s="12" t="s">
        <v>220</v>
      </c>
      <c r="R227" s="12" t="s">
        <v>137</v>
      </c>
      <c r="S227" s="10" t="n">
        <v>4210301</v>
      </c>
      <c r="T227" s="12" t="s">
        <v>357</v>
      </c>
      <c r="U227" s="13" t="n">
        <v>1219.98</v>
      </c>
      <c r="W227" s="13" t="n">
        <v>0</v>
      </c>
      <c r="X227" s="12" t="s">
        <v>358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0" t="n">
        <v>3</v>
      </c>
      <c r="B228" s="11" t="n">
        <v>46209</v>
      </c>
      <c r="C228" s="11" t="n">
        <v>46209</v>
      </c>
      <c r="D228" s="10" t="n">
        <v>41</v>
      </c>
      <c r="E228" s="12" t="s">
        <v>228</v>
      </c>
      <c r="F228" s="10" t="n">
        <v>34</v>
      </c>
      <c r="G228" s="12" t="s">
        <v>58</v>
      </c>
      <c r="H228" s="10" t="n">
        <v>2110405</v>
      </c>
      <c r="I228" s="12" t="s">
        <v>63</v>
      </c>
      <c r="J228" s="10" t="n">
        <v>1360635</v>
      </c>
      <c r="L228" s="10" t="n">
        <v>212453</v>
      </c>
      <c r="M228" s="12" t="s">
        <v>33</v>
      </c>
      <c r="N228" s="12" t="s">
        <v>34</v>
      </c>
      <c r="P228" s="10" t="n">
        <v>167</v>
      </c>
      <c r="Q228" s="12" t="s">
        <v>220</v>
      </c>
      <c r="R228" s="12" t="s">
        <v>137</v>
      </c>
      <c r="S228" s="10" t="n">
        <v>4210301</v>
      </c>
      <c r="T228" s="12" t="s">
        <v>357</v>
      </c>
      <c r="U228" s="13" t="n">
        <v>871.35</v>
      </c>
      <c r="W228" s="13" t="n">
        <v>0</v>
      </c>
      <c r="X228" s="12" t="s">
        <v>358</v>
      </c>
      <c r="Z228" s="1" t="str">
        <f aca="false">IF($T228="","",IFERROR(INDEX('Resumo Grupos'!$AC$3:$AC$200,MATCH($T228,'Resumo Grupos'!$AB$3:$AB$200,0)),"n/d"))</f>
        <v>Salários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0" t="n">
        <v>3</v>
      </c>
      <c r="B229" s="11" t="n">
        <v>46209</v>
      </c>
      <c r="C229" s="11" t="n">
        <v>46209</v>
      </c>
      <c r="D229" s="10" t="n">
        <v>313</v>
      </c>
      <c r="E229" s="12" t="s">
        <v>234</v>
      </c>
      <c r="F229" s="10" t="n">
        <v>34</v>
      </c>
      <c r="G229" s="12" t="s">
        <v>58</v>
      </c>
      <c r="H229" s="10" t="n">
        <v>2110405</v>
      </c>
      <c r="I229" s="12" t="s">
        <v>63</v>
      </c>
      <c r="J229" s="10" t="n">
        <v>1360646</v>
      </c>
      <c r="L229" s="10" t="n">
        <v>212456</v>
      </c>
      <c r="M229" s="12" t="s">
        <v>33</v>
      </c>
      <c r="N229" s="12" t="s">
        <v>34</v>
      </c>
      <c r="P229" s="10" t="n">
        <v>167</v>
      </c>
      <c r="Q229" s="12" t="s">
        <v>220</v>
      </c>
      <c r="R229" s="12" t="s">
        <v>137</v>
      </c>
      <c r="S229" s="10" t="n">
        <v>4210301</v>
      </c>
      <c r="T229" s="12" t="s">
        <v>357</v>
      </c>
      <c r="U229" s="13" t="n">
        <v>1210.12</v>
      </c>
      <c r="W229" s="13" t="n">
        <v>0</v>
      </c>
      <c r="X229" s="12" t="s">
        <v>358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0" t="n">
        <v>3</v>
      </c>
      <c r="B230" s="11" t="n">
        <v>46209</v>
      </c>
      <c r="C230" s="11" t="n">
        <v>46209</v>
      </c>
      <c r="D230" s="10" t="n">
        <v>83</v>
      </c>
      <c r="E230" s="12" t="s">
        <v>60</v>
      </c>
      <c r="F230" s="10" t="n">
        <v>34</v>
      </c>
      <c r="G230" s="12" t="s">
        <v>58</v>
      </c>
      <c r="H230" s="10" t="n">
        <v>2110405</v>
      </c>
      <c r="I230" s="12" t="s">
        <v>63</v>
      </c>
      <c r="J230" s="10" t="n">
        <v>1360649</v>
      </c>
      <c r="L230" s="10" t="n">
        <v>212457</v>
      </c>
      <c r="M230" s="12" t="s">
        <v>33</v>
      </c>
      <c r="N230" s="12" t="s">
        <v>34</v>
      </c>
      <c r="P230" s="10" t="n">
        <v>167</v>
      </c>
      <c r="Q230" s="12" t="s">
        <v>220</v>
      </c>
      <c r="R230" s="12" t="s">
        <v>137</v>
      </c>
      <c r="S230" s="10" t="n">
        <v>4210301</v>
      </c>
      <c r="T230" s="12" t="s">
        <v>357</v>
      </c>
      <c r="U230" s="13" t="n">
        <v>1247.45</v>
      </c>
      <c r="W230" s="13" t="n">
        <v>0</v>
      </c>
      <c r="X230" s="12" t="s">
        <v>358</v>
      </c>
      <c r="Z230" s="1" t="str">
        <f aca="false">IF($T230="","",IFERROR(INDEX('Resumo Grupos'!$AC$3:$AC$200,MATCH($T230,'Resumo Grupos'!$AB$3:$AB$200,0)),"n/d"))</f>
        <v>Salários</v>
      </c>
      <c r="AA230" s="1" t="str">
        <f aca="false">IF($T230="","",IF(COUNTIF('Resumo Grupos'!$AE$3:$AE$40,$T230)&gt;0,"NAO","SIM"))</f>
        <v>SIM</v>
      </c>
    </row>
    <row r="231" customFormat="false" ht="63.75" hidden="false" customHeight="true" outlineLevel="0" collapsed="false">
      <c r="A231" s="10" t="n">
        <v>3</v>
      </c>
      <c r="B231" s="11" t="n">
        <v>46209</v>
      </c>
      <c r="C231" s="11" t="n">
        <v>46209</v>
      </c>
      <c r="D231" s="10" t="n">
        <v>320</v>
      </c>
      <c r="E231" s="12" t="s">
        <v>237</v>
      </c>
      <c r="F231" s="10" t="n">
        <v>34</v>
      </c>
      <c r="G231" s="12" t="s">
        <v>58</v>
      </c>
      <c r="H231" s="10" t="n">
        <v>2110405</v>
      </c>
      <c r="I231" s="12" t="s">
        <v>63</v>
      </c>
      <c r="J231" s="10" t="n">
        <v>1360652</v>
      </c>
      <c r="L231" s="10" t="n">
        <v>212459</v>
      </c>
      <c r="M231" s="12" t="s">
        <v>33</v>
      </c>
      <c r="N231" s="12" t="s">
        <v>34</v>
      </c>
      <c r="P231" s="10" t="n">
        <v>167</v>
      </c>
      <c r="Q231" s="12" t="s">
        <v>220</v>
      </c>
      <c r="R231" s="12" t="s">
        <v>137</v>
      </c>
      <c r="S231" s="10" t="n">
        <v>4210301</v>
      </c>
      <c r="T231" s="12" t="s">
        <v>357</v>
      </c>
      <c r="U231" s="13" t="n">
        <v>881.33</v>
      </c>
      <c r="W231" s="13" t="n">
        <v>0</v>
      </c>
      <c r="X231" s="12" t="s">
        <v>358</v>
      </c>
      <c r="Z231" s="1" t="str">
        <f aca="false">IF($T231="","",IFERROR(INDEX('Resumo Grupos'!$AC$3:$AC$200,MATCH($T231,'Resumo Grupos'!$AB$3:$AB$200,0)),"n/d"))</f>
        <v>Salários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3</v>
      </c>
      <c r="B232" s="11" t="n">
        <v>46209</v>
      </c>
      <c r="C232" s="11" t="n">
        <v>46209</v>
      </c>
      <c r="D232" s="10" t="n">
        <v>332</v>
      </c>
      <c r="E232" s="12" t="s">
        <v>235</v>
      </c>
      <c r="F232" s="10" t="n">
        <v>34</v>
      </c>
      <c r="G232" s="12" t="s">
        <v>58</v>
      </c>
      <c r="H232" s="10" t="n">
        <v>2110405</v>
      </c>
      <c r="I232" s="12" t="s">
        <v>63</v>
      </c>
      <c r="J232" s="10" t="n">
        <v>1360653</v>
      </c>
      <c r="L232" s="10" t="n">
        <v>212460</v>
      </c>
      <c r="M232" s="12" t="s">
        <v>33</v>
      </c>
      <c r="N232" s="12" t="s">
        <v>34</v>
      </c>
      <c r="P232" s="10" t="n">
        <v>167</v>
      </c>
      <c r="Q232" s="12" t="s">
        <v>220</v>
      </c>
      <c r="R232" s="12" t="s">
        <v>137</v>
      </c>
      <c r="S232" s="10" t="n">
        <v>4210301</v>
      </c>
      <c r="T232" s="12" t="s">
        <v>357</v>
      </c>
      <c r="U232" s="13" t="n">
        <v>566.52</v>
      </c>
      <c r="W232" s="13" t="n">
        <v>0</v>
      </c>
      <c r="X232" s="12" t="s">
        <v>358</v>
      </c>
      <c r="Z232" s="1" t="str">
        <f aca="false">IF($T232="","",IFERROR(INDEX('Resumo Grupos'!$AC$3:$AC$200,MATCH($T232,'Resumo Grupos'!$AB$3:$AB$200,0)),"n/d"))</f>
        <v>Salários</v>
      </c>
      <c r="AA232" s="1" t="str">
        <f aca="false">IF($T232="","",IF(COUNTIF('Resumo Grupos'!$AE$3:$AE$40,$T232)&gt;0,"NAO","SIM"))</f>
        <v>SIM</v>
      </c>
    </row>
    <row r="233" customFormat="false" ht="36.75" hidden="false" customHeight="true" outlineLevel="0" collapsed="false">
      <c r="A233" s="10" t="n">
        <v>3</v>
      </c>
      <c r="B233" s="11" t="n">
        <v>46209</v>
      </c>
      <c r="C233" s="11" t="n">
        <v>46209</v>
      </c>
      <c r="D233" s="10" t="n">
        <v>358</v>
      </c>
      <c r="E233" s="12" t="s">
        <v>144</v>
      </c>
      <c r="F233" s="10" t="n">
        <v>34</v>
      </c>
      <c r="G233" s="12" t="s">
        <v>58</v>
      </c>
      <c r="H233" s="10" t="n">
        <v>2110405</v>
      </c>
      <c r="I233" s="12" t="s">
        <v>63</v>
      </c>
      <c r="J233" s="10" t="n">
        <v>1360656</v>
      </c>
      <c r="L233" s="10" t="n">
        <v>212461</v>
      </c>
      <c r="M233" s="12" t="s">
        <v>33</v>
      </c>
      <c r="N233" s="12" t="s">
        <v>34</v>
      </c>
      <c r="P233" s="10" t="n">
        <v>167</v>
      </c>
      <c r="Q233" s="12" t="s">
        <v>220</v>
      </c>
      <c r="R233" s="12" t="s">
        <v>137</v>
      </c>
      <c r="S233" s="10" t="n">
        <v>4210301</v>
      </c>
      <c r="T233" s="12" t="s">
        <v>357</v>
      </c>
      <c r="U233" s="13" t="n">
        <v>1100.53</v>
      </c>
      <c r="W233" s="13" t="n">
        <v>0</v>
      </c>
      <c r="X233" s="12" t="s">
        <v>358</v>
      </c>
      <c r="Z233" s="1" t="str">
        <f aca="false">IF($T233="","",IFERROR(INDEX('Resumo Grupos'!$AC$3:$AC$200,MATCH($T233,'Resumo Grupos'!$AB$3:$AB$200,0)),"n/d"))</f>
        <v>Salários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3</v>
      </c>
      <c r="B234" s="11" t="n">
        <v>46209</v>
      </c>
      <c r="C234" s="11" t="n">
        <v>46209</v>
      </c>
      <c r="D234" s="10" t="n">
        <v>10071</v>
      </c>
      <c r="E234" s="12" t="s">
        <v>236</v>
      </c>
      <c r="F234" s="10" t="n">
        <v>34</v>
      </c>
      <c r="G234" s="12" t="s">
        <v>58</v>
      </c>
      <c r="H234" s="10" t="n">
        <v>2110405</v>
      </c>
      <c r="I234" s="12" t="s">
        <v>63</v>
      </c>
      <c r="J234" s="10" t="n">
        <v>1360659</v>
      </c>
      <c r="L234" s="10" t="n">
        <v>212463</v>
      </c>
      <c r="M234" s="12" t="s">
        <v>33</v>
      </c>
      <c r="N234" s="12" t="s">
        <v>34</v>
      </c>
      <c r="P234" s="10" t="n">
        <v>167</v>
      </c>
      <c r="Q234" s="12" t="s">
        <v>220</v>
      </c>
      <c r="R234" s="12" t="s">
        <v>137</v>
      </c>
      <c r="S234" s="10" t="n">
        <v>4210301</v>
      </c>
      <c r="T234" s="12" t="s">
        <v>357</v>
      </c>
      <c r="U234" s="13" t="n">
        <v>1481</v>
      </c>
      <c r="W234" s="13" t="n">
        <v>0</v>
      </c>
      <c r="X234" s="12" t="s">
        <v>358</v>
      </c>
      <c r="Z234" s="1" t="str">
        <f aca="false">IF($T234="","",IFERROR(INDEX('Resumo Grupos'!$AC$3:$AC$200,MATCH($T234,'Resumo Grupos'!$AB$3:$AB$200,0)),"n/d"))</f>
        <v>Salários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3</v>
      </c>
      <c r="B235" s="11" t="n">
        <v>46209</v>
      </c>
      <c r="C235" s="11" t="n">
        <v>46209</v>
      </c>
      <c r="D235" s="10" t="n">
        <v>10072</v>
      </c>
      <c r="E235" s="12" t="s">
        <v>271</v>
      </c>
      <c r="F235" s="10" t="n">
        <v>34</v>
      </c>
      <c r="G235" s="12" t="s">
        <v>58</v>
      </c>
      <c r="H235" s="10" t="n">
        <v>2110405</v>
      </c>
      <c r="I235" s="12" t="s">
        <v>63</v>
      </c>
      <c r="J235" s="10" t="n">
        <v>1360664</v>
      </c>
      <c r="L235" s="10" t="n">
        <v>212465</v>
      </c>
      <c r="M235" s="12" t="s">
        <v>33</v>
      </c>
      <c r="N235" s="12" t="s">
        <v>34</v>
      </c>
      <c r="P235" s="10" t="n">
        <v>167</v>
      </c>
      <c r="Q235" s="12" t="s">
        <v>220</v>
      </c>
      <c r="R235" s="12" t="s">
        <v>137</v>
      </c>
      <c r="S235" s="10" t="n">
        <v>4210301</v>
      </c>
      <c r="T235" s="12" t="s">
        <v>357</v>
      </c>
      <c r="U235" s="13" t="n">
        <v>1439.86</v>
      </c>
      <c r="W235" s="13" t="n">
        <v>0</v>
      </c>
      <c r="X235" s="12" t="s">
        <v>358</v>
      </c>
      <c r="Z235" s="1" t="str">
        <f aca="false">IF($T235="","",IFERROR(INDEX('Resumo Grupos'!$AC$3:$AC$200,MATCH($T235,'Resumo Grupos'!$AB$3:$AB$200,0)),"n/d"))</f>
        <v>Salários</v>
      </c>
      <c r="AA235" s="1" t="str">
        <f aca="false">IF($T235="","",IF(COUNTIF('Resumo Grupos'!$AE$3:$AE$40,$T235)&gt;0,"NAO","SIM"))</f>
        <v>SIM</v>
      </c>
    </row>
    <row r="236" customFormat="false" ht="36.75" hidden="false" customHeight="true" outlineLevel="0" collapsed="false">
      <c r="A236" s="10" t="n">
        <v>3</v>
      </c>
      <c r="B236" s="11" t="n">
        <v>46209</v>
      </c>
      <c r="C236" s="11" t="n">
        <v>46209</v>
      </c>
      <c r="D236" s="10" t="n">
        <v>200</v>
      </c>
      <c r="E236" s="12" t="s">
        <v>231</v>
      </c>
      <c r="F236" s="10" t="n">
        <v>34</v>
      </c>
      <c r="G236" s="12" t="s">
        <v>58</v>
      </c>
      <c r="H236" s="10" t="n">
        <v>2110405</v>
      </c>
      <c r="I236" s="12" t="s">
        <v>63</v>
      </c>
      <c r="J236" s="10" t="n">
        <v>1360667</v>
      </c>
      <c r="L236" s="10" t="n">
        <v>212466</v>
      </c>
      <c r="M236" s="12" t="s">
        <v>33</v>
      </c>
      <c r="N236" s="12" t="s">
        <v>34</v>
      </c>
      <c r="P236" s="10" t="n">
        <v>167</v>
      </c>
      <c r="Q236" s="12" t="s">
        <v>220</v>
      </c>
      <c r="R236" s="12" t="s">
        <v>137</v>
      </c>
      <c r="S236" s="10" t="n">
        <v>4210301</v>
      </c>
      <c r="T236" s="12" t="s">
        <v>357</v>
      </c>
      <c r="U236" s="13" t="n">
        <v>1268.02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Salários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3</v>
      </c>
      <c r="B237" s="11" t="n">
        <v>46209</v>
      </c>
      <c r="C237" s="11" t="n">
        <v>46209</v>
      </c>
      <c r="D237" s="10" t="n">
        <v>239</v>
      </c>
      <c r="E237" s="12" t="s">
        <v>229</v>
      </c>
      <c r="F237" s="10" t="n">
        <v>7</v>
      </c>
      <c r="G237" s="12" t="s">
        <v>359</v>
      </c>
      <c r="H237" s="10" t="n">
        <v>2110101</v>
      </c>
      <c r="I237" s="12" t="s">
        <v>32</v>
      </c>
      <c r="J237" s="10" t="n">
        <v>1360682</v>
      </c>
      <c r="L237" s="10" t="n">
        <v>212468</v>
      </c>
      <c r="M237" s="12" t="s">
        <v>33</v>
      </c>
      <c r="N237" s="12" t="s">
        <v>34</v>
      </c>
      <c r="P237" s="10" t="n">
        <v>167</v>
      </c>
      <c r="Q237" s="12" t="s">
        <v>220</v>
      </c>
      <c r="R237" s="12" t="s">
        <v>137</v>
      </c>
      <c r="S237" s="10" t="n">
        <v>4210301</v>
      </c>
      <c r="T237" s="12" t="s">
        <v>357</v>
      </c>
      <c r="U237" s="13" t="n">
        <v>498.72</v>
      </c>
      <c r="W237" s="13" t="n">
        <v>0</v>
      </c>
      <c r="X237" s="12" t="s">
        <v>360</v>
      </c>
      <c r="Z237" s="1" t="str">
        <f aca="false">IF($T237="","",IFERROR(INDEX('Resumo Grupos'!$AC$3:$AC$200,MATCH($T237,'Resumo Grupos'!$AB$3:$AB$200,0)),"n/d"))</f>
        <v>Salários</v>
      </c>
      <c r="AA237" s="1" t="str">
        <f aca="false">IF($T237="","",IF(COUNTIF('Resumo Grupos'!$AE$3:$AE$40,$T237)&gt;0,"NAO","SIM"))</f>
        <v>SIM</v>
      </c>
    </row>
    <row r="238" customFormat="false" ht="36.75" hidden="false" customHeight="true" outlineLevel="0" collapsed="false">
      <c r="A238" s="10" t="n">
        <v>3</v>
      </c>
      <c r="B238" s="11" t="n">
        <v>46209</v>
      </c>
      <c r="C238" s="11" t="n">
        <v>46209</v>
      </c>
      <c r="D238" s="10" t="n">
        <v>10070</v>
      </c>
      <c r="E238" s="12" t="s">
        <v>232</v>
      </c>
      <c r="F238" s="10" t="n">
        <v>7</v>
      </c>
      <c r="G238" s="12" t="s">
        <v>359</v>
      </c>
      <c r="H238" s="10" t="n">
        <v>2110405</v>
      </c>
      <c r="I238" s="12" t="s">
        <v>63</v>
      </c>
      <c r="J238" s="10" t="n">
        <v>1360686</v>
      </c>
      <c r="L238" s="10" t="n">
        <v>212469</v>
      </c>
      <c r="M238" s="12" t="s">
        <v>33</v>
      </c>
      <c r="N238" s="12" t="s">
        <v>34</v>
      </c>
      <c r="P238" s="10" t="n">
        <v>167</v>
      </c>
      <c r="Q238" s="12" t="s">
        <v>220</v>
      </c>
      <c r="R238" s="12" t="s">
        <v>137</v>
      </c>
      <c r="S238" s="10" t="n">
        <v>4210301</v>
      </c>
      <c r="T238" s="12" t="s">
        <v>357</v>
      </c>
      <c r="U238" s="13" t="n">
        <v>497.4</v>
      </c>
      <c r="W238" s="13" t="n">
        <v>0</v>
      </c>
      <c r="X238" s="12" t="s">
        <v>360</v>
      </c>
      <c r="Z238" s="1" t="str">
        <f aca="false">IF($T238="","",IFERROR(INDEX('Resumo Grupos'!$AC$3:$AC$200,MATCH($T238,'Resumo Grupos'!$AB$3:$AB$200,0)),"n/d"))</f>
        <v>Salários</v>
      </c>
      <c r="AA238" s="1" t="str">
        <f aca="false">IF($T238="","",IF(COUNTIF('Resumo Grupos'!$AE$3:$AE$40,$T238)&gt;0,"NAO","SIM"))</f>
        <v>SIM</v>
      </c>
    </row>
    <row r="239" customFormat="false" ht="45.75" hidden="false" customHeight="true" outlineLevel="0" collapsed="false">
      <c r="A239" s="10" t="n">
        <v>3</v>
      </c>
      <c r="B239" s="11" t="n">
        <v>46209</v>
      </c>
      <c r="C239" s="11" t="n">
        <v>46209</v>
      </c>
      <c r="D239" s="10" t="n">
        <v>10053</v>
      </c>
      <c r="E239" s="12" t="s">
        <v>220</v>
      </c>
      <c r="F239" s="10" t="n">
        <v>7</v>
      </c>
      <c r="G239" s="12" t="s">
        <v>359</v>
      </c>
      <c r="H239" s="10" t="n">
        <v>2110405</v>
      </c>
      <c r="I239" s="12" t="s">
        <v>63</v>
      </c>
      <c r="J239" s="10" t="n">
        <v>1360693</v>
      </c>
      <c r="L239" s="10" t="n">
        <v>212470</v>
      </c>
      <c r="M239" s="12" t="s">
        <v>33</v>
      </c>
      <c r="N239" s="12" t="s">
        <v>34</v>
      </c>
      <c r="P239" s="10" t="n">
        <v>167</v>
      </c>
      <c r="Q239" s="12" t="s">
        <v>220</v>
      </c>
      <c r="R239" s="12" t="s">
        <v>137</v>
      </c>
      <c r="S239" s="10" t="n">
        <v>4210301</v>
      </c>
      <c r="T239" s="12" t="s">
        <v>357</v>
      </c>
      <c r="U239" s="13" t="n">
        <v>505.75</v>
      </c>
      <c r="W239" s="13" t="n">
        <v>0</v>
      </c>
      <c r="X239" s="12" t="s">
        <v>360</v>
      </c>
      <c r="Z239" s="1" t="str">
        <f aca="false">IF($T239="","",IFERROR(INDEX('Resumo Grupos'!$AC$3:$AC$200,MATCH($T239,'Resumo Grupos'!$AB$3:$AB$200,0)),"n/d"))</f>
        <v>Salários</v>
      </c>
      <c r="AA239" s="1" t="str">
        <f aca="false">IF($T239="","",IF(COUNTIF('Resumo Grupos'!$AE$3:$AE$40,$T239)&gt;0,"NAO","SIM"))</f>
        <v>SIM</v>
      </c>
    </row>
    <row r="240" customFormat="false" ht="45.75" hidden="false" customHeight="true" outlineLevel="0" collapsed="false">
      <c r="A240" s="10" t="n">
        <v>3</v>
      </c>
      <c r="B240" s="11" t="n">
        <v>46209</v>
      </c>
      <c r="C240" s="11" t="n">
        <v>46209</v>
      </c>
      <c r="D240" s="10" t="n">
        <v>389</v>
      </c>
      <c r="E240" s="12" t="s">
        <v>233</v>
      </c>
      <c r="F240" s="10" t="n">
        <v>7</v>
      </c>
      <c r="G240" s="12" t="s">
        <v>359</v>
      </c>
      <c r="H240" s="10" t="n">
        <v>2110405</v>
      </c>
      <c r="I240" s="12" t="s">
        <v>63</v>
      </c>
      <c r="J240" s="10" t="n">
        <v>1360696</v>
      </c>
      <c r="L240" s="10" t="n">
        <v>212471</v>
      </c>
      <c r="M240" s="12" t="s">
        <v>33</v>
      </c>
      <c r="N240" s="12" t="s">
        <v>34</v>
      </c>
      <c r="P240" s="10" t="n">
        <v>167</v>
      </c>
      <c r="Q240" s="12" t="s">
        <v>220</v>
      </c>
      <c r="R240" s="12" t="s">
        <v>137</v>
      </c>
      <c r="S240" s="10" t="n">
        <v>4210301</v>
      </c>
      <c r="T240" s="12" t="s">
        <v>357</v>
      </c>
      <c r="U240" s="13" t="n">
        <v>544.49</v>
      </c>
      <c r="W240" s="13" t="n">
        <v>0</v>
      </c>
      <c r="X240" s="12" t="s">
        <v>360</v>
      </c>
      <c r="Z240" s="1" t="str">
        <f aca="false">IF($T240="","",IFERROR(INDEX('Resumo Grupos'!$AC$3:$AC$200,MATCH($T240,'Resumo Grupos'!$AB$3:$AB$200,0)),"n/d"))</f>
        <v>Salários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3</v>
      </c>
      <c r="B241" s="11" t="n">
        <v>46209</v>
      </c>
      <c r="C241" s="11" t="n">
        <v>46209</v>
      </c>
      <c r="D241" s="10" t="n">
        <v>35</v>
      </c>
      <c r="E241" s="12" t="s">
        <v>35</v>
      </c>
      <c r="F241" s="10" t="n">
        <v>7</v>
      </c>
      <c r="G241" s="12" t="s">
        <v>359</v>
      </c>
      <c r="H241" s="10" t="n">
        <v>2110405</v>
      </c>
      <c r="I241" s="12" t="s">
        <v>63</v>
      </c>
      <c r="J241" s="10" t="n">
        <v>1360701</v>
      </c>
      <c r="L241" s="10" t="n">
        <v>212474</v>
      </c>
      <c r="M241" s="12" t="s">
        <v>33</v>
      </c>
      <c r="N241" s="12" t="s">
        <v>34</v>
      </c>
      <c r="P241" s="10" t="n">
        <v>167</v>
      </c>
      <c r="Q241" s="12" t="s">
        <v>220</v>
      </c>
      <c r="R241" s="12" t="s">
        <v>137</v>
      </c>
      <c r="S241" s="10" t="n">
        <v>4210301</v>
      </c>
      <c r="T241" s="12" t="s">
        <v>357</v>
      </c>
      <c r="U241" s="13" t="n">
        <v>471.65</v>
      </c>
      <c r="W241" s="13" t="n">
        <v>0</v>
      </c>
      <c r="X241" s="12" t="s">
        <v>360</v>
      </c>
      <c r="Z241" s="1" t="str">
        <f aca="false">IF($T241="","",IFERROR(INDEX('Resumo Grupos'!$AC$3:$AC$200,MATCH($T241,'Resumo Grupos'!$AB$3:$AB$200,0)),"n/d"))</f>
        <v>Salários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3</v>
      </c>
      <c r="B242" s="11" t="n">
        <v>46209</v>
      </c>
      <c r="C242" s="11" t="n">
        <v>46209</v>
      </c>
      <c r="D242" s="10" t="n">
        <v>41</v>
      </c>
      <c r="E242" s="12" t="s">
        <v>228</v>
      </c>
      <c r="F242" s="10" t="n">
        <v>7</v>
      </c>
      <c r="G242" s="12" t="s">
        <v>359</v>
      </c>
      <c r="H242" s="10" t="n">
        <v>2110405</v>
      </c>
      <c r="I242" s="12" t="s">
        <v>63</v>
      </c>
      <c r="J242" s="10" t="n">
        <v>1360706</v>
      </c>
      <c r="L242" s="10" t="n">
        <v>212476</v>
      </c>
      <c r="M242" s="12" t="s">
        <v>33</v>
      </c>
      <c r="N242" s="12" t="s">
        <v>34</v>
      </c>
      <c r="P242" s="10" t="n">
        <v>167</v>
      </c>
      <c r="Q242" s="12" t="s">
        <v>220</v>
      </c>
      <c r="R242" s="12" t="s">
        <v>137</v>
      </c>
      <c r="S242" s="10" t="n">
        <v>4210301</v>
      </c>
      <c r="T242" s="12" t="s">
        <v>357</v>
      </c>
      <c r="U242" s="13" t="n">
        <v>621.68</v>
      </c>
      <c r="W242" s="13" t="n">
        <v>0</v>
      </c>
      <c r="X242" s="12" t="s">
        <v>360</v>
      </c>
      <c r="Z242" s="1" t="str">
        <f aca="false">IF($T242="","",IFERROR(INDEX('Resumo Grupos'!$AC$3:$AC$200,MATCH($T242,'Resumo Grupos'!$AB$3:$AB$200,0)),"n/d"))</f>
        <v>Salários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3</v>
      </c>
      <c r="B243" s="11" t="n">
        <v>46209</v>
      </c>
      <c r="C243" s="11" t="n">
        <v>46209</v>
      </c>
      <c r="D243" s="10" t="n">
        <v>313</v>
      </c>
      <c r="E243" s="12" t="s">
        <v>234</v>
      </c>
      <c r="F243" s="10" t="n">
        <v>7</v>
      </c>
      <c r="G243" s="12" t="s">
        <v>359</v>
      </c>
      <c r="H243" s="10" t="n">
        <v>2110405</v>
      </c>
      <c r="I243" s="12" t="s">
        <v>63</v>
      </c>
      <c r="J243" s="10" t="n">
        <v>1360712</v>
      </c>
      <c r="L243" s="10" t="n">
        <v>212478</v>
      </c>
      <c r="M243" s="12" t="s">
        <v>33</v>
      </c>
      <c r="N243" s="12" t="s">
        <v>34</v>
      </c>
      <c r="P243" s="10" t="n">
        <v>167</v>
      </c>
      <c r="Q243" s="12" t="s">
        <v>220</v>
      </c>
      <c r="R243" s="12" t="s">
        <v>137</v>
      </c>
      <c r="S243" s="10" t="n">
        <v>4210301</v>
      </c>
      <c r="T243" s="12" t="s">
        <v>357</v>
      </c>
      <c r="U243" s="13" t="n">
        <v>497.9</v>
      </c>
      <c r="W243" s="13" t="n">
        <v>0</v>
      </c>
      <c r="X243" s="12" t="s">
        <v>360</v>
      </c>
      <c r="Z243" s="1" t="str">
        <f aca="false">IF($T243="","",IFERROR(INDEX('Resumo Grupos'!$AC$3:$AC$200,MATCH($T243,'Resumo Grupos'!$AB$3:$AB$200,0)),"n/d"))</f>
        <v>Salários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3</v>
      </c>
      <c r="B244" s="11" t="n">
        <v>46209</v>
      </c>
      <c r="C244" s="11" t="n">
        <v>46209</v>
      </c>
      <c r="D244" s="10" t="n">
        <v>83</v>
      </c>
      <c r="E244" s="12" t="s">
        <v>60</v>
      </c>
      <c r="F244" s="10" t="n">
        <v>7</v>
      </c>
      <c r="G244" s="12" t="s">
        <v>359</v>
      </c>
      <c r="H244" s="10" t="n">
        <v>2110405</v>
      </c>
      <c r="I244" s="12" t="s">
        <v>63</v>
      </c>
      <c r="J244" s="10" t="n">
        <v>1360714</v>
      </c>
      <c r="L244" s="10" t="n">
        <v>212479</v>
      </c>
      <c r="M244" s="12" t="s">
        <v>33</v>
      </c>
      <c r="N244" s="12" t="s">
        <v>34</v>
      </c>
      <c r="P244" s="10" t="n">
        <v>167</v>
      </c>
      <c r="Q244" s="12" t="s">
        <v>220</v>
      </c>
      <c r="R244" s="12" t="s">
        <v>137</v>
      </c>
      <c r="S244" s="10" t="n">
        <v>4210301</v>
      </c>
      <c r="T244" s="12" t="s">
        <v>357</v>
      </c>
      <c r="U244" s="13" t="n">
        <v>500.67</v>
      </c>
      <c r="W244" s="13" t="n">
        <v>0</v>
      </c>
      <c r="X244" s="12" t="s">
        <v>360</v>
      </c>
      <c r="Z244" s="1" t="str">
        <f aca="false">IF($T244="","",IFERROR(INDEX('Resumo Grupos'!$AC$3:$AC$200,MATCH($T244,'Resumo Grupos'!$AB$3:$AB$200,0)),"n/d"))</f>
        <v>Salários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3</v>
      </c>
      <c r="B245" s="11" t="n">
        <v>46209</v>
      </c>
      <c r="C245" s="11" t="n">
        <v>46209</v>
      </c>
      <c r="D245" s="10" t="n">
        <v>320</v>
      </c>
      <c r="E245" s="12" t="s">
        <v>237</v>
      </c>
      <c r="F245" s="10" t="n">
        <v>7</v>
      </c>
      <c r="G245" s="12" t="s">
        <v>359</v>
      </c>
      <c r="H245" s="10" t="n">
        <v>2110405</v>
      </c>
      <c r="I245" s="12" t="s">
        <v>63</v>
      </c>
      <c r="J245" s="10" t="n">
        <v>1360716</v>
      </c>
      <c r="L245" s="10" t="n">
        <v>212480</v>
      </c>
      <c r="M245" s="12" t="s">
        <v>33</v>
      </c>
      <c r="N245" s="12" t="s">
        <v>34</v>
      </c>
      <c r="P245" s="10" t="n">
        <v>167</v>
      </c>
      <c r="Q245" s="12" t="s">
        <v>220</v>
      </c>
      <c r="R245" s="12" t="s">
        <v>137</v>
      </c>
      <c r="S245" s="10" t="n">
        <v>4210301</v>
      </c>
      <c r="T245" s="12" t="s">
        <v>357</v>
      </c>
      <c r="U245" s="13" t="n">
        <v>563.5</v>
      </c>
      <c r="W245" s="13" t="n">
        <v>0</v>
      </c>
      <c r="X245" s="12" t="s">
        <v>360</v>
      </c>
      <c r="Z245" s="1" t="str">
        <f aca="false">IF($T245="","",IFERROR(INDEX('Resumo Grupos'!$AC$3:$AC$200,MATCH($T245,'Resumo Grupos'!$AB$3:$AB$200,0)),"n/d"))</f>
        <v>Salários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3</v>
      </c>
      <c r="B246" s="11" t="n">
        <v>46209</v>
      </c>
      <c r="C246" s="11" t="n">
        <v>46209</v>
      </c>
      <c r="D246" s="10" t="n">
        <v>332</v>
      </c>
      <c r="E246" s="12" t="s">
        <v>235</v>
      </c>
      <c r="F246" s="10" t="n">
        <v>7</v>
      </c>
      <c r="G246" s="12" t="s">
        <v>359</v>
      </c>
      <c r="H246" s="10" t="n">
        <v>2110405</v>
      </c>
      <c r="I246" s="12" t="s">
        <v>63</v>
      </c>
      <c r="J246" s="10" t="n">
        <v>1360726</v>
      </c>
      <c r="L246" s="10" t="n">
        <v>212482</v>
      </c>
      <c r="M246" s="12" t="s">
        <v>33</v>
      </c>
      <c r="N246" s="12" t="s">
        <v>34</v>
      </c>
      <c r="P246" s="10" t="n">
        <v>167</v>
      </c>
      <c r="Q246" s="12" t="s">
        <v>220</v>
      </c>
      <c r="R246" s="12" t="s">
        <v>137</v>
      </c>
      <c r="S246" s="10" t="n">
        <v>4210301</v>
      </c>
      <c r="T246" s="12" t="s">
        <v>357</v>
      </c>
      <c r="U246" s="13" t="n">
        <v>624.48</v>
      </c>
      <c r="W246" s="13" t="n">
        <v>0</v>
      </c>
      <c r="X246" s="12" t="s">
        <v>360</v>
      </c>
      <c r="Z246" s="1" t="str">
        <f aca="false">IF($T246="","",IFERROR(INDEX('Resumo Grupos'!$AC$3:$AC$200,MATCH($T246,'Resumo Grupos'!$AB$3:$AB$200,0)),"n/d"))</f>
        <v>Salários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3</v>
      </c>
      <c r="B247" s="11" t="n">
        <v>46209</v>
      </c>
      <c r="C247" s="11" t="n">
        <v>46209</v>
      </c>
      <c r="D247" s="10" t="n">
        <v>358</v>
      </c>
      <c r="E247" s="12" t="s">
        <v>144</v>
      </c>
      <c r="F247" s="10" t="n">
        <v>7</v>
      </c>
      <c r="G247" s="12" t="s">
        <v>359</v>
      </c>
      <c r="H247" s="10" t="n">
        <v>2110405</v>
      </c>
      <c r="I247" s="12" t="s">
        <v>63</v>
      </c>
      <c r="J247" s="10" t="n">
        <v>1360731</v>
      </c>
      <c r="L247" s="10" t="n">
        <v>212484</v>
      </c>
      <c r="M247" s="12" t="s">
        <v>33</v>
      </c>
      <c r="N247" s="12" t="s">
        <v>34</v>
      </c>
      <c r="P247" s="10" t="n">
        <v>167</v>
      </c>
      <c r="Q247" s="12" t="s">
        <v>220</v>
      </c>
      <c r="R247" s="12" t="s">
        <v>137</v>
      </c>
      <c r="S247" s="10" t="n">
        <v>4210301</v>
      </c>
      <c r="T247" s="12" t="s">
        <v>357</v>
      </c>
      <c r="U247" s="13" t="n">
        <v>549.66</v>
      </c>
      <c r="W247" s="13" t="n">
        <v>0</v>
      </c>
      <c r="X247" s="12" t="s">
        <v>360</v>
      </c>
      <c r="Z247" s="1" t="str">
        <f aca="false">IF($T247="","",IFERROR(INDEX('Resumo Grupos'!$AC$3:$AC$200,MATCH($T247,'Resumo Grupos'!$AB$3:$AB$200,0)),"n/d"))</f>
        <v>Salários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3</v>
      </c>
      <c r="B248" s="11" t="n">
        <v>46209</v>
      </c>
      <c r="C248" s="11" t="n">
        <v>46209</v>
      </c>
      <c r="D248" s="10" t="n">
        <v>10071</v>
      </c>
      <c r="E248" s="12" t="s">
        <v>236</v>
      </c>
      <c r="F248" s="10" t="n">
        <v>7</v>
      </c>
      <c r="G248" s="12" t="s">
        <v>359</v>
      </c>
      <c r="H248" s="10" t="n">
        <v>2110405</v>
      </c>
      <c r="I248" s="12" t="s">
        <v>63</v>
      </c>
      <c r="J248" s="10" t="n">
        <v>1360734</v>
      </c>
      <c r="L248" s="10" t="n">
        <v>212485</v>
      </c>
      <c r="M248" s="12" t="s">
        <v>33</v>
      </c>
      <c r="N248" s="12" t="s">
        <v>34</v>
      </c>
      <c r="P248" s="10" t="n">
        <v>167</v>
      </c>
      <c r="Q248" s="12" t="s">
        <v>220</v>
      </c>
      <c r="R248" s="12" t="s">
        <v>137</v>
      </c>
      <c r="S248" s="10" t="n">
        <v>4210301</v>
      </c>
      <c r="T248" s="12" t="s">
        <v>357</v>
      </c>
      <c r="U248" s="13" t="n">
        <v>397.69</v>
      </c>
      <c r="W248" s="13" t="n">
        <v>0</v>
      </c>
      <c r="X248" s="12" t="s">
        <v>360</v>
      </c>
      <c r="Z248" s="1" t="str">
        <f aca="false">IF($T248="","",IFERROR(INDEX('Resumo Grupos'!$AC$3:$AC$200,MATCH($T248,'Resumo Grupos'!$AB$3:$AB$200,0)),"n/d"))</f>
        <v>Salários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3</v>
      </c>
      <c r="B249" s="11" t="n">
        <v>46209</v>
      </c>
      <c r="C249" s="11" t="n">
        <v>46209</v>
      </c>
      <c r="D249" s="10" t="n">
        <v>10072</v>
      </c>
      <c r="E249" s="12" t="s">
        <v>271</v>
      </c>
      <c r="F249" s="10" t="n">
        <v>7</v>
      </c>
      <c r="G249" s="12" t="s">
        <v>359</v>
      </c>
      <c r="H249" s="10" t="n">
        <v>2110405</v>
      </c>
      <c r="I249" s="12" t="s">
        <v>63</v>
      </c>
      <c r="J249" s="10" t="n">
        <v>1360737</v>
      </c>
      <c r="L249" s="10" t="n">
        <v>212487</v>
      </c>
      <c r="M249" s="12" t="s">
        <v>33</v>
      </c>
      <c r="N249" s="12" t="s">
        <v>34</v>
      </c>
      <c r="P249" s="10" t="n">
        <v>167</v>
      </c>
      <c r="Q249" s="12" t="s">
        <v>220</v>
      </c>
      <c r="R249" s="12" t="s">
        <v>137</v>
      </c>
      <c r="S249" s="10" t="n">
        <v>4210301</v>
      </c>
      <c r="T249" s="12" t="s">
        <v>357</v>
      </c>
      <c r="U249" s="13" t="n">
        <v>414.1</v>
      </c>
      <c r="W249" s="13" t="n">
        <v>0</v>
      </c>
      <c r="X249" s="12" t="s">
        <v>360</v>
      </c>
      <c r="Z249" s="1" t="str">
        <f aca="false">IF($T249="","",IFERROR(INDEX('Resumo Grupos'!$AC$3:$AC$200,MATCH($T249,'Resumo Grupos'!$AB$3:$AB$200,0)),"n/d"))</f>
        <v>Salários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3</v>
      </c>
      <c r="B250" s="11" t="n">
        <v>46209</v>
      </c>
      <c r="C250" s="11" t="n">
        <v>46209</v>
      </c>
      <c r="D250" s="10" t="n">
        <v>200</v>
      </c>
      <c r="E250" s="12" t="s">
        <v>231</v>
      </c>
      <c r="F250" s="10" t="n">
        <v>7</v>
      </c>
      <c r="G250" s="12" t="s">
        <v>359</v>
      </c>
      <c r="H250" s="10" t="n">
        <v>2110405</v>
      </c>
      <c r="I250" s="12" t="s">
        <v>63</v>
      </c>
      <c r="J250" s="10" t="n">
        <v>1360740</v>
      </c>
      <c r="L250" s="10" t="n">
        <v>212488</v>
      </c>
      <c r="M250" s="12" t="s">
        <v>33</v>
      </c>
      <c r="N250" s="12" t="s">
        <v>34</v>
      </c>
      <c r="P250" s="10" t="n">
        <v>167</v>
      </c>
      <c r="Q250" s="12" t="s">
        <v>220</v>
      </c>
      <c r="R250" s="12" t="s">
        <v>137</v>
      </c>
      <c r="S250" s="10" t="n">
        <v>4210301</v>
      </c>
      <c r="T250" s="12" t="s">
        <v>357</v>
      </c>
      <c r="U250" s="13" t="n">
        <v>52.99</v>
      </c>
      <c r="W250" s="13" t="n">
        <v>0</v>
      </c>
      <c r="X250" s="12" t="s">
        <v>360</v>
      </c>
      <c r="Z250" s="1" t="str">
        <f aca="false">IF($T250="","",IFERROR(INDEX('Resumo Grupos'!$AC$3:$AC$200,MATCH($T250,'Resumo Grupos'!$AB$3:$AB$200,0)),"n/d"))</f>
        <v>Salários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3</v>
      </c>
      <c r="B251" s="11" t="n">
        <v>46209</v>
      </c>
      <c r="C251" s="11" t="n">
        <v>46209</v>
      </c>
      <c r="D251" s="10" t="n">
        <v>32</v>
      </c>
      <c r="E251" s="12" t="s">
        <v>361</v>
      </c>
      <c r="F251" s="10" t="n">
        <v>7</v>
      </c>
      <c r="G251" s="12" t="s">
        <v>359</v>
      </c>
      <c r="H251" s="10" t="n">
        <v>2110405</v>
      </c>
      <c r="I251" s="12" t="s">
        <v>63</v>
      </c>
      <c r="J251" s="10" t="n">
        <v>1360743</v>
      </c>
      <c r="L251" s="10" t="n">
        <v>212489</v>
      </c>
      <c r="M251" s="12" t="s">
        <v>33</v>
      </c>
      <c r="N251" s="12" t="s">
        <v>34</v>
      </c>
      <c r="P251" s="10" t="n">
        <v>167</v>
      </c>
      <c r="Q251" s="12" t="s">
        <v>220</v>
      </c>
      <c r="R251" s="12" t="s">
        <v>137</v>
      </c>
      <c r="S251" s="10" t="n">
        <v>4210301</v>
      </c>
      <c r="T251" s="12" t="s">
        <v>357</v>
      </c>
      <c r="U251" s="13" t="n">
        <v>785.09</v>
      </c>
      <c r="W251" s="13" t="n">
        <v>0</v>
      </c>
      <c r="X251" s="12" t="s">
        <v>360</v>
      </c>
      <c r="Z251" s="1" t="str">
        <f aca="false">IF($T251="","",IFERROR(INDEX('Resumo Grupos'!$AC$3:$AC$200,MATCH($T251,'Resumo Grupos'!$AB$3:$AB$200,0)),"n/d"))</f>
        <v>Salários</v>
      </c>
      <c r="AA251" s="1" t="str">
        <f aca="false">IF($T251="","",IF(COUNTIF('Resumo Grupos'!$AE$3:$AE$40,$T251)&gt;0,"NAO","SIM"))</f>
        <v>SIM</v>
      </c>
    </row>
    <row r="252" customFormat="false" ht="36.75" hidden="false" customHeight="true" outlineLevel="0" collapsed="false">
      <c r="A252" s="10" t="n">
        <v>3</v>
      </c>
      <c r="B252" s="11" t="n">
        <v>46209</v>
      </c>
      <c r="C252" s="11" t="n">
        <v>46209</v>
      </c>
      <c r="D252" s="10" t="n">
        <v>429</v>
      </c>
      <c r="E252" s="12" t="s">
        <v>362</v>
      </c>
      <c r="F252" s="10" t="n">
        <v>7</v>
      </c>
      <c r="G252" s="12" t="s">
        <v>359</v>
      </c>
      <c r="H252" s="10" t="n">
        <v>2110405</v>
      </c>
      <c r="I252" s="12" t="s">
        <v>63</v>
      </c>
      <c r="J252" s="10" t="n">
        <v>1360748</v>
      </c>
      <c r="L252" s="10" t="n">
        <v>212491</v>
      </c>
      <c r="M252" s="12" t="s">
        <v>33</v>
      </c>
      <c r="N252" s="12" t="s">
        <v>34</v>
      </c>
      <c r="P252" s="10" t="n">
        <v>167</v>
      </c>
      <c r="Q252" s="12" t="s">
        <v>220</v>
      </c>
      <c r="R252" s="12" t="s">
        <v>137</v>
      </c>
      <c r="S252" s="10" t="n">
        <v>4210301</v>
      </c>
      <c r="T252" s="12" t="s">
        <v>357</v>
      </c>
      <c r="U252" s="13" t="n">
        <v>398.07</v>
      </c>
      <c r="W252" s="13" t="n">
        <v>0</v>
      </c>
      <c r="X252" s="12" t="s">
        <v>360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3</v>
      </c>
      <c r="B253" s="11" t="n">
        <v>46209</v>
      </c>
      <c r="C253" s="11" t="n">
        <v>46209</v>
      </c>
      <c r="D253" s="10" t="n">
        <v>41</v>
      </c>
      <c r="E253" s="12" t="s">
        <v>228</v>
      </c>
      <c r="F253" s="10" t="n">
        <v>11</v>
      </c>
      <c r="G253" s="12" t="s">
        <v>363</v>
      </c>
      <c r="H253" s="10" t="n">
        <v>2110405</v>
      </c>
      <c r="I253" s="12" t="s">
        <v>63</v>
      </c>
      <c r="J253" s="10" t="n">
        <v>1360762</v>
      </c>
      <c r="L253" s="10" t="n">
        <v>212493</v>
      </c>
      <c r="M253" s="12" t="s">
        <v>33</v>
      </c>
      <c r="N253" s="12" t="s">
        <v>34</v>
      </c>
      <c r="P253" s="10" t="n">
        <v>167</v>
      </c>
      <c r="Q253" s="12" t="s">
        <v>220</v>
      </c>
      <c r="R253" s="12" t="s">
        <v>137</v>
      </c>
      <c r="S253" s="10" t="n">
        <v>4210301</v>
      </c>
      <c r="T253" s="12" t="s">
        <v>357</v>
      </c>
      <c r="U253" s="13" t="n">
        <v>500</v>
      </c>
      <c r="W253" s="13" t="n">
        <v>500</v>
      </c>
      <c r="X253" s="12" t="s">
        <v>364</v>
      </c>
      <c r="Z253" s="1" t="str">
        <f aca="false">IF($T253="","",IFERROR(INDEX('Resumo Grupos'!$AC$3:$AC$200,MATCH($T253,'Resumo Grupos'!$AB$3:$AB$200,0)),"n/d"))</f>
        <v>Salários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3</v>
      </c>
      <c r="B254" s="11" t="n">
        <v>46209</v>
      </c>
      <c r="C254" s="11" t="n">
        <v>46209</v>
      </c>
      <c r="D254" s="10" t="n">
        <v>83</v>
      </c>
      <c r="E254" s="12" t="s">
        <v>60</v>
      </c>
      <c r="F254" s="10" t="n">
        <v>11</v>
      </c>
      <c r="G254" s="12" t="s">
        <v>363</v>
      </c>
      <c r="H254" s="10" t="n">
        <v>2110405</v>
      </c>
      <c r="I254" s="12" t="s">
        <v>63</v>
      </c>
      <c r="J254" s="10" t="n">
        <v>1360767</v>
      </c>
      <c r="L254" s="10" t="n">
        <v>212495</v>
      </c>
      <c r="M254" s="12" t="s">
        <v>33</v>
      </c>
      <c r="N254" s="12" t="s">
        <v>34</v>
      </c>
      <c r="P254" s="10" t="n">
        <v>167</v>
      </c>
      <c r="Q254" s="12" t="s">
        <v>220</v>
      </c>
      <c r="R254" s="12" t="s">
        <v>137</v>
      </c>
      <c r="S254" s="10" t="n">
        <v>4210301</v>
      </c>
      <c r="T254" s="12" t="s">
        <v>357</v>
      </c>
      <c r="U254" s="13" t="n">
        <v>200</v>
      </c>
      <c r="W254" s="13" t="n">
        <v>200</v>
      </c>
      <c r="X254" s="12" t="s">
        <v>364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0" t="n">
        <v>3</v>
      </c>
      <c r="B255" s="11" t="n">
        <v>46209</v>
      </c>
      <c r="C255" s="11" t="n">
        <v>46209</v>
      </c>
      <c r="D255" s="10" t="n">
        <v>16</v>
      </c>
      <c r="E255" s="12" t="s">
        <v>365</v>
      </c>
      <c r="F255" s="10" t="n">
        <v>11</v>
      </c>
      <c r="G255" s="12" t="s">
        <v>363</v>
      </c>
      <c r="H255" s="10" t="n">
        <v>2110405</v>
      </c>
      <c r="I255" s="12" t="s">
        <v>63</v>
      </c>
      <c r="J255" s="10" t="n">
        <v>1360770</v>
      </c>
      <c r="L255" s="10" t="n">
        <v>212497</v>
      </c>
      <c r="M255" s="12" t="s">
        <v>33</v>
      </c>
      <c r="N255" s="12" t="s">
        <v>34</v>
      </c>
      <c r="P255" s="10" t="n">
        <v>167</v>
      </c>
      <c r="Q255" s="12" t="s">
        <v>220</v>
      </c>
      <c r="R255" s="12" t="s">
        <v>137</v>
      </c>
      <c r="S255" s="10" t="n">
        <v>4210301</v>
      </c>
      <c r="T255" s="12" t="s">
        <v>357</v>
      </c>
      <c r="U255" s="13" t="n">
        <v>300</v>
      </c>
      <c r="W255" s="13" t="n">
        <v>300</v>
      </c>
      <c r="X255" s="12" t="s">
        <v>364</v>
      </c>
      <c r="Z255" s="1" t="str">
        <f aca="false">IF($T255="","",IFERROR(INDEX('Resumo Grupos'!$AC$3:$AC$200,MATCH($T255,'Resumo Grupos'!$AB$3:$AB$200,0)),"n/d"))</f>
        <v>Salários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3</v>
      </c>
      <c r="B256" s="11" t="n">
        <v>46209</v>
      </c>
      <c r="C256" s="11" t="n">
        <v>46209</v>
      </c>
      <c r="D256" s="10" t="n">
        <v>10035</v>
      </c>
      <c r="E256" s="12" t="s">
        <v>300</v>
      </c>
      <c r="F256" s="10" t="n">
        <v>13</v>
      </c>
      <c r="G256" s="12" t="s">
        <v>91</v>
      </c>
      <c r="H256" s="10" t="n">
        <v>2110101</v>
      </c>
      <c r="I256" s="12" t="s">
        <v>32</v>
      </c>
      <c r="J256" s="10" t="n">
        <v>1364295</v>
      </c>
      <c r="L256" s="10" t="n">
        <v>346</v>
      </c>
      <c r="M256" s="12" t="s">
        <v>33</v>
      </c>
      <c r="N256" s="12" t="s">
        <v>40</v>
      </c>
      <c r="P256" s="10" t="n">
        <v>167</v>
      </c>
      <c r="Q256" s="12" t="s">
        <v>220</v>
      </c>
      <c r="R256" s="12" t="s">
        <v>36</v>
      </c>
      <c r="S256" s="10" t="n">
        <v>1130101</v>
      </c>
      <c r="T256" s="12" t="s">
        <v>37</v>
      </c>
      <c r="U256" s="13" t="n">
        <v>320</v>
      </c>
      <c r="W256" s="13" t="n">
        <v>320</v>
      </c>
      <c r="X256" s="12" t="s">
        <v>366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3</v>
      </c>
      <c r="B257" s="11" t="n">
        <v>46212</v>
      </c>
      <c r="C257" s="11" t="n">
        <v>46209</v>
      </c>
      <c r="D257" s="10" t="n">
        <v>32</v>
      </c>
      <c r="E257" s="12" t="s">
        <v>361</v>
      </c>
      <c r="F257" s="10" t="n">
        <v>34</v>
      </c>
      <c r="G257" s="12" t="s">
        <v>58</v>
      </c>
      <c r="H257" s="10" t="n">
        <v>1110204</v>
      </c>
      <c r="I257" s="12" t="s">
        <v>177</v>
      </c>
      <c r="J257" s="10" t="n">
        <v>473910</v>
      </c>
      <c r="L257" s="10" t="n">
        <v>72893</v>
      </c>
      <c r="M257" s="12" t="s">
        <v>367</v>
      </c>
      <c r="N257" s="12" t="s">
        <v>34</v>
      </c>
      <c r="P257" s="10" t="n">
        <v>102</v>
      </c>
      <c r="Q257" s="12" t="s">
        <v>141</v>
      </c>
      <c r="R257" s="12" t="s">
        <v>222</v>
      </c>
      <c r="S257" s="10" t="n">
        <v>4220199</v>
      </c>
      <c r="T257" s="12" t="s">
        <v>223</v>
      </c>
      <c r="U257" s="13" t="n">
        <v>3900.29</v>
      </c>
      <c r="W257" s="13" t="n">
        <v>0</v>
      </c>
      <c r="X257" s="12" t="s">
        <v>368</v>
      </c>
      <c r="Z257" s="1" t="str">
        <f aca="false">IF($T257="","",IFERROR(INDEX('Resumo Grupos'!$AC$3:$AC$200,MATCH($T257,'Resumo Grupos'!$AB$3:$AB$200,0)),"n/d"))</f>
        <v>Pagamentos outros não operacionais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3</v>
      </c>
      <c r="B258" s="11" t="n">
        <v>46209</v>
      </c>
      <c r="C258" s="11" t="n">
        <v>46209</v>
      </c>
      <c r="D258" s="10" t="n">
        <v>10047</v>
      </c>
      <c r="E258" s="12" t="s">
        <v>140</v>
      </c>
      <c r="F258" s="10" t="n">
        <v>24</v>
      </c>
      <c r="G258" s="12" t="s">
        <v>31</v>
      </c>
      <c r="H258" s="10" t="n">
        <v>1110204</v>
      </c>
      <c r="I258" s="12" t="s">
        <v>177</v>
      </c>
      <c r="J258" s="10" t="n">
        <v>1375863</v>
      </c>
      <c r="L258" s="10" t="n">
        <v>214597</v>
      </c>
      <c r="M258" s="12" t="s">
        <v>33</v>
      </c>
      <c r="N258" s="12" t="s">
        <v>34</v>
      </c>
      <c r="P258" s="10" t="n">
        <v>102</v>
      </c>
      <c r="Q258" s="12" t="s">
        <v>141</v>
      </c>
      <c r="R258" s="12" t="s">
        <v>36</v>
      </c>
      <c r="S258" s="10" t="n">
        <v>1130101</v>
      </c>
      <c r="T258" s="12" t="s">
        <v>37</v>
      </c>
      <c r="U258" s="13" t="n">
        <v>512.29</v>
      </c>
      <c r="W258" s="13" t="n">
        <v>0</v>
      </c>
      <c r="X258" s="12" t="s">
        <v>369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3</v>
      </c>
      <c r="B259" s="11" t="n">
        <v>46209</v>
      </c>
      <c r="C259" s="11" t="n">
        <v>46209</v>
      </c>
      <c r="D259" s="10" t="n">
        <v>1807</v>
      </c>
      <c r="E259" s="12" t="s">
        <v>168</v>
      </c>
      <c r="F259" s="10" t="n">
        <v>24</v>
      </c>
      <c r="G259" s="12" t="s">
        <v>31</v>
      </c>
      <c r="H259" s="10" t="n">
        <v>1110204</v>
      </c>
      <c r="I259" s="12" t="s">
        <v>177</v>
      </c>
      <c r="J259" s="10" t="n">
        <v>1381727</v>
      </c>
      <c r="L259" s="10" t="n">
        <v>215572</v>
      </c>
      <c r="M259" s="12" t="s">
        <v>33</v>
      </c>
      <c r="N259" s="12" t="s">
        <v>34</v>
      </c>
      <c r="P259" s="10" t="n">
        <v>102</v>
      </c>
      <c r="Q259" s="12" t="s">
        <v>141</v>
      </c>
      <c r="R259" s="12" t="s">
        <v>169</v>
      </c>
      <c r="S259" s="10" t="n">
        <v>2110701</v>
      </c>
      <c r="T259" s="12" t="s">
        <v>175</v>
      </c>
      <c r="U259" s="13" t="n">
        <v>3.64</v>
      </c>
      <c r="W259" s="13" t="n">
        <v>0</v>
      </c>
      <c r="X259" s="12" t="s">
        <v>370</v>
      </c>
      <c r="Z259" s="1" t="str">
        <f aca="false">IF($T259="","",IFERROR(INDEX('Resumo Grupos'!$AC$3:$AC$200,MATCH($T259,'Resumo Grupos'!$AB$3:$AB$200,0)),"n/d"))</f>
        <v>Impostos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3</v>
      </c>
      <c r="B260" s="11" t="n">
        <v>46214</v>
      </c>
      <c r="C260" s="11" t="n">
        <v>46209</v>
      </c>
      <c r="D260" s="10" t="n">
        <v>33</v>
      </c>
      <c r="E260" s="12" t="s">
        <v>297</v>
      </c>
      <c r="F260" s="10" t="n">
        <v>34</v>
      </c>
      <c r="G260" s="12" t="s">
        <v>58</v>
      </c>
      <c r="H260" s="10" t="n">
        <v>2110405</v>
      </c>
      <c r="I260" s="12" t="s">
        <v>63</v>
      </c>
      <c r="J260" s="10" t="n">
        <v>911199</v>
      </c>
      <c r="L260" s="10" t="n">
        <v>143958</v>
      </c>
      <c r="M260" s="12" t="s">
        <v>371</v>
      </c>
      <c r="N260" s="12" t="s">
        <v>34</v>
      </c>
      <c r="P260" s="10" t="n">
        <v>102</v>
      </c>
      <c r="Q260" s="12" t="s">
        <v>141</v>
      </c>
      <c r="R260" s="12" t="s">
        <v>372</v>
      </c>
      <c r="S260" s="10" t="n">
        <v>2210202</v>
      </c>
      <c r="T260" s="12" t="s">
        <v>372</v>
      </c>
      <c r="U260" s="13" t="n">
        <v>1000</v>
      </c>
      <c r="W260" s="13" t="n">
        <v>0</v>
      </c>
      <c r="X260" s="12" t="s">
        <v>373</v>
      </c>
      <c r="Z260" s="1" t="str">
        <f aca="false">IF($T260="","",IFERROR(INDEX('Resumo Grupos'!$AC$3:$AC$200,MATCH($T260,'Resumo Grupos'!$AB$3:$AB$200,0)),"n/d"))</f>
        <v>Empréstimo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3</v>
      </c>
      <c r="B261" s="11" t="n">
        <v>46214</v>
      </c>
      <c r="C261" s="11" t="n">
        <v>46209</v>
      </c>
      <c r="D261" s="10" t="n">
        <v>33</v>
      </c>
      <c r="E261" s="12" t="s">
        <v>297</v>
      </c>
      <c r="F261" s="10" t="n">
        <v>34</v>
      </c>
      <c r="G261" s="12" t="s">
        <v>58</v>
      </c>
      <c r="H261" s="10" t="n">
        <v>2110405</v>
      </c>
      <c r="I261" s="12" t="s">
        <v>63</v>
      </c>
      <c r="J261" s="10" t="n">
        <v>1053887</v>
      </c>
      <c r="L261" s="10" t="n">
        <v>166257</v>
      </c>
      <c r="M261" s="12" t="s">
        <v>349</v>
      </c>
      <c r="N261" s="12" t="s">
        <v>34</v>
      </c>
      <c r="P261" s="10" t="n">
        <v>102</v>
      </c>
      <c r="Q261" s="12" t="s">
        <v>141</v>
      </c>
      <c r="R261" s="12" t="s">
        <v>137</v>
      </c>
      <c r="S261" s="10" t="n">
        <v>4210301</v>
      </c>
      <c r="T261" s="12" t="s">
        <v>357</v>
      </c>
      <c r="U261" s="13" t="n">
        <v>362.3</v>
      </c>
      <c r="W261" s="13" t="n">
        <v>0</v>
      </c>
      <c r="X261" s="12" t="s">
        <v>374</v>
      </c>
      <c r="Z261" s="1" t="str">
        <f aca="false">IF($T261="","",IFERROR(INDEX('Resumo Grupos'!$AC$3:$AC$200,MATCH($T261,'Resumo Grupos'!$AB$3:$AB$200,0)),"n/d"))</f>
        <v>Salários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3</v>
      </c>
      <c r="B262" s="11" t="n">
        <v>46156</v>
      </c>
      <c r="C262" s="11" t="n">
        <v>46210</v>
      </c>
      <c r="D262" s="10" t="n">
        <v>1711</v>
      </c>
      <c r="E262" s="12" t="s">
        <v>186</v>
      </c>
      <c r="F262" s="10" t="n">
        <v>24</v>
      </c>
      <c r="G262" s="12" t="s">
        <v>31</v>
      </c>
      <c r="H262" s="10" t="n">
        <v>2110101</v>
      </c>
      <c r="I262" s="12" t="s">
        <v>32</v>
      </c>
      <c r="J262" s="10" t="n">
        <v>1101951</v>
      </c>
      <c r="L262" s="10" t="n">
        <v>1549195</v>
      </c>
      <c r="M262" s="12" t="s">
        <v>33</v>
      </c>
      <c r="N262" s="12" t="s">
        <v>34</v>
      </c>
      <c r="P262" s="10" t="n">
        <v>129</v>
      </c>
      <c r="Q262" s="12" t="s">
        <v>60</v>
      </c>
      <c r="R262" s="12" t="s">
        <v>36</v>
      </c>
      <c r="S262" s="10" t="n">
        <v>1130101</v>
      </c>
      <c r="T262" s="12" t="s">
        <v>37</v>
      </c>
      <c r="U262" s="13" t="n">
        <v>565.55</v>
      </c>
      <c r="W262" s="13" t="n">
        <v>0</v>
      </c>
      <c r="X262" s="12" t="s">
        <v>375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54.75" hidden="false" customHeight="true" outlineLevel="0" collapsed="false">
      <c r="A263" s="10" t="n">
        <v>3</v>
      </c>
      <c r="B263" s="11" t="n">
        <v>46175</v>
      </c>
      <c r="C263" s="11" t="n">
        <v>46210</v>
      </c>
      <c r="D263" s="10" t="n">
        <v>1659</v>
      </c>
      <c r="E263" s="12" t="s">
        <v>30</v>
      </c>
      <c r="F263" s="10" t="n">
        <v>24</v>
      </c>
      <c r="G263" s="12" t="s">
        <v>31</v>
      </c>
      <c r="H263" s="10" t="n">
        <v>2110101</v>
      </c>
      <c r="I263" s="12" t="s">
        <v>32</v>
      </c>
      <c r="J263" s="10" t="n">
        <v>1197369</v>
      </c>
      <c r="L263" s="10" t="n">
        <v>8763153</v>
      </c>
      <c r="M263" s="12" t="s">
        <v>33</v>
      </c>
      <c r="N263" s="12" t="s">
        <v>34</v>
      </c>
      <c r="P263" s="10" t="n">
        <v>128</v>
      </c>
      <c r="Q263" s="12" t="s">
        <v>35</v>
      </c>
      <c r="R263" s="12" t="s">
        <v>36</v>
      </c>
      <c r="S263" s="10" t="n">
        <v>1130101</v>
      </c>
      <c r="T263" s="12" t="s">
        <v>37</v>
      </c>
      <c r="U263" s="13" t="n">
        <v>434.48</v>
      </c>
      <c r="W263" s="13" t="n">
        <v>0</v>
      </c>
      <c r="X263" s="12" t="s">
        <v>376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54.75" hidden="false" customHeight="true" outlineLevel="0" collapsed="false">
      <c r="A264" s="10" t="n">
        <v>3</v>
      </c>
      <c r="B264" s="11" t="n">
        <v>46178</v>
      </c>
      <c r="C264" s="11" t="n">
        <v>46210</v>
      </c>
      <c r="D264" s="10" t="n">
        <v>666</v>
      </c>
      <c r="E264" s="12" t="s">
        <v>101</v>
      </c>
      <c r="F264" s="10" t="n">
        <v>24</v>
      </c>
      <c r="G264" s="12" t="s">
        <v>31</v>
      </c>
      <c r="H264" s="10" t="n">
        <v>2110101</v>
      </c>
      <c r="I264" s="12" t="s">
        <v>32</v>
      </c>
      <c r="J264" s="10" t="n">
        <v>1206851</v>
      </c>
      <c r="L264" s="10" t="n">
        <v>77713</v>
      </c>
      <c r="M264" s="12" t="s">
        <v>33</v>
      </c>
      <c r="N264" s="12" t="s">
        <v>34</v>
      </c>
      <c r="P264" s="10" t="n">
        <v>128</v>
      </c>
      <c r="Q264" s="12" t="s">
        <v>35</v>
      </c>
      <c r="R264" s="12" t="s">
        <v>36</v>
      </c>
      <c r="S264" s="10" t="n">
        <v>1130101</v>
      </c>
      <c r="T264" s="12" t="s">
        <v>37</v>
      </c>
      <c r="U264" s="13" t="n">
        <v>755.9</v>
      </c>
      <c r="W264" s="13" t="n">
        <v>0</v>
      </c>
      <c r="X264" s="12" t="s">
        <v>377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54.75" hidden="false" customHeight="true" outlineLevel="0" collapsed="false">
      <c r="A265" s="10" t="n">
        <v>3</v>
      </c>
      <c r="B265" s="11" t="n">
        <v>46178</v>
      </c>
      <c r="C265" s="11" t="n">
        <v>46210</v>
      </c>
      <c r="D265" s="10" t="n">
        <v>1911</v>
      </c>
      <c r="E265" s="12" t="s">
        <v>62</v>
      </c>
      <c r="F265" s="10" t="n">
        <v>24</v>
      </c>
      <c r="G265" s="12" t="s">
        <v>31</v>
      </c>
      <c r="H265" s="10" t="n">
        <v>2110405</v>
      </c>
      <c r="I265" s="12" t="s">
        <v>63</v>
      </c>
      <c r="J265" s="10" t="n">
        <v>1210754</v>
      </c>
      <c r="L265" s="10" t="n">
        <v>653753</v>
      </c>
      <c r="M265" s="12" t="s">
        <v>33</v>
      </c>
      <c r="N265" s="12" t="s">
        <v>34</v>
      </c>
      <c r="P265" s="10" t="n">
        <v>128</v>
      </c>
      <c r="Q265" s="12" t="s">
        <v>35</v>
      </c>
      <c r="R265" s="12" t="s">
        <v>64</v>
      </c>
      <c r="S265" s="10" t="n">
        <v>4210227</v>
      </c>
      <c r="T265" s="12" t="s">
        <v>65</v>
      </c>
      <c r="U265" s="13" t="n">
        <v>462.4</v>
      </c>
      <c r="W265" s="13" t="n">
        <v>0</v>
      </c>
      <c r="X265" s="12" t="s">
        <v>378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3</v>
      </c>
      <c r="B266" s="11" t="n">
        <v>46183</v>
      </c>
      <c r="C266" s="11" t="n">
        <v>46210</v>
      </c>
      <c r="D266" s="10" t="n">
        <v>1699</v>
      </c>
      <c r="E266" s="12" t="s">
        <v>87</v>
      </c>
      <c r="F266" s="10" t="n">
        <v>24</v>
      </c>
      <c r="G266" s="12" t="s">
        <v>31</v>
      </c>
      <c r="H266" s="10" t="n">
        <v>2110101</v>
      </c>
      <c r="I266" s="12" t="s">
        <v>32</v>
      </c>
      <c r="J266" s="10" t="n">
        <v>1235711</v>
      </c>
      <c r="L266" s="10" t="n">
        <v>3041742</v>
      </c>
      <c r="M266" s="12" t="s">
        <v>33</v>
      </c>
      <c r="N266" s="12" t="s">
        <v>34</v>
      </c>
      <c r="P266" s="10" t="n">
        <v>128</v>
      </c>
      <c r="Q266" s="12" t="s">
        <v>35</v>
      </c>
      <c r="R266" s="12" t="s">
        <v>36</v>
      </c>
      <c r="S266" s="10" t="n">
        <v>1130101</v>
      </c>
      <c r="T266" s="12" t="s">
        <v>37</v>
      </c>
      <c r="U266" s="13" t="n">
        <v>1244.8</v>
      </c>
      <c r="W266" s="13" t="n">
        <v>0</v>
      </c>
      <c r="X266" s="12" t="s">
        <v>379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3</v>
      </c>
      <c r="B267" s="11" t="n">
        <v>46184</v>
      </c>
      <c r="C267" s="11" t="n">
        <v>46210</v>
      </c>
      <c r="D267" s="10" t="n">
        <v>1136</v>
      </c>
      <c r="E267" s="12" t="s">
        <v>123</v>
      </c>
      <c r="F267" s="10" t="n">
        <v>24</v>
      </c>
      <c r="G267" s="12" t="s">
        <v>31</v>
      </c>
      <c r="H267" s="10" t="n">
        <v>2110101</v>
      </c>
      <c r="I267" s="12" t="s">
        <v>32</v>
      </c>
      <c r="J267" s="10" t="n">
        <v>1241435</v>
      </c>
      <c r="L267" s="10" t="n">
        <v>498832</v>
      </c>
      <c r="M267" s="12" t="s">
        <v>33</v>
      </c>
      <c r="N267" s="12" t="s">
        <v>34</v>
      </c>
      <c r="P267" s="10" t="n">
        <v>128</v>
      </c>
      <c r="Q267" s="12" t="s">
        <v>35</v>
      </c>
      <c r="R267" s="12" t="s">
        <v>36</v>
      </c>
      <c r="S267" s="10" t="n">
        <v>1130101</v>
      </c>
      <c r="T267" s="12" t="s">
        <v>37</v>
      </c>
      <c r="U267" s="13" t="n">
        <v>991.48</v>
      </c>
      <c r="W267" s="13" t="n">
        <v>0</v>
      </c>
      <c r="X267" s="12" t="s">
        <v>380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3</v>
      </c>
      <c r="B268" s="11" t="n">
        <v>46185</v>
      </c>
      <c r="C268" s="11" t="n">
        <v>46210</v>
      </c>
      <c r="D268" s="10" t="n">
        <v>1678</v>
      </c>
      <c r="E268" s="12" t="s">
        <v>42</v>
      </c>
      <c r="F268" s="10" t="n">
        <v>24</v>
      </c>
      <c r="G268" s="12" t="s">
        <v>31</v>
      </c>
      <c r="H268" s="10" t="n">
        <v>2110101</v>
      </c>
      <c r="I268" s="12" t="s">
        <v>32</v>
      </c>
      <c r="J268" s="10" t="n">
        <v>1243950</v>
      </c>
      <c r="L268" s="10" t="n">
        <v>255322</v>
      </c>
      <c r="M268" s="12" t="s">
        <v>33</v>
      </c>
      <c r="N268" s="12" t="s">
        <v>34</v>
      </c>
      <c r="P268" s="10" t="n">
        <v>128</v>
      </c>
      <c r="Q268" s="12" t="s">
        <v>35</v>
      </c>
      <c r="R268" s="12" t="s">
        <v>36</v>
      </c>
      <c r="S268" s="10" t="n">
        <v>1130101</v>
      </c>
      <c r="T268" s="12" t="s">
        <v>37</v>
      </c>
      <c r="U268" s="13" t="n">
        <v>870.75</v>
      </c>
      <c r="W268" s="13" t="n">
        <v>0</v>
      </c>
      <c r="X268" s="12" t="s">
        <v>381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3</v>
      </c>
      <c r="B269" s="11" t="n">
        <v>46184</v>
      </c>
      <c r="C269" s="11" t="n">
        <v>46210</v>
      </c>
      <c r="D269" s="10" t="n">
        <v>1616</v>
      </c>
      <c r="E269" s="12" t="s">
        <v>72</v>
      </c>
      <c r="F269" s="10" t="n">
        <v>24</v>
      </c>
      <c r="G269" s="12" t="s">
        <v>31</v>
      </c>
      <c r="H269" s="10" t="n">
        <v>2110101</v>
      </c>
      <c r="I269" s="12" t="s">
        <v>32</v>
      </c>
      <c r="J269" s="10" t="n">
        <v>1244014</v>
      </c>
      <c r="L269" s="10" t="n">
        <v>6457682</v>
      </c>
      <c r="M269" s="12" t="s">
        <v>33</v>
      </c>
      <c r="N269" s="12" t="s">
        <v>34</v>
      </c>
      <c r="P269" s="10" t="n">
        <v>128</v>
      </c>
      <c r="Q269" s="12" t="s">
        <v>35</v>
      </c>
      <c r="R269" s="12" t="s">
        <v>36</v>
      </c>
      <c r="S269" s="10" t="n">
        <v>1130101</v>
      </c>
      <c r="T269" s="12" t="s">
        <v>37</v>
      </c>
      <c r="U269" s="13" t="n">
        <v>858.24</v>
      </c>
      <c r="W269" s="13" t="n">
        <v>0</v>
      </c>
      <c r="X269" s="12" t="s">
        <v>382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36.75" hidden="false" customHeight="true" outlineLevel="0" collapsed="false">
      <c r="A270" s="10" t="n">
        <v>3</v>
      </c>
      <c r="B270" s="11" t="n">
        <v>46188</v>
      </c>
      <c r="C270" s="11" t="n">
        <v>46210</v>
      </c>
      <c r="D270" s="10" t="n">
        <v>1672</v>
      </c>
      <c r="E270" s="12" t="s">
        <v>93</v>
      </c>
      <c r="F270" s="10" t="n">
        <v>24</v>
      </c>
      <c r="G270" s="12" t="s">
        <v>31</v>
      </c>
      <c r="H270" s="10" t="n">
        <v>2110101</v>
      </c>
      <c r="I270" s="12" t="s">
        <v>32</v>
      </c>
      <c r="J270" s="10" t="n">
        <v>1261057</v>
      </c>
      <c r="L270" s="10" t="n">
        <v>13717251</v>
      </c>
      <c r="M270" s="12" t="s">
        <v>33</v>
      </c>
      <c r="N270" s="12" t="s">
        <v>34</v>
      </c>
      <c r="P270" s="10" t="n">
        <v>128</v>
      </c>
      <c r="Q270" s="12" t="s">
        <v>35</v>
      </c>
      <c r="R270" s="12" t="s">
        <v>36</v>
      </c>
      <c r="S270" s="10" t="n">
        <v>1130101</v>
      </c>
      <c r="T270" s="12" t="s">
        <v>37</v>
      </c>
      <c r="U270" s="13" t="n">
        <v>210</v>
      </c>
      <c r="W270" s="13" t="n">
        <v>0</v>
      </c>
      <c r="X270" s="12" t="s">
        <v>383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3</v>
      </c>
      <c r="B271" s="11" t="n">
        <v>46189</v>
      </c>
      <c r="C271" s="11" t="n">
        <v>46210</v>
      </c>
      <c r="D271" s="10" t="n">
        <v>1916</v>
      </c>
      <c r="E271" s="12" t="s">
        <v>384</v>
      </c>
      <c r="F271" s="10" t="n">
        <v>24</v>
      </c>
      <c r="G271" s="12" t="s">
        <v>31</v>
      </c>
      <c r="H271" s="10" t="n">
        <v>2110101</v>
      </c>
      <c r="I271" s="12" t="s">
        <v>32</v>
      </c>
      <c r="J271" s="10" t="n">
        <v>1261074</v>
      </c>
      <c r="L271" s="10" t="n">
        <v>39327</v>
      </c>
      <c r="M271" s="12" t="s">
        <v>33</v>
      </c>
      <c r="N271" s="12" t="s">
        <v>40</v>
      </c>
      <c r="P271" s="10" t="n">
        <v>128</v>
      </c>
      <c r="Q271" s="12" t="s">
        <v>35</v>
      </c>
      <c r="R271" s="12" t="s">
        <v>36</v>
      </c>
      <c r="S271" s="10" t="n">
        <v>1130101</v>
      </c>
      <c r="T271" s="12" t="s">
        <v>37</v>
      </c>
      <c r="U271" s="13" t="n">
        <v>137.5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3</v>
      </c>
      <c r="B272" s="11" t="n">
        <v>46189</v>
      </c>
      <c r="C272" s="11" t="n">
        <v>46210</v>
      </c>
      <c r="D272" s="10" t="n">
        <v>1916</v>
      </c>
      <c r="E272" s="12" t="s">
        <v>384</v>
      </c>
      <c r="F272" s="10" t="n">
        <v>24</v>
      </c>
      <c r="G272" s="12" t="s">
        <v>31</v>
      </c>
      <c r="H272" s="10" t="n">
        <v>2110101</v>
      </c>
      <c r="I272" s="12" t="s">
        <v>32</v>
      </c>
      <c r="J272" s="10" t="n">
        <v>1261084</v>
      </c>
      <c r="L272" s="10" t="n">
        <v>2414</v>
      </c>
      <c r="M272" s="12" t="s">
        <v>33</v>
      </c>
      <c r="N272" s="12" t="s">
        <v>40</v>
      </c>
      <c r="P272" s="10" t="n">
        <v>128</v>
      </c>
      <c r="Q272" s="12" t="s">
        <v>35</v>
      </c>
      <c r="R272" s="12" t="s">
        <v>36</v>
      </c>
      <c r="S272" s="10" t="n">
        <v>1130101</v>
      </c>
      <c r="T272" s="12" t="s">
        <v>37</v>
      </c>
      <c r="U272" s="13" t="n">
        <v>105</v>
      </c>
      <c r="W272" s="13" t="n">
        <v>0</v>
      </c>
      <c r="X272" s="12" t="s">
        <v>386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3</v>
      </c>
      <c r="B273" s="11" t="n">
        <v>46193</v>
      </c>
      <c r="C273" s="11" t="n">
        <v>46210</v>
      </c>
      <c r="D273" s="10" t="n">
        <v>1695</v>
      </c>
      <c r="E273" s="12" t="s">
        <v>211</v>
      </c>
      <c r="F273" s="10" t="n">
        <v>24</v>
      </c>
      <c r="G273" s="12" t="s">
        <v>31</v>
      </c>
      <c r="H273" s="10" t="n">
        <v>2110101</v>
      </c>
      <c r="I273" s="12" t="s">
        <v>32</v>
      </c>
      <c r="J273" s="10" t="n">
        <v>1288997</v>
      </c>
      <c r="L273" s="10" t="n">
        <v>187932</v>
      </c>
      <c r="M273" s="12" t="s">
        <v>33</v>
      </c>
      <c r="N273" s="12" t="s">
        <v>34</v>
      </c>
      <c r="P273" s="10" t="n">
        <v>128</v>
      </c>
      <c r="Q273" s="12" t="s">
        <v>35</v>
      </c>
      <c r="R273" s="12" t="s">
        <v>36</v>
      </c>
      <c r="S273" s="10" t="n">
        <v>1130101</v>
      </c>
      <c r="T273" s="12" t="s">
        <v>37</v>
      </c>
      <c r="U273" s="13" t="n">
        <v>521.46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3</v>
      </c>
      <c r="B274" s="11" t="n">
        <v>46193</v>
      </c>
      <c r="C274" s="11" t="n">
        <v>46210</v>
      </c>
      <c r="D274" s="10" t="n">
        <v>1695</v>
      </c>
      <c r="E274" s="12" t="s">
        <v>211</v>
      </c>
      <c r="F274" s="10" t="n">
        <v>34</v>
      </c>
      <c r="G274" s="12" t="s">
        <v>58</v>
      </c>
      <c r="H274" s="10" t="n">
        <v>2110101</v>
      </c>
      <c r="I274" s="12" t="s">
        <v>32</v>
      </c>
      <c r="J274" s="10" t="n">
        <v>1289031</v>
      </c>
      <c r="L274" s="10" t="n">
        <v>201526</v>
      </c>
      <c r="M274" s="12" t="s">
        <v>33</v>
      </c>
      <c r="N274" s="12" t="s">
        <v>34</v>
      </c>
      <c r="P274" s="10" t="n">
        <v>128</v>
      </c>
      <c r="Q274" s="12" t="s">
        <v>35</v>
      </c>
      <c r="R274" s="12" t="s">
        <v>36</v>
      </c>
      <c r="S274" s="10" t="n">
        <v>1130101</v>
      </c>
      <c r="T274" s="12" t="s">
        <v>37</v>
      </c>
      <c r="U274" s="13" t="n">
        <v>126.96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3</v>
      </c>
      <c r="B275" s="11" t="n">
        <v>46196</v>
      </c>
      <c r="C275" s="11" t="n">
        <v>46210</v>
      </c>
      <c r="D275" s="10" t="n">
        <v>42</v>
      </c>
      <c r="E275" s="12" t="s">
        <v>106</v>
      </c>
      <c r="F275" s="10" t="n">
        <v>34</v>
      </c>
      <c r="G275" s="12" t="s">
        <v>58</v>
      </c>
      <c r="H275" s="10" t="n">
        <v>2110101</v>
      </c>
      <c r="I275" s="12" t="s">
        <v>32</v>
      </c>
      <c r="J275" s="10" t="n">
        <v>1294641</v>
      </c>
      <c r="L275" s="10" t="n">
        <v>4302</v>
      </c>
      <c r="M275" s="12" t="s">
        <v>33</v>
      </c>
      <c r="N275" s="12" t="s">
        <v>40</v>
      </c>
      <c r="P275" s="10" t="n">
        <v>128</v>
      </c>
      <c r="Q275" s="12" t="s">
        <v>35</v>
      </c>
      <c r="R275" s="12" t="s">
        <v>36</v>
      </c>
      <c r="S275" s="10" t="n">
        <v>1130101</v>
      </c>
      <c r="T275" s="12" t="s">
        <v>37</v>
      </c>
      <c r="U275" s="13" t="n">
        <v>280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3</v>
      </c>
      <c r="B276" s="11" t="n">
        <v>46197</v>
      </c>
      <c r="C276" s="11" t="n">
        <v>46210</v>
      </c>
      <c r="D276" s="10" t="n">
        <v>42</v>
      </c>
      <c r="E276" s="12" t="s">
        <v>106</v>
      </c>
      <c r="F276" s="10" t="n">
        <v>34</v>
      </c>
      <c r="G276" s="12" t="s">
        <v>58</v>
      </c>
      <c r="H276" s="10" t="n">
        <v>2110101</v>
      </c>
      <c r="I276" s="12" t="s">
        <v>32</v>
      </c>
      <c r="J276" s="10" t="n">
        <v>1299421</v>
      </c>
      <c r="L276" s="10" t="n">
        <v>4306</v>
      </c>
      <c r="M276" s="12" t="s">
        <v>33</v>
      </c>
      <c r="N276" s="12" t="s">
        <v>40</v>
      </c>
      <c r="P276" s="10" t="n">
        <v>128</v>
      </c>
      <c r="Q276" s="12" t="s">
        <v>35</v>
      </c>
      <c r="R276" s="12" t="s">
        <v>36</v>
      </c>
      <c r="S276" s="10" t="n">
        <v>1130101</v>
      </c>
      <c r="T276" s="12" t="s">
        <v>37</v>
      </c>
      <c r="U276" s="13" t="n">
        <v>1190</v>
      </c>
      <c r="W276" s="13" t="n">
        <v>0</v>
      </c>
      <c r="X276" s="12" t="s">
        <v>390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3</v>
      </c>
      <c r="B277" s="11" t="n">
        <v>46206</v>
      </c>
      <c r="C277" s="11" t="n">
        <v>46210</v>
      </c>
      <c r="D277" s="10" t="n">
        <v>42</v>
      </c>
      <c r="E277" s="12" t="s">
        <v>106</v>
      </c>
      <c r="F277" s="10" t="n">
        <v>34</v>
      </c>
      <c r="G277" s="12" t="s">
        <v>58</v>
      </c>
      <c r="H277" s="10" t="n">
        <v>2110101</v>
      </c>
      <c r="I277" s="12" t="s">
        <v>32</v>
      </c>
      <c r="J277" s="10" t="n">
        <v>1345210</v>
      </c>
      <c r="L277" s="10" t="n">
        <v>4348</v>
      </c>
      <c r="M277" s="12" t="s">
        <v>33</v>
      </c>
      <c r="N277" s="12" t="s">
        <v>40</v>
      </c>
      <c r="P277" s="10" t="n">
        <v>167</v>
      </c>
      <c r="Q277" s="12" t="s">
        <v>220</v>
      </c>
      <c r="R277" s="12" t="s">
        <v>36</v>
      </c>
      <c r="S277" s="10" t="n">
        <v>1130101</v>
      </c>
      <c r="T277" s="12" t="s">
        <v>37</v>
      </c>
      <c r="U277" s="13" t="n">
        <v>1615</v>
      </c>
      <c r="W277" s="13" t="n">
        <v>0</v>
      </c>
      <c r="X277" s="12" t="s">
        <v>391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45.75" hidden="false" customHeight="true" outlineLevel="0" collapsed="false">
      <c r="A278" s="10" t="n">
        <v>3</v>
      </c>
      <c r="B278" s="11" t="n">
        <v>46200</v>
      </c>
      <c r="C278" s="11" t="n">
        <v>46210</v>
      </c>
      <c r="D278" s="10" t="n">
        <v>1828</v>
      </c>
      <c r="E278" s="12" t="s">
        <v>52</v>
      </c>
      <c r="F278" s="10" t="n">
        <v>24</v>
      </c>
      <c r="G278" s="12" t="s">
        <v>31</v>
      </c>
      <c r="H278" s="10" t="n">
        <v>2110101</v>
      </c>
      <c r="I278" s="12" t="s">
        <v>32</v>
      </c>
      <c r="J278" s="10" t="n">
        <v>1312290</v>
      </c>
      <c r="L278" s="10" t="n">
        <v>1354</v>
      </c>
      <c r="M278" s="12" t="s">
        <v>33</v>
      </c>
      <c r="N278" s="12" t="s">
        <v>40</v>
      </c>
      <c r="P278" s="10" t="n">
        <v>128</v>
      </c>
      <c r="Q278" s="12" t="s">
        <v>35</v>
      </c>
      <c r="R278" s="12" t="s">
        <v>36</v>
      </c>
      <c r="S278" s="10" t="n">
        <v>1130101</v>
      </c>
      <c r="T278" s="12" t="s">
        <v>37</v>
      </c>
      <c r="U278" s="13" t="n">
        <v>931.6</v>
      </c>
      <c r="W278" s="13" t="n">
        <v>0</v>
      </c>
      <c r="X278" s="12" t="s">
        <v>392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3</v>
      </c>
      <c r="B279" s="11" t="n">
        <v>46199</v>
      </c>
      <c r="C279" s="11" t="n">
        <v>46210</v>
      </c>
      <c r="D279" s="10" t="n">
        <v>489</v>
      </c>
      <c r="E279" s="12" t="s">
        <v>393</v>
      </c>
      <c r="F279" s="10" t="n">
        <v>34</v>
      </c>
      <c r="G279" s="12" t="s">
        <v>58</v>
      </c>
      <c r="H279" s="10" t="n">
        <v>2110101</v>
      </c>
      <c r="I279" s="12" t="s">
        <v>32</v>
      </c>
      <c r="J279" s="10" t="n">
        <v>1312580</v>
      </c>
      <c r="L279" s="10" t="n">
        <v>205119</v>
      </c>
      <c r="M279" s="12" t="s">
        <v>33</v>
      </c>
      <c r="N279" s="12" t="s">
        <v>34</v>
      </c>
      <c r="P279" s="10" t="n">
        <v>128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400</v>
      </c>
      <c r="W279" s="13" t="n">
        <v>0</v>
      </c>
      <c r="X279" s="12" t="s">
        <v>394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3</v>
      </c>
      <c r="B280" s="11" t="n">
        <v>46197</v>
      </c>
      <c r="C280" s="11" t="n">
        <v>46210</v>
      </c>
      <c r="D280" s="10" t="n">
        <v>1723</v>
      </c>
      <c r="E280" s="12" t="s">
        <v>54</v>
      </c>
      <c r="F280" s="10" t="n">
        <v>24</v>
      </c>
      <c r="G280" s="12" t="s">
        <v>31</v>
      </c>
      <c r="H280" s="10" t="n">
        <v>2110101</v>
      </c>
      <c r="I280" s="12" t="s">
        <v>32</v>
      </c>
      <c r="J280" s="10" t="n">
        <v>1321781</v>
      </c>
      <c r="L280" s="10" t="n">
        <v>54406</v>
      </c>
      <c r="M280" s="12" t="s">
        <v>33</v>
      </c>
      <c r="N280" s="12" t="s">
        <v>34</v>
      </c>
      <c r="P280" s="10" t="n">
        <v>128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3578.4</v>
      </c>
      <c r="W280" s="13" t="n">
        <v>0</v>
      </c>
      <c r="X280" s="12" t="s">
        <v>395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45.75" hidden="false" customHeight="true" outlineLevel="0" collapsed="false">
      <c r="A281" s="10" t="n">
        <v>3</v>
      </c>
      <c r="B281" s="11" t="n">
        <v>46202</v>
      </c>
      <c r="C281" s="11" t="n">
        <v>46210</v>
      </c>
      <c r="D281" s="10" t="n">
        <v>42</v>
      </c>
      <c r="E281" s="12" t="s">
        <v>106</v>
      </c>
      <c r="F281" s="10" t="n">
        <v>34</v>
      </c>
      <c r="G281" s="12" t="s">
        <v>58</v>
      </c>
      <c r="H281" s="10" t="n">
        <v>2110101</v>
      </c>
      <c r="I281" s="12" t="s">
        <v>32</v>
      </c>
      <c r="J281" s="10" t="n">
        <v>1321985</v>
      </c>
      <c r="L281" s="10" t="n">
        <v>4324</v>
      </c>
      <c r="M281" s="12" t="s">
        <v>33</v>
      </c>
      <c r="N281" s="12" t="s">
        <v>40</v>
      </c>
      <c r="P281" s="10" t="n">
        <v>128</v>
      </c>
      <c r="Q281" s="12" t="s">
        <v>35</v>
      </c>
      <c r="R281" s="12" t="s">
        <v>36</v>
      </c>
      <c r="S281" s="10" t="n">
        <v>1130101</v>
      </c>
      <c r="T281" s="12" t="s">
        <v>37</v>
      </c>
      <c r="U281" s="13" t="n">
        <v>280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27.75" hidden="false" customHeight="true" outlineLevel="0" collapsed="false">
      <c r="A282" s="10" t="n">
        <v>3</v>
      </c>
      <c r="B282" s="11" t="n">
        <v>46199</v>
      </c>
      <c r="C282" s="11" t="n">
        <v>46210</v>
      </c>
      <c r="D282" s="10" t="n">
        <v>654</v>
      </c>
      <c r="E282" s="12" t="s">
        <v>397</v>
      </c>
      <c r="F282" s="10" t="n">
        <v>34</v>
      </c>
      <c r="G282" s="12" t="s">
        <v>58</v>
      </c>
      <c r="H282" s="10" t="n">
        <v>2110101</v>
      </c>
      <c r="I282" s="12" t="s">
        <v>32</v>
      </c>
      <c r="J282" s="10" t="n">
        <v>1333847</v>
      </c>
      <c r="L282" s="10" t="n">
        <v>208329</v>
      </c>
      <c r="M282" s="12" t="s">
        <v>33</v>
      </c>
      <c r="N282" s="12" t="s">
        <v>34</v>
      </c>
      <c r="P282" s="10" t="n">
        <v>128</v>
      </c>
      <c r="Q282" s="12" t="s">
        <v>35</v>
      </c>
      <c r="R282" s="12" t="s">
        <v>36</v>
      </c>
      <c r="S282" s="10" t="n">
        <v>1130101</v>
      </c>
      <c r="T282" s="12" t="s">
        <v>37</v>
      </c>
      <c r="U282" s="13" t="n">
        <v>2754</v>
      </c>
      <c r="W282" s="13" t="n">
        <v>0</v>
      </c>
      <c r="X282" s="12" t="s">
        <v>398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3</v>
      </c>
      <c r="B283" s="11" t="n">
        <v>46206</v>
      </c>
      <c r="C283" s="11" t="n">
        <v>46210</v>
      </c>
      <c r="D283" s="10" t="n">
        <v>1615</v>
      </c>
      <c r="E283" s="12" t="s">
        <v>57</v>
      </c>
      <c r="F283" s="10" t="n">
        <v>34</v>
      </c>
      <c r="G283" s="12" t="s">
        <v>58</v>
      </c>
      <c r="H283" s="10" t="n">
        <v>2110101</v>
      </c>
      <c r="I283" s="12" t="s">
        <v>32</v>
      </c>
      <c r="J283" s="10" t="n">
        <v>1345215</v>
      </c>
      <c r="L283" s="10" t="n">
        <v>14792</v>
      </c>
      <c r="M283" s="12" t="s">
        <v>33</v>
      </c>
      <c r="N283" s="12" t="s">
        <v>40</v>
      </c>
      <c r="P283" s="10" t="n">
        <v>167</v>
      </c>
      <c r="Q283" s="12" t="s">
        <v>220</v>
      </c>
      <c r="R283" s="12" t="s">
        <v>36</v>
      </c>
      <c r="S283" s="10" t="n">
        <v>1130101</v>
      </c>
      <c r="T283" s="12" t="s">
        <v>37</v>
      </c>
      <c r="U283" s="13" t="n">
        <v>440</v>
      </c>
      <c r="W283" s="13" t="n">
        <v>0</v>
      </c>
      <c r="X283" s="12" t="s">
        <v>399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3</v>
      </c>
      <c r="B284" s="11" t="n">
        <v>46206</v>
      </c>
      <c r="C284" s="11" t="n">
        <v>46210</v>
      </c>
      <c r="D284" s="10" t="n">
        <v>1615</v>
      </c>
      <c r="E284" s="12" t="s">
        <v>57</v>
      </c>
      <c r="F284" s="10" t="n">
        <v>34</v>
      </c>
      <c r="G284" s="12" t="s">
        <v>58</v>
      </c>
      <c r="H284" s="10" t="n">
        <v>2110101</v>
      </c>
      <c r="I284" s="12" t="s">
        <v>32</v>
      </c>
      <c r="J284" s="10" t="n">
        <v>1345222</v>
      </c>
      <c r="L284" s="10" t="n">
        <v>209980</v>
      </c>
      <c r="M284" s="12" t="s">
        <v>33</v>
      </c>
      <c r="N284" s="12" t="s">
        <v>34</v>
      </c>
      <c r="P284" s="10" t="n">
        <v>167</v>
      </c>
      <c r="Q284" s="12" t="s">
        <v>220</v>
      </c>
      <c r="R284" s="12" t="s">
        <v>36</v>
      </c>
      <c r="S284" s="10" t="n">
        <v>1130101</v>
      </c>
      <c r="T284" s="12" t="s">
        <v>37</v>
      </c>
      <c r="U284" s="13" t="n">
        <v>440</v>
      </c>
      <c r="W284" s="13" t="n">
        <v>0</v>
      </c>
      <c r="X284" s="12" t="s">
        <v>400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3</v>
      </c>
      <c r="B285" s="11" t="n">
        <v>46210</v>
      </c>
      <c r="C285" s="11" t="n">
        <v>46210</v>
      </c>
      <c r="D285" s="10" t="n">
        <v>42</v>
      </c>
      <c r="E285" s="12" t="s">
        <v>106</v>
      </c>
      <c r="F285" s="10" t="n">
        <v>13</v>
      </c>
      <c r="G285" s="12" t="s">
        <v>91</v>
      </c>
      <c r="H285" s="10" t="n">
        <v>2110101</v>
      </c>
      <c r="I285" s="12" t="s">
        <v>32</v>
      </c>
      <c r="J285" s="10" t="n">
        <v>1364769</v>
      </c>
      <c r="L285" s="10" t="n">
        <v>4359</v>
      </c>
      <c r="M285" s="12" t="s">
        <v>33</v>
      </c>
      <c r="N285" s="12" t="s">
        <v>40</v>
      </c>
      <c r="P285" s="10" t="n">
        <v>167</v>
      </c>
      <c r="Q285" s="12" t="s">
        <v>220</v>
      </c>
      <c r="R285" s="12" t="s">
        <v>36</v>
      </c>
      <c r="S285" s="10" t="n">
        <v>1130101</v>
      </c>
      <c r="T285" s="12" t="s">
        <v>37</v>
      </c>
      <c r="U285" s="13" t="n">
        <v>105</v>
      </c>
      <c r="W285" s="13" t="n">
        <v>105</v>
      </c>
      <c r="X285" s="12" t="s">
        <v>401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36.75" hidden="false" customHeight="true" outlineLevel="0" collapsed="false">
      <c r="A286" s="10" t="n">
        <v>3</v>
      </c>
      <c r="B286" s="11" t="n">
        <v>46210</v>
      </c>
      <c r="C286" s="11" t="n">
        <v>46210</v>
      </c>
      <c r="D286" s="10" t="n">
        <v>42</v>
      </c>
      <c r="E286" s="12" t="s">
        <v>106</v>
      </c>
      <c r="F286" s="10" t="n">
        <v>13</v>
      </c>
      <c r="G286" s="12" t="s">
        <v>91</v>
      </c>
      <c r="H286" s="10" t="n">
        <v>2110101</v>
      </c>
      <c r="I286" s="12" t="s">
        <v>32</v>
      </c>
      <c r="J286" s="10" t="n">
        <v>1364787</v>
      </c>
      <c r="L286" s="10" t="n">
        <v>4360</v>
      </c>
      <c r="M286" s="12" t="s">
        <v>33</v>
      </c>
      <c r="N286" s="12" t="s">
        <v>40</v>
      </c>
      <c r="P286" s="10" t="n">
        <v>167</v>
      </c>
      <c r="Q286" s="12" t="s">
        <v>220</v>
      </c>
      <c r="R286" s="12" t="s">
        <v>36</v>
      </c>
      <c r="S286" s="10" t="n">
        <v>1130101</v>
      </c>
      <c r="T286" s="12" t="s">
        <v>37</v>
      </c>
      <c r="U286" s="13" t="n">
        <v>280</v>
      </c>
      <c r="W286" s="13" t="n">
        <v>280</v>
      </c>
      <c r="X286" s="12" t="s">
        <v>402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3</v>
      </c>
      <c r="B287" s="11" t="n">
        <v>46210</v>
      </c>
      <c r="C287" s="11" t="n">
        <v>46210</v>
      </c>
      <c r="D287" s="10" t="n">
        <v>10047</v>
      </c>
      <c r="E287" s="12" t="s">
        <v>140</v>
      </c>
      <c r="F287" s="10" t="n">
        <v>24</v>
      </c>
      <c r="G287" s="12" t="s">
        <v>31</v>
      </c>
      <c r="H287" s="10" t="n">
        <v>1110204</v>
      </c>
      <c r="I287" s="12" t="s">
        <v>177</v>
      </c>
      <c r="J287" s="10" t="n">
        <v>1366178</v>
      </c>
      <c r="L287" s="10" t="n">
        <v>213241</v>
      </c>
      <c r="M287" s="12" t="s">
        <v>33</v>
      </c>
      <c r="N287" s="12" t="s">
        <v>34</v>
      </c>
      <c r="P287" s="10" t="n">
        <v>101</v>
      </c>
      <c r="Q287" s="12" t="s">
        <v>136</v>
      </c>
      <c r="R287" s="12" t="s">
        <v>403</v>
      </c>
      <c r="S287" s="10" t="n">
        <v>2110101</v>
      </c>
      <c r="T287" s="12" t="s">
        <v>32</v>
      </c>
      <c r="U287" s="13" t="n">
        <v>211.36</v>
      </c>
      <c r="W287" s="13" t="n">
        <v>0</v>
      </c>
      <c r="X287" s="12"/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0" t="n">
        <v>3</v>
      </c>
      <c r="B288" s="11" t="n">
        <v>46210</v>
      </c>
      <c r="C288" s="11" t="n">
        <v>46210</v>
      </c>
      <c r="D288" s="10" t="n">
        <v>10043</v>
      </c>
      <c r="E288" s="12" t="s">
        <v>145</v>
      </c>
      <c r="F288" s="10" t="n">
        <v>13</v>
      </c>
      <c r="G288" s="12" t="s">
        <v>91</v>
      </c>
      <c r="H288" s="10" t="n">
        <v>2110101</v>
      </c>
      <c r="I288" s="12" t="s">
        <v>32</v>
      </c>
      <c r="J288" s="10" t="n">
        <v>1368925</v>
      </c>
      <c r="L288" s="10" t="n">
        <v>756</v>
      </c>
      <c r="M288" s="12" t="s">
        <v>33</v>
      </c>
      <c r="N288" s="12" t="s">
        <v>40</v>
      </c>
      <c r="P288" s="10" t="n">
        <v>167</v>
      </c>
      <c r="Q288" s="12" t="s">
        <v>220</v>
      </c>
      <c r="R288" s="12" t="s">
        <v>36</v>
      </c>
      <c r="S288" s="10" t="n">
        <v>1130101</v>
      </c>
      <c r="T288" s="12" t="s">
        <v>37</v>
      </c>
      <c r="U288" s="13" t="n">
        <v>270</v>
      </c>
      <c r="W288" s="13" t="n">
        <v>270</v>
      </c>
      <c r="X288" s="12" t="s">
        <v>404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36.75" hidden="false" customHeight="true" outlineLevel="0" collapsed="false">
      <c r="A289" s="10" t="n">
        <v>3</v>
      </c>
      <c r="B289" s="11" t="n">
        <v>46195</v>
      </c>
      <c r="C289" s="11" t="n">
        <v>46211</v>
      </c>
      <c r="D289" s="10" t="n">
        <v>1625</v>
      </c>
      <c r="E289" s="12" t="s">
        <v>97</v>
      </c>
      <c r="F289" s="10" t="n">
        <v>24</v>
      </c>
      <c r="G289" s="12" t="s">
        <v>31</v>
      </c>
      <c r="H289" s="10" t="n">
        <v>2110101</v>
      </c>
      <c r="I289" s="12" t="s">
        <v>32</v>
      </c>
      <c r="J289" s="10" t="n">
        <v>1290736</v>
      </c>
      <c r="L289" s="10" t="n">
        <v>145282</v>
      </c>
      <c r="M289" s="12" t="s">
        <v>33</v>
      </c>
      <c r="N289" s="12" t="s">
        <v>34</v>
      </c>
      <c r="P289" s="10" t="n">
        <v>128</v>
      </c>
      <c r="Q289" s="12" t="s">
        <v>35</v>
      </c>
      <c r="R289" s="12" t="s">
        <v>36</v>
      </c>
      <c r="S289" s="10" t="n">
        <v>1130101</v>
      </c>
      <c r="T289" s="12" t="s">
        <v>37</v>
      </c>
      <c r="U289" s="13" t="n">
        <v>5950.93</v>
      </c>
      <c r="W289" s="13" t="n">
        <v>0</v>
      </c>
      <c r="X289" s="12" t="s">
        <v>405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3</v>
      </c>
      <c r="B290" s="11" t="n">
        <v>46211</v>
      </c>
      <c r="C290" s="11" t="n">
        <v>46211</v>
      </c>
      <c r="D290" s="10" t="n">
        <v>42</v>
      </c>
      <c r="E290" s="12" t="s">
        <v>106</v>
      </c>
      <c r="F290" s="10" t="n">
        <v>13</v>
      </c>
      <c r="G290" s="12" t="s">
        <v>91</v>
      </c>
      <c r="H290" s="10" t="n">
        <v>2110101</v>
      </c>
      <c r="I290" s="12" t="s">
        <v>32</v>
      </c>
      <c r="J290" s="10" t="n">
        <v>1369254</v>
      </c>
      <c r="L290" s="10" t="n">
        <v>4363</v>
      </c>
      <c r="M290" s="12" t="s">
        <v>33</v>
      </c>
      <c r="N290" s="12" t="s">
        <v>40</v>
      </c>
      <c r="P290" s="10" t="n">
        <v>167</v>
      </c>
      <c r="Q290" s="12" t="s">
        <v>220</v>
      </c>
      <c r="R290" s="12" t="s">
        <v>36</v>
      </c>
      <c r="S290" s="10" t="n">
        <v>1130101</v>
      </c>
      <c r="T290" s="12" t="s">
        <v>37</v>
      </c>
      <c r="U290" s="13" t="n">
        <v>240</v>
      </c>
      <c r="W290" s="13" t="n">
        <v>240</v>
      </c>
      <c r="X290" s="12" t="s">
        <v>162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3</v>
      </c>
      <c r="B291" s="11" t="n">
        <v>46211</v>
      </c>
      <c r="C291" s="11" t="n">
        <v>46211</v>
      </c>
      <c r="D291" s="10" t="n">
        <v>42</v>
      </c>
      <c r="E291" s="12" t="s">
        <v>106</v>
      </c>
      <c r="F291" s="10" t="n">
        <v>13</v>
      </c>
      <c r="G291" s="12" t="s">
        <v>91</v>
      </c>
      <c r="H291" s="10" t="n">
        <v>2110101</v>
      </c>
      <c r="I291" s="12" t="s">
        <v>32</v>
      </c>
      <c r="J291" s="10" t="n">
        <v>1369319</v>
      </c>
      <c r="L291" s="10" t="n">
        <v>4364</v>
      </c>
      <c r="M291" s="12" t="s">
        <v>33</v>
      </c>
      <c r="N291" s="12" t="s">
        <v>40</v>
      </c>
      <c r="P291" s="10" t="n">
        <v>167</v>
      </c>
      <c r="Q291" s="12" t="s">
        <v>220</v>
      </c>
      <c r="R291" s="12" t="s">
        <v>36</v>
      </c>
      <c r="S291" s="10" t="n">
        <v>1130101</v>
      </c>
      <c r="T291" s="12" t="s">
        <v>37</v>
      </c>
      <c r="U291" s="13" t="n">
        <v>110</v>
      </c>
      <c r="W291" s="13" t="n">
        <v>110</v>
      </c>
      <c r="X291" s="12" t="s">
        <v>401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36.75" hidden="false" customHeight="true" outlineLevel="0" collapsed="false">
      <c r="A292" s="10" t="n">
        <v>3</v>
      </c>
      <c r="B292" s="11" t="n">
        <v>46211</v>
      </c>
      <c r="C292" s="11" t="n">
        <v>46211</v>
      </c>
      <c r="D292" s="10" t="n">
        <v>10047</v>
      </c>
      <c r="E292" s="12" t="s">
        <v>140</v>
      </c>
      <c r="F292" s="10" t="n">
        <v>24</v>
      </c>
      <c r="G292" s="12" t="s">
        <v>31</v>
      </c>
      <c r="H292" s="10" t="n">
        <v>1110202</v>
      </c>
      <c r="I292" s="12" t="s">
        <v>263</v>
      </c>
      <c r="J292" s="10" t="n">
        <v>1370596</v>
      </c>
      <c r="L292" s="10" t="n">
        <v>213871</v>
      </c>
      <c r="M292" s="12" t="s">
        <v>33</v>
      </c>
      <c r="N292" s="12" t="s">
        <v>34</v>
      </c>
      <c r="P292" s="10" t="n">
        <v>102</v>
      </c>
      <c r="Q292" s="12" t="s">
        <v>141</v>
      </c>
      <c r="R292" s="12" t="s">
        <v>36</v>
      </c>
      <c r="S292" s="10" t="n">
        <v>1130101</v>
      </c>
      <c r="T292" s="12" t="s">
        <v>37</v>
      </c>
      <c r="U292" s="13" t="n">
        <v>376.09</v>
      </c>
      <c r="W292" s="13" t="n">
        <v>0</v>
      </c>
      <c r="X292" s="12" t="s">
        <v>225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0" t="n">
        <v>3</v>
      </c>
      <c r="B293" s="11" t="n">
        <v>46200</v>
      </c>
      <c r="C293" s="11" t="n">
        <v>46212</v>
      </c>
      <c r="D293" s="10" t="n">
        <v>1723</v>
      </c>
      <c r="E293" s="12" t="s">
        <v>54</v>
      </c>
      <c r="F293" s="10" t="n">
        <v>24</v>
      </c>
      <c r="G293" s="12" t="s">
        <v>31</v>
      </c>
      <c r="H293" s="10" t="n">
        <v>2110101</v>
      </c>
      <c r="I293" s="12" t="s">
        <v>32</v>
      </c>
      <c r="J293" s="10" t="n">
        <v>1321574</v>
      </c>
      <c r="L293" s="10" t="n">
        <v>54735</v>
      </c>
      <c r="M293" s="12" t="s">
        <v>33</v>
      </c>
      <c r="N293" s="12" t="s">
        <v>34</v>
      </c>
      <c r="P293" s="10" t="n">
        <v>128</v>
      </c>
      <c r="Q293" s="12" t="s">
        <v>35</v>
      </c>
      <c r="R293" s="12" t="s">
        <v>36</v>
      </c>
      <c r="S293" s="10" t="n">
        <v>1130101</v>
      </c>
      <c r="T293" s="12" t="s">
        <v>37</v>
      </c>
      <c r="U293" s="13" t="n">
        <v>8101.7</v>
      </c>
      <c r="W293" s="13" t="n">
        <v>0</v>
      </c>
      <c r="X293" s="12" t="s">
        <v>406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72.75" hidden="false" customHeight="true" outlineLevel="0" collapsed="false">
      <c r="A294" s="10" t="n">
        <v>3</v>
      </c>
      <c r="B294" s="11" t="n">
        <v>46203</v>
      </c>
      <c r="C294" s="11" t="n">
        <v>46212</v>
      </c>
      <c r="D294" s="10" t="n">
        <v>1705</v>
      </c>
      <c r="E294" s="12" t="s">
        <v>252</v>
      </c>
      <c r="F294" s="10" t="n">
        <v>24</v>
      </c>
      <c r="G294" s="12" t="s">
        <v>31</v>
      </c>
      <c r="H294" s="10" t="n">
        <v>2110101</v>
      </c>
      <c r="I294" s="12" t="s">
        <v>32</v>
      </c>
      <c r="J294" s="10" t="n">
        <v>1330752</v>
      </c>
      <c r="L294" s="10" t="n">
        <v>19090415</v>
      </c>
      <c r="M294" s="12" t="s">
        <v>33</v>
      </c>
      <c r="N294" s="12" t="s">
        <v>34</v>
      </c>
      <c r="P294" s="10" t="n">
        <v>128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5599.16</v>
      </c>
      <c r="W294" s="13" t="n">
        <v>0</v>
      </c>
      <c r="X294" s="12" t="s">
        <v>407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72.75" hidden="false" customHeight="true" outlineLevel="0" collapsed="false">
      <c r="A295" s="10" t="n">
        <v>3</v>
      </c>
      <c r="B295" s="11" t="n">
        <v>46212</v>
      </c>
      <c r="C295" s="11" t="n">
        <v>46212</v>
      </c>
      <c r="D295" s="10" t="n">
        <v>42</v>
      </c>
      <c r="E295" s="12" t="s">
        <v>106</v>
      </c>
      <c r="F295" s="10" t="n">
        <v>13</v>
      </c>
      <c r="G295" s="12" t="s">
        <v>91</v>
      </c>
      <c r="H295" s="10" t="n">
        <v>2110101</v>
      </c>
      <c r="I295" s="12" t="s">
        <v>32</v>
      </c>
      <c r="J295" s="10" t="n">
        <v>1375165</v>
      </c>
      <c r="L295" s="10" t="n">
        <v>4369</v>
      </c>
      <c r="M295" s="12" t="s">
        <v>33</v>
      </c>
      <c r="N295" s="12" t="s">
        <v>40</v>
      </c>
      <c r="P295" s="10" t="n">
        <v>167</v>
      </c>
      <c r="Q295" s="12" t="s">
        <v>220</v>
      </c>
      <c r="R295" s="12" t="s">
        <v>36</v>
      </c>
      <c r="S295" s="10" t="n">
        <v>1130101</v>
      </c>
      <c r="T295" s="12" t="s">
        <v>37</v>
      </c>
      <c r="U295" s="13" t="n">
        <v>65</v>
      </c>
      <c r="W295" s="13" t="n">
        <v>65</v>
      </c>
      <c r="X295" s="12" t="s">
        <v>108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3</v>
      </c>
      <c r="B296" s="11" t="n">
        <v>46212</v>
      </c>
      <c r="C296" s="11" t="n">
        <v>46212</v>
      </c>
      <c r="D296" s="10" t="n">
        <v>10047</v>
      </c>
      <c r="E296" s="12" t="s">
        <v>140</v>
      </c>
      <c r="F296" s="10" t="n">
        <v>24</v>
      </c>
      <c r="G296" s="12" t="s">
        <v>31</v>
      </c>
      <c r="H296" s="10" t="n">
        <v>1110202</v>
      </c>
      <c r="I296" s="12" t="s">
        <v>263</v>
      </c>
      <c r="J296" s="10" t="n">
        <v>1377979</v>
      </c>
      <c r="L296" s="10" t="n">
        <v>215207</v>
      </c>
      <c r="M296" s="12" t="s">
        <v>33</v>
      </c>
      <c r="N296" s="12" t="s">
        <v>34</v>
      </c>
      <c r="P296" s="10" t="n">
        <v>102</v>
      </c>
      <c r="Q296" s="12" t="s">
        <v>141</v>
      </c>
      <c r="R296" s="12" t="s">
        <v>36</v>
      </c>
      <c r="S296" s="10" t="n">
        <v>1130101</v>
      </c>
      <c r="T296" s="12" t="s">
        <v>37</v>
      </c>
      <c r="U296" s="13" t="n">
        <v>191.58</v>
      </c>
      <c r="W296" s="13" t="n">
        <v>0</v>
      </c>
      <c r="X296" s="12" t="s">
        <v>408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3</v>
      </c>
      <c r="B297" s="11" t="n">
        <v>46186</v>
      </c>
      <c r="C297" s="11" t="n">
        <v>46213</v>
      </c>
      <c r="D297" s="10" t="n">
        <v>1039</v>
      </c>
      <c r="E297" s="12" t="s">
        <v>150</v>
      </c>
      <c r="F297" s="10" t="n">
        <v>24</v>
      </c>
      <c r="G297" s="12" t="s">
        <v>31</v>
      </c>
      <c r="H297" s="10" t="n">
        <v>2110101</v>
      </c>
      <c r="I297" s="12" t="s">
        <v>32</v>
      </c>
      <c r="J297" s="10" t="n">
        <v>1255894</v>
      </c>
      <c r="L297" s="10" t="n">
        <v>186573</v>
      </c>
      <c r="M297" s="12" t="s">
        <v>33</v>
      </c>
      <c r="N297" s="12" t="s">
        <v>34</v>
      </c>
      <c r="P297" s="10" t="n">
        <v>128</v>
      </c>
      <c r="Q297" s="12" t="s">
        <v>35</v>
      </c>
      <c r="R297" s="12" t="s">
        <v>36</v>
      </c>
      <c r="S297" s="10" t="n">
        <v>1130101</v>
      </c>
      <c r="T297" s="12" t="s">
        <v>37</v>
      </c>
      <c r="U297" s="13" t="n">
        <v>835.77</v>
      </c>
      <c r="W297" s="13" t="n">
        <v>0</v>
      </c>
      <c r="X297" s="12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54.75" hidden="false" customHeight="true" outlineLevel="0" collapsed="false">
      <c r="A298" s="10" t="n">
        <v>3</v>
      </c>
      <c r="B298" s="11" t="n">
        <v>46122</v>
      </c>
      <c r="C298" s="11" t="n">
        <v>46213</v>
      </c>
      <c r="D298" s="10" t="n">
        <v>815</v>
      </c>
      <c r="E298" s="12" t="s">
        <v>410</v>
      </c>
      <c r="F298" s="10" t="n">
        <v>34</v>
      </c>
      <c r="G298" s="12" t="s">
        <v>58</v>
      </c>
      <c r="H298" s="10" t="n">
        <v>2110405</v>
      </c>
      <c r="I298" s="12" t="s">
        <v>63</v>
      </c>
      <c r="J298" s="10" t="n">
        <v>793794</v>
      </c>
      <c r="L298" s="10" t="n">
        <v>100326</v>
      </c>
      <c r="M298" s="12" t="s">
        <v>371</v>
      </c>
      <c r="N298" s="12" t="s">
        <v>34</v>
      </c>
      <c r="P298" s="10" t="n">
        <v>101</v>
      </c>
      <c r="Q298" s="12" t="s">
        <v>136</v>
      </c>
      <c r="R298" s="12" t="s">
        <v>411</v>
      </c>
      <c r="S298" s="10" t="n">
        <v>2110901</v>
      </c>
      <c r="T298" s="12" t="s">
        <v>412</v>
      </c>
      <c r="U298" s="13" t="n">
        <v>1500</v>
      </c>
      <c r="W298" s="13" t="n">
        <v>0</v>
      </c>
      <c r="X298" s="12" t="s">
        <v>413</v>
      </c>
      <c r="Z298" s="1" t="str">
        <f aca="false">IF($T298="","",IFERROR(INDEX('Resumo Grupos'!$AC$3:$AC$200,MATCH($T298,'Resumo Grupos'!$AB$3:$AB$200,0)),"n/d"))</f>
        <v>Empréstimo</v>
      </c>
      <c r="AA298" s="1" t="str">
        <f aca="false">IF($T298="","",IF(COUNTIF('Resumo Grupos'!$AE$3:$AE$40,$T298)&gt;0,"NAO","SIM"))</f>
        <v>SIM</v>
      </c>
    </row>
    <row r="299" customFormat="false" ht="54.75" hidden="false" customHeight="true" outlineLevel="0" collapsed="false">
      <c r="A299" s="10" t="n">
        <v>3</v>
      </c>
      <c r="B299" s="11" t="n">
        <v>46181</v>
      </c>
      <c r="C299" s="11" t="n">
        <v>46213</v>
      </c>
      <c r="D299" s="10" t="n">
        <v>1676</v>
      </c>
      <c r="E299" s="12" t="s">
        <v>197</v>
      </c>
      <c r="F299" s="10" t="n">
        <v>24</v>
      </c>
      <c r="G299" s="12" t="s">
        <v>31</v>
      </c>
      <c r="H299" s="10" t="n">
        <v>2110101</v>
      </c>
      <c r="I299" s="12" t="s">
        <v>32</v>
      </c>
      <c r="J299" s="10" t="n">
        <v>1226690</v>
      </c>
      <c r="L299" s="10" t="n">
        <v>1030523</v>
      </c>
      <c r="M299" s="12" t="s">
        <v>33</v>
      </c>
      <c r="N299" s="12" t="s">
        <v>34</v>
      </c>
      <c r="P299" s="10" t="n">
        <v>128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593.7</v>
      </c>
      <c r="W299" s="13" t="n">
        <v>0</v>
      </c>
      <c r="X299" s="12" t="s">
        <v>414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36.75" hidden="false" customHeight="true" outlineLevel="0" collapsed="false">
      <c r="A300" s="10" t="n">
        <v>3</v>
      </c>
      <c r="B300" s="11" t="n">
        <v>46182</v>
      </c>
      <c r="C300" s="11" t="n">
        <v>46213</v>
      </c>
      <c r="D300" s="10" t="n">
        <v>1611</v>
      </c>
      <c r="E300" s="12" t="s">
        <v>199</v>
      </c>
      <c r="F300" s="10" t="n">
        <v>24</v>
      </c>
      <c r="G300" s="12" t="s">
        <v>31</v>
      </c>
      <c r="H300" s="10" t="n">
        <v>2110101</v>
      </c>
      <c r="I300" s="12" t="s">
        <v>32</v>
      </c>
      <c r="J300" s="10" t="n">
        <v>1230686</v>
      </c>
      <c r="L300" s="10" t="n">
        <v>180513093</v>
      </c>
      <c r="M300" s="12" t="s">
        <v>33</v>
      </c>
      <c r="N300" s="12" t="s">
        <v>34</v>
      </c>
      <c r="P300" s="10" t="n">
        <v>128</v>
      </c>
      <c r="Q300" s="12" t="s">
        <v>35</v>
      </c>
      <c r="R300" s="12" t="s">
        <v>36</v>
      </c>
      <c r="S300" s="10" t="n">
        <v>1130101</v>
      </c>
      <c r="T300" s="12" t="s">
        <v>37</v>
      </c>
      <c r="U300" s="13" t="n">
        <v>398.46</v>
      </c>
      <c r="W300" s="13" t="n">
        <v>0</v>
      </c>
      <c r="X300" s="12" t="s">
        <v>415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36.75" hidden="false" customHeight="true" outlineLevel="0" collapsed="false">
      <c r="A301" s="10" t="n">
        <v>3</v>
      </c>
      <c r="B301" s="11" t="n">
        <v>46182</v>
      </c>
      <c r="C301" s="11" t="n">
        <v>46213</v>
      </c>
      <c r="D301" s="10" t="n">
        <v>1740</v>
      </c>
      <c r="E301" s="12" t="s">
        <v>273</v>
      </c>
      <c r="F301" s="10" t="n">
        <v>24</v>
      </c>
      <c r="G301" s="12" t="s">
        <v>31</v>
      </c>
      <c r="H301" s="10" t="n">
        <v>2110101</v>
      </c>
      <c r="I301" s="12" t="s">
        <v>32</v>
      </c>
      <c r="J301" s="10" t="n">
        <v>1230764</v>
      </c>
      <c r="L301" s="10" t="n">
        <v>12346573</v>
      </c>
      <c r="M301" s="12" t="s">
        <v>33</v>
      </c>
      <c r="N301" s="12" t="s">
        <v>34</v>
      </c>
      <c r="P301" s="10" t="n">
        <v>128</v>
      </c>
      <c r="Q301" s="12" t="s">
        <v>35</v>
      </c>
      <c r="R301" s="12" t="s">
        <v>36</v>
      </c>
      <c r="S301" s="10" t="n">
        <v>1130101</v>
      </c>
      <c r="T301" s="12" t="s">
        <v>37</v>
      </c>
      <c r="U301" s="13" t="n">
        <v>1155.4</v>
      </c>
      <c r="W301" s="13" t="n">
        <v>0</v>
      </c>
      <c r="X301" s="12" t="s">
        <v>416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36.75" hidden="false" customHeight="true" outlineLevel="0" collapsed="false">
      <c r="A302" s="10" t="n">
        <v>3</v>
      </c>
      <c r="B302" s="11" t="n">
        <v>46181</v>
      </c>
      <c r="C302" s="11" t="n">
        <v>46213</v>
      </c>
      <c r="D302" s="10" t="n">
        <v>1745</v>
      </c>
      <c r="E302" s="12" t="s">
        <v>184</v>
      </c>
      <c r="F302" s="10" t="n">
        <v>24</v>
      </c>
      <c r="G302" s="12" t="s">
        <v>31</v>
      </c>
      <c r="H302" s="10" t="n">
        <v>2110101</v>
      </c>
      <c r="I302" s="12" t="s">
        <v>32</v>
      </c>
      <c r="J302" s="10" t="n">
        <v>1235192</v>
      </c>
      <c r="L302" s="10" t="n">
        <v>3460353</v>
      </c>
      <c r="M302" s="12" t="s">
        <v>33</v>
      </c>
      <c r="N302" s="12" t="s">
        <v>34</v>
      </c>
      <c r="P302" s="10" t="n">
        <v>128</v>
      </c>
      <c r="Q302" s="12" t="s">
        <v>35</v>
      </c>
      <c r="R302" s="12" t="s">
        <v>36</v>
      </c>
      <c r="S302" s="10" t="n">
        <v>1130101</v>
      </c>
      <c r="T302" s="12" t="s">
        <v>37</v>
      </c>
      <c r="U302" s="13" t="n">
        <v>1108.39</v>
      </c>
      <c r="W302" s="13" t="n">
        <v>0</v>
      </c>
      <c r="X302" s="12" t="s">
        <v>417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3</v>
      </c>
      <c r="B303" s="11" t="n">
        <v>46184</v>
      </c>
      <c r="C303" s="11" t="n">
        <v>46213</v>
      </c>
      <c r="D303" s="10" t="n">
        <v>1815</v>
      </c>
      <c r="E303" s="12" t="s">
        <v>157</v>
      </c>
      <c r="F303" s="10" t="n">
        <v>24</v>
      </c>
      <c r="G303" s="12" t="s">
        <v>31</v>
      </c>
      <c r="H303" s="10" t="n">
        <v>2110101</v>
      </c>
      <c r="I303" s="12" t="s">
        <v>32</v>
      </c>
      <c r="J303" s="10" t="n">
        <v>1235386</v>
      </c>
      <c r="L303" s="10" t="n">
        <v>4501673</v>
      </c>
      <c r="M303" s="12" t="s">
        <v>33</v>
      </c>
      <c r="N303" s="12" t="s">
        <v>34</v>
      </c>
      <c r="P303" s="10" t="n">
        <v>128</v>
      </c>
      <c r="Q303" s="12" t="s">
        <v>35</v>
      </c>
      <c r="R303" s="12" t="s">
        <v>36</v>
      </c>
      <c r="S303" s="10" t="n">
        <v>1130101</v>
      </c>
      <c r="T303" s="12" t="s">
        <v>37</v>
      </c>
      <c r="U303" s="13" t="n">
        <v>2315.5</v>
      </c>
      <c r="W303" s="13" t="n">
        <v>0</v>
      </c>
      <c r="X303" s="12" t="s">
        <v>418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3</v>
      </c>
      <c r="B304" s="11" t="n">
        <v>46189</v>
      </c>
      <c r="C304" s="11" t="n">
        <v>46213</v>
      </c>
      <c r="D304" s="10" t="n">
        <v>1672</v>
      </c>
      <c r="E304" s="12" t="s">
        <v>93</v>
      </c>
      <c r="F304" s="10" t="n">
        <v>24</v>
      </c>
      <c r="G304" s="12" t="s">
        <v>31</v>
      </c>
      <c r="H304" s="10" t="n">
        <v>2110101</v>
      </c>
      <c r="I304" s="12" t="s">
        <v>32</v>
      </c>
      <c r="J304" s="10" t="n">
        <v>1265364</v>
      </c>
      <c r="L304" s="10" t="n">
        <v>13721732</v>
      </c>
      <c r="M304" s="12" t="s">
        <v>33</v>
      </c>
      <c r="N304" s="12" t="s">
        <v>34</v>
      </c>
      <c r="P304" s="10" t="n">
        <v>128</v>
      </c>
      <c r="Q304" s="12" t="s">
        <v>35</v>
      </c>
      <c r="R304" s="12" t="s">
        <v>36</v>
      </c>
      <c r="S304" s="10" t="n">
        <v>1130101</v>
      </c>
      <c r="T304" s="12" t="s">
        <v>37</v>
      </c>
      <c r="U304" s="13" t="n">
        <v>661.25</v>
      </c>
      <c r="W304" s="13" t="n">
        <v>0</v>
      </c>
      <c r="X304" s="12" t="s">
        <v>419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3</v>
      </c>
      <c r="B305" s="11" t="n">
        <v>46190</v>
      </c>
      <c r="C305" s="11" t="n">
        <v>46213</v>
      </c>
      <c r="D305" s="10" t="n">
        <v>1921</v>
      </c>
      <c r="E305" s="12" t="s">
        <v>318</v>
      </c>
      <c r="F305" s="10" t="n">
        <v>24</v>
      </c>
      <c r="G305" s="12" t="s">
        <v>31</v>
      </c>
      <c r="H305" s="10" t="n">
        <v>2110101</v>
      </c>
      <c r="I305" s="12" t="s">
        <v>32</v>
      </c>
      <c r="J305" s="10" t="n">
        <v>1265383</v>
      </c>
      <c r="L305" s="10" t="n">
        <v>130522</v>
      </c>
      <c r="M305" s="12" t="s">
        <v>33</v>
      </c>
      <c r="N305" s="12" t="s">
        <v>34</v>
      </c>
      <c r="P305" s="10" t="n">
        <v>128</v>
      </c>
      <c r="Q305" s="12" t="s">
        <v>35</v>
      </c>
      <c r="R305" s="12" t="s">
        <v>36</v>
      </c>
      <c r="S305" s="10" t="n">
        <v>1130101</v>
      </c>
      <c r="T305" s="12" t="s">
        <v>37</v>
      </c>
      <c r="U305" s="13" t="n">
        <v>442.01</v>
      </c>
      <c r="W305" s="13" t="n">
        <v>0</v>
      </c>
      <c r="X305" s="12" t="s">
        <v>420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3</v>
      </c>
      <c r="B306" s="11" t="n">
        <v>46189</v>
      </c>
      <c r="C306" s="11" t="n">
        <v>46213</v>
      </c>
      <c r="D306" s="10" t="n">
        <v>1667</v>
      </c>
      <c r="E306" s="12" t="s">
        <v>286</v>
      </c>
      <c r="F306" s="10" t="n">
        <v>24</v>
      </c>
      <c r="G306" s="12" t="s">
        <v>31</v>
      </c>
      <c r="H306" s="10" t="n">
        <v>2110101</v>
      </c>
      <c r="I306" s="12" t="s">
        <v>32</v>
      </c>
      <c r="J306" s="10" t="n">
        <v>1265442</v>
      </c>
      <c r="L306" s="10" t="n">
        <v>3950872</v>
      </c>
      <c r="M306" s="12" t="s">
        <v>33</v>
      </c>
      <c r="N306" s="12" t="s">
        <v>34</v>
      </c>
      <c r="P306" s="10" t="n">
        <v>128</v>
      </c>
      <c r="Q306" s="12" t="s">
        <v>35</v>
      </c>
      <c r="R306" s="12" t="s">
        <v>36</v>
      </c>
      <c r="S306" s="10" t="n">
        <v>1130101</v>
      </c>
      <c r="T306" s="12" t="s">
        <v>37</v>
      </c>
      <c r="U306" s="13" t="n">
        <v>412.49</v>
      </c>
      <c r="W306" s="13" t="n">
        <v>0</v>
      </c>
      <c r="X306" s="12" t="s">
        <v>421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45.75" hidden="false" customHeight="true" outlineLevel="0" collapsed="false">
      <c r="A307" s="10" t="n">
        <v>3</v>
      </c>
      <c r="B307" s="11" t="n">
        <v>46190</v>
      </c>
      <c r="C307" s="11" t="n">
        <v>46213</v>
      </c>
      <c r="D307" s="10" t="n">
        <v>1740</v>
      </c>
      <c r="E307" s="12" t="s">
        <v>273</v>
      </c>
      <c r="F307" s="10" t="n">
        <v>24</v>
      </c>
      <c r="G307" s="12" t="s">
        <v>31</v>
      </c>
      <c r="H307" s="10" t="n">
        <v>2110101</v>
      </c>
      <c r="I307" s="12" t="s">
        <v>32</v>
      </c>
      <c r="J307" s="10" t="n">
        <v>1266189</v>
      </c>
      <c r="L307" s="10" t="n">
        <v>12382022</v>
      </c>
      <c r="M307" s="12" t="s">
        <v>33</v>
      </c>
      <c r="N307" s="12" t="s">
        <v>34</v>
      </c>
      <c r="P307" s="10" t="n">
        <v>128</v>
      </c>
      <c r="Q307" s="12" t="s">
        <v>35</v>
      </c>
      <c r="R307" s="12" t="s">
        <v>36</v>
      </c>
      <c r="S307" s="10" t="n">
        <v>1130101</v>
      </c>
      <c r="T307" s="12" t="s">
        <v>37</v>
      </c>
      <c r="U307" s="13" t="n">
        <v>930.35</v>
      </c>
      <c r="W307" s="13" t="n">
        <v>0</v>
      </c>
      <c r="X307" s="12" t="s">
        <v>422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0" t="n">
        <v>3</v>
      </c>
      <c r="B308" s="11" t="n">
        <v>46191</v>
      </c>
      <c r="C308" s="11" t="n">
        <v>46213</v>
      </c>
      <c r="D308" s="10" t="n">
        <v>1613</v>
      </c>
      <c r="E308" s="12" t="s">
        <v>209</v>
      </c>
      <c r="F308" s="10" t="n">
        <v>24</v>
      </c>
      <c r="G308" s="12" t="s">
        <v>31</v>
      </c>
      <c r="H308" s="10" t="n">
        <v>2110101</v>
      </c>
      <c r="I308" s="12" t="s">
        <v>32</v>
      </c>
      <c r="J308" s="10" t="n">
        <v>1268701</v>
      </c>
      <c r="L308" s="10" t="n">
        <v>15983483</v>
      </c>
      <c r="M308" s="12" t="s">
        <v>33</v>
      </c>
      <c r="N308" s="12" t="s">
        <v>34</v>
      </c>
      <c r="P308" s="10" t="n">
        <v>128</v>
      </c>
      <c r="Q308" s="12" t="s">
        <v>35</v>
      </c>
      <c r="R308" s="12" t="s">
        <v>36</v>
      </c>
      <c r="S308" s="10" t="n">
        <v>1130101</v>
      </c>
      <c r="T308" s="12" t="s">
        <v>37</v>
      </c>
      <c r="U308" s="13" t="n">
        <v>2027.28</v>
      </c>
      <c r="W308" s="13" t="n">
        <v>0</v>
      </c>
      <c r="X308" s="12" t="s">
        <v>423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3</v>
      </c>
      <c r="B309" s="11" t="n">
        <v>46190</v>
      </c>
      <c r="C309" s="11" t="n">
        <v>46213</v>
      </c>
      <c r="D309" s="10" t="n">
        <v>1611</v>
      </c>
      <c r="E309" s="12" t="s">
        <v>199</v>
      </c>
      <c r="F309" s="10" t="n">
        <v>24</v>
      </c>
      <c r="G309" s="12" t="s">
        <v>31</v>
      </c>
      <c r="H309" s="10" t="n">
        <v>2110101</v>
      </c>
      <c r="I309" s="12" t="s">
        <v>32</v>
      </c>
      <c r="J309" s="10" t="n">
        <v>1272625</v>
      </c>
      <c r="L309" s="10" t="n">
        <v>17732562</v>
      </c>
      <c r="M309" s="12" t="s">
        <v>33</v>
      </c>
      <c r="N309" s="12" t="s">
        <v>34</v>
      </c>
      <c r="P309" s="10" t="n">
        <v>128</v>
      </c>
      <c r="Q309" s="12" t="s">
        <v>35</v>
      </c>
      <c r="R309" s="12" t="s">
        <v>36</v>
      </c>
      <c r="S309" s="10" t="n">
        <v>1130101</v>
      </c>
      <c r="T309" s="12" t="s">
        <v>37</v>
      </c>
      <c r="U309" s="13" t="n">
        <v>393.5</v>
      </c>
      <c r="W309" s="13" t="n">
        <v>0</v>
      </c>
      <c r="X309" s="12" t="s">
        <v>424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3</v>
      </c>
      <c r="B310" s="11" t="n">
        <v>46195</v>
      </c>
      <c r="C310" s="11" t="n">
        <v>46213</v>
      </c>
      <c r="D310" s="10" t="n">
        <v>10009</v>
      </c>
      <c r="E310" s="12" t="s">
        <v>99</v>
      </c>
      <c r="F310" s="10" t="n">
        <v>24</v>
      </c>
      <c r="G310" s="12" t="s">
        <v>31</v>
      </c>
      <c r="H310" s="10" t="n">
        <v>2110101</v>
      </c>
      <c r="I310" s="12" t="s">
        <v>32</v>
      </c>
      <c r="J310" s="10" t="n">
        <v>1289338</v>
      </c>
      <c r="L310" s="10" t="n">
        <v>1418633</v>
      </c>
      <c r="M310" s="12" t="s">
        <v>33</v>
      </c>
      <c r="N310" s="12" t="s">
        <v>40</v>
      </c>
      <c r="P310" s="10" t="n">
        <v>128</v>
      </c>
      <c r="Q310" s="12" t="s">
        <v>35</v>
      </c>
      <c r="R310" s="12" t="s">
        <v>36</v>
      </c>
      <c r="S310" s="10" t="n">
        <v>1130101</v>
      </c>
      <c r="T310" s="12" t="s">
        <v>37</v>
      </c>
      <c r="U310" s="13" t="n">
        <v>388.89</v>
      </c>
      <c r="W310" s="13" t="n">
        <v>0</v>
      </c>
      <c r="X310" s="12" t="s">
        <v>425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0" t="n">
        <v>3</v>
      </c>
      <c r="B311" s="11" t="n">
        <v>46195</v>
      </c>
      <c r="C311" s="11" t="n">
        <v>46213</v>
      </c>
      <c r="D311" s="10" t="n">
        <v>1672</v>
      </c>
      <c r="E311" s="12" t="s">
        <v>93</v>
      </c>
      <c r="F311" s="10" t="n">
        <v>24</v>
      </c>
      <c r="G311" s="12" t="s">
        <v>31</v>
      </c>
      <c r="H311" s="10" t="n">
        <v>2110101</v>
      </c>
      <c r="I311" s="12" t="s">
        <v>32</v>
      </c>
      <c r="J311" s="10" t="n">
        <v>1295728</v>
      </c>
      <c r="L311" s="10" t="n">
        <v>13764711</v>
      </c>
      <c r="M311" s="12" t="s">
        <v>33</v>
      </c>
      <c r="N311" s="12" t="s">
        <v>34</v>
      </c>
      <c r="P311" s="10" t="n">
        <v>128</v>
      </c>
      <c r="Q311" s="12" t="s">
        <v>35</v>
      </c>
      <c r="R311" s="12" t="s">
        <v>36</v>
      </c>
      <c r="S311" s="10" t="n">
        <v>1130101</v>
      </c>
      <c r="T311" s="12" t="s">
        <v>37</v>
      </c>
      <c r="U311" s="13" t="n">
        <v>696.25</v>
      </c>
      <c r="W311" s="13" t="n">
        <v>0</v>
      </c>
      <c r="X311" s="12" t="s">
        <v>426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3</v>
      </c>
      <c r="B312" s="11" t="n">
        <v>46197</v>
      </c>
      <c r="C312" s="11" t="n">
        <v>46213</v>
      </c>
      <c r="D312" s="10" t="n">
        <v>1740</v>
      </c>
      <c r="E312" s="12" t="s">
        <v>273</v>
      </c>
      <c r="F312" s="10" t="n">
        <v>24</v>
      </c>
      <c r="G312" s="12" t="s">
        <v>31</v>
      </c>
      <c r="H312" s="10" t="n">
        <v>2110101</v>
      </c>
      <c r="I312" s="12" t="s">
        <v>32</v>
      </c>
      <c r="J312" s="10" t="n">
        <v>1304449</v>
      </c>
      <c r="L312" s="10" t="n">
        <v>12404731</v>
      </c>
      <c r="M312" s="12" t="s">
        <v>33</v>
      </c>
      <c r="N312" s="12" t="s">
        <v>34</v>
      </c>
      <c r="P312" s="10" t="n">
        <v>128</v>
      </c>
      <c r="Q312" s="12" t="s">
        <v>35</v>
      </c>
      <c r="R312" s="12" t="s">
        <v>36</v>
      </c>
      <c r="S312" s="10" t="n">
        <v>1130101</v>
      </c>
      <c r="T312" s="12" t="s">
        <v>37</v>
      </c>
      <c r="U312" s="13" t="n">
        <v>742.54</v>
      </c>
      <c r="W312" s="13" t="n">
        <v>0</v>
      </c>
      <c r="X312" s="12" t="s">
        <v>427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3</v>
      </c>
      <c r="B313" s="11" t="n">
        <v>46197</v>
      </c>
      <c r="C313" s="11" t="n">
        <v>46213</v>
      </c>
      <c r="D313" s="10" t="n">
        <v>1815</v>
      </c>
      <c r="E313" s="12" t="s">
        <v>157</v>
      </c>
      <c r="F313" s="10" t="n">
        <v>24</v>
      </c>
      <c r="G313" s="12" t="s">
        <v>31</v>
      </c>
      <c r="H313" s="10" t="n">
        <v>2110101</v>
      </c>
      <c r="I313" s="12" t="s">
        <v>32</v>
      </c>
      <c r="J313" s="10" t="n">
        <v>1305180</v>
      </c>
      <c r="L313" s="10" t="n">
        <v>4526721</v>
      </c>
      <c r="M313" s="12" t="s">
        <v>33</v>
      </c>
      <c r="N313" s="12" t="s">
        <v>34</v>
      </c>
      <c r="P313" s="10" t="n">
        <v>128</v>
      </c>
      <c r="Q313" s="12" t="s">
        <v>35</v>
      </c>
      <c r="R313" s="12" t="s">
        <v>36</v>
      </c>
      <c r="S313" s="10" t="n">
        <v>1130101</v>
      </c>
      <c r="T313" s="12" t="s">
        <v>37</v>
      </c>
      <c r="U313" s="13" t="n">
        <v>1235.15</v>
      </c>
      <c r="W313" s="13" t="n">
        <v>0</v>
      </c>
      <c r="X313" s="12" t="s">
        <v>428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36.75" hidden="false" customHeight="true" outlineLevel="0" collapsed="false">
      <c r="A314" s="10" t="n">
        <v>3</v>
      </c>
      <c r="B314" s="11" t="n">
        <v>46198</v>
      </c>
      <c r="C314" s="11" t="n">
        <v>46213</v>
      </c>
      <c r="D314" s="10" t="n">
        <v>1672</v>
      </c>
      <c r="E314" s="12" t="s">
        <v>93</v>
      </c>
      <c r="F314" s="10" t="n">
        <v>24</v>
      </c>
      <c r="G314" s="12" t="s">
        <v>31</v>
      </c>
      <c r="H314" s="10" t="n">
        <v>2110101</v>
      </c>
      <c r="I314" s="12" t="s">
        <v>32</v>
      </c>
      <c r="J314" s="10" t="n">
        <v>1312283</v>
      </c>
      <c r="L314" s="10" t="n">
        <v>13798331</v>
      </c>
      <c r="M314" s="12" t="s">
        <v>33</v>
      </c>
      <c r="N314" s="12" t="s">
        <v>34</v>
      </c>
      <c r="P314" s="10" t="n">
        <v>128</v>
      </c>
      <c r="Q314" s="12" t="s">
        <v>35</v>
      </c>
      <c r="R314" s="12" t="s">
        <v>36</v>
      </c>
      <c r="S314" s="10" t="n">
        <v>1130101</v>
      </c>
      <c r="T314" s="12" t="s">
        <v>37</v>
      </c>
      <c r="U314" s="13" t="n">
        <v>956.15</v>
      </c>
      <c r="W314" s="13" t="n">
        <v>0</v>
      </c>
      <c r="X314" s="12" t="s">
        <v>429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3</v>
      </c>
      <c r="B315" s="11" t="n">
        <v>46199</v>
      </c>
      <c r="C315" s="11" t="n">
        <v>46213</v>
      </c>
      <c r="D315" s="10" t="n">
        <v>1723</v>
      </c>
      <c r="E315" s="12" t="s">
        <v>54</v>
      </c>
      <c r="F315" s="10" t="n">
        <v>24</v>
      </c>
      <c r="G315" s="12" t="s">
        <v>31</v>
      </c>
      <c r="H315" s="10" t="n">
        <v>2110101</v>
      </c>
      <c r="I315" s="12" t="s">
        <v>32</v>
      </c>
      <c r="J315" s="10" t="n">
        <v>1321847</v>
      </c>
      <c r="L315" s="10" t="n">
        <v>54438</v>
      </c>
      <c r="M315" s="12" t="s">
        <v>33</v>
      </c>
      <c r="N315" s="12" t="s">
        <v>34</v>
      </c>
      <c r="P315" s="10" t="n">
        <v>128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3672</v>
      </c>
      <c r="W315" s="13" t="n">
        <v>0</v>
      </c>
      <c r="X315" s="12" t="s">
        <v>430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3</v>
      </c>
      <c r="B316" s="11" t="n">
        <v>46198</v>
      </c>
      <c r="C316" s="11" t="n">
        <v>46213</v>
      </c>
      <c r="D316" s="10" t="n">
        <v>1723</v>
      </c>
      <c r="E316" s="12" t="s">
        <v>54</v>
      </c>
      <c r="F316" s="10" t="n">
        <v>24</v>
      </c>
      <c r="G316" s="12" t="s">
        <v>31</v>
      </c>
      <c r="H316" s="10" t="n">
        <v>2110101</v>
      </c>
      <c r="I316" s="12" t="s">
        <v>32</v>
      </c>
      <c r="J316" s="10" t="n">
        <v>1321912</v>
      </c>
      <c r="L316" s="10" t="n">
        <v>54520</v>
      </c>
      <c r="M316" s="12" t="s">
        <v>33</v>
      </c>
      <c r="N316" s="12" t="s">
        <v>34</v>
      </c>
      <c r="P316" s="10" t="n">
        <v>128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2176</v>
      </c>
      <c r="W316" s="13" t="n">
        <v>0</v>
      </c>
      <c r="X316" s="12" t="s">
        <v>431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45.75" hidden="false" customHeight="true" outlineLevel="0" collapsed="false">
      <c r="A317" s="10" t="n">
        <v>3</v>
      </c>
      <c r="B317" s="11" t="n">
        <v>46202</v>
      </c>
      <c r="C317" s="11" t="n">
        <v>46213</v>
      </c>
      <c r="D317" s="10" t="n">
        <v>754</v>
      </c>
      <c r="E317" s="12" t="s">
        <v>284</v>
      </c>
      <c r="F317" s="10" t="n">
        <v>24</v>
      </c>
      <c r="G317" s="12" t="s">
        <v>31</v>
      </c>
      <c r="H317" s="10" t="n">
        <v>2110101</v>
      </c>
      <c r="I317" s="12" t="s">
        <v>32</v>
      </c>
      <c r="J317" s="10" t="n">
        <v>1329777</v>
      </c>
      <c r="L317" s="10" t="n">
        <v>1465791</v>
      </c>
      <c r="M317" s="12" t="s">
        <v>33</v>
      </c>
      <c r="N317" s="12" t="s">
        <v>34</v>
      </c>
      <c r="P317" s="10" t="n">
        <v>128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1307.95</v>
      </c>
      <c r="W317" s="13" t="n">
        <v>0</v>
      </c>
      <c r="X317" s="12" t="s">
        <v>432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3</v>
      </c>
      <c r="B318" s="11" t="n">
        <v>46202</v>
      </c>
      <c r="C318" s="11" t="n">
        <v>46213</v>
      </c>
      <c r="D318" s="10" t="n">
        <v>754</v>
      </c>
      <c r="E318" s="12" t="s">
        <v>284</v>
      </c>
      <c r="F318" s="10" t="n">
        <v>24</v>
      </c>
      <c r="G318" s="12" t="s">
        <v>31</v>
      </c>
      <c r="H318" s="10" t="n">
        <v>2110101</v>
      </c>
      <c r="I318" s="12" t="s">
        <v>32</v>
      </c>
      <c r="J318" s="10" t="n">
        <v>1329808</v>
      </c>
      <c r="L318" s="10" t="n">
        <v>1465781</v>
      </c>
      <c r="M318" s="12" t="s">
        <v>33</v>
      </c>
      <c r="N318" s="12" t="s">
        <v>34</v>
      </c>
      <c r="P318" s="10" t="n">
        <v>128</v>
      </c>
      <c r="Q318" s="12" t="s">
        <v>35</v>
      </c>
      <c r="R318" s="12" t="s">
        <v>36</v>
      </c>
      <c r="S318" s="10" t="n">
        <v>1130101</v>
      </c>
      <c r="T318" s="12" t="s">
        <v>37</v>
      </c>
      <c r="U318" s="13" t="n">
        <v>2224</v>
      </c>
      <c r="W318" s="13" t="n">
        <v>0</v>
      </c>
      <c r="X318" s="12" t="s">
        <v>433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45.75" hidden="false" customHeight="true" outlineLevel="0" collapsed="false">
      <c r="A319" s="10" t="n">
        <v>3</v>
      </c>
      <c r="B319" s="11" t="n">
        <v>46203</v>
      </c>
      <c r="C319" s="11" t="n">
        <v>46213</v>
      </c>
      <c r="D319" s="10" t="n">
        <v>1705</v>
      </c>
      <c r="E319" s="12" t="s">
        <v>252</v>
      </c>
      <c r="F319" s="10" t="n">
        <v>24</v>
      </c>
      <c r="G319" s="12" t="s">
        <v>31</v>
      </c>
      <c r="H319" s="10" t="n">
        <v>2110101</v>
      </c>
      <c r="I319" s="12" t="s">
        <v>32</v>
      </c>
      <c r="J319" s="10" t="n">
        <v>1330754</v>
      </c>
      <c r="L319" s="10" t="n">
        <v>11810947</v>
      </c>
      <c r="M319" s="12" t="s">
        <v>33</v>
      </c>
      <c r="N319" s="12" t="s">
        <v>34</v>
      </c>
      <c r="P319" s="10" t="n">
        <v>128</v>
      </c>
      <c r="Q319" s="12" t="s">
        <v>35</v>
      </c>
      <c r="R319" s="12" t="s">
        <v>36</v>
      </c>
      <c r="S319" s="10" t="n">
        <v>1130101</v>
      </c>
      <c r="T319" s="12" t="s">
        <v>37</v>
      </c>
      <c r="U319" s="13" t="n">
        <v>1485.01</v>
      </c>
      <c r="W319" s="13" t="n">
        <v>0</v>
      </c>
      <c r="X319" s="12" t="s">
        <v>434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45.75" hidden="false" customHeight="true" outlineLevel="0" collapsed="false">
      <c r="A320" s="10" t="n">
        <v>3</v>
      </c>
      <c r="B320" s="11" t="n">
        <v>46204</v>
      </c>
      <c r="C320" s="11" t="n">
        <v>46213</v>
      </c>
      <c r="D320" s="10" t="n">
        <v>1613</v>
      </c>
      <c r="E320" s="12" t="s">
        <v>209</v>
      </c>
      <c r="F320" s="10" t="n">
        <v>24</v>
      </c>
      <c r="G320" s="12" t="s">
        <v>31</v>
      </c>
      <c r="H320" s="10" t="n">
        <v>2110101</v>
      </c>
      <c r="I320" s="12" t="s">
        <v>32</v>
      </c>
      <c r="J320" s="10" t="n">
        <v>1335303</v>
      </c>
      <c r="L320" s="10" t="n">
        <v>16023163</v>
      </c>
      <c r="M320" s="12" t="s">
        <v>33</v>
      </c>
      <c r="N320" s="12" t="s">
        <v>34</v>
      </c>
      <c r="P320" s="10" t="n">
        <v>167</v>
      </c>
      <c r="Q320" s="12" t="s">
        <v>220</v>
      </c>
      <c r="R320" s="12" t="s">
        <v>36</v>
      </c>
      <c r="S320" s="10" t="n">
        <v>1130101</v>
      </c>
      <c r="T320" s="12" t="s">
        <v>37</v>
      </c>
      <c r="U320" s="13" t="n">
        <v>1398.81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45.75" hidden="false" customHeight="true" outlineLevel="0" collapsed="false">
      <c r="A321" s="10" t="n">
        <v>3</v>
      </c>
      <c r="B321" s="11" t="n">
        <v>46204</v>
      </c>
      <c r="C321" s="11" t="n">
        <v>46213</v>
      </c>
      <c r="D321" s="10" t="n">
        <v>1666</v>
      </c>
      <c r="E321" s="12" t="s">
        <v>179</v>
      </c>
      <c r="F321" s="10" t="n">
        <v>24</v>
      </c>
      <c r="G321" s="12" t="s">
        <v>31</v>
      </c>
      <c r="H321" s="10" t="n">
        <v>2110101</v>
      </c>
      <c r="I321" s="12" t="s">
        <v>32</v>
      </c>
      <c r="J321" s="10" t="n">
        <v>1340265</v>
      </c>
      <c r="L321" s="10" t="n">
        <v>56562613</v>
      </c>
      <c r="M321" s="12" t="s">
        <v>33</v>
      </c>
      <c r="N321" s="12" t="s">
        <v>34</v>
      </c>
      <c r="P321" s="10" t="n">
        <v>167</v>
      </c>
      <c r="Q321" s="12" t="s">
        <v>220</v>
      </c>
      <c r="R321" s="12" t="s">
        <v>36</v>
      </c>
      <c r="S321" s="10" t="n">
        <v>1130101</v>
      </c>
      <c r="T321" s="12" t="s">
        <v>37</v>
      </c>
      <c r="U321" s="13" t="n">
        <v>1891.66</v>
      </c>
      <c r="W321" s="13" t="n">
        <v>0</v>
      </c>
      <c r="X321" s="12" t="s">
        <v>436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3</v>
      </c>
      <c r="B322" s="11" t="n">
        <v>46205</v>
      </c>
      <c r="C322" s="11" t="n">
        <v>46213</v>
      </c>
      <c r="D322" s="10" t="n">
        <v>754</v>
      </c>
      <c r="E322" s="12" t="s">
        <v>284</v>
      </c>
      <c r="F322" s="10" t="n">
        <v>24</v>
      </c>
      <c r="G322" s="12" t="s">
        <v>31</v>
      </c>
      <c r="H322" s="10" t="n">
        <v>2110101</v>
      </c>
      <c r="I322" s="12" t="s">
        <v>32</v>
      </c>
      <c r="J322" s="10" t="n">
        <v>1340410</v>
      </c>
      <c r="L322" s="10" t="n">
        <v>1418151</v>
      </c>
      <c r="M322" s="12" t="s">
        <v>33</v>
      </c>
      <c r="N322" s="12" t="s">
        <v>34</v>
      </c>
      <c r="P322" s="10" t="n">
        <v>167</v>
      </c>
      <c r="Q322" s="12" t="s">
        <v>220</v>
      </c>
      <c r="R322" s="12" t="s">
        <v>36</v>
      </c>
      <c r="S322" s="10" t="n">
        <v>1130101</v>
      </c>
      <c r="T322" s="12" t="s">
        <v>37</v>
      </c>
      <c r="U322" s="13" t="n">
        <v>3294</v>
      </c>
      <c r="W322" s="13" t="n">
        <v>0</v>
      </c>
      <c r="X322" s="12" t="s">
        <v>437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3</v>
      </c>
      <c r="B323" s="11" t="n">
        <v>46213</v>
      </c>
      <c r="C323" s="11" t="n">
        <v>46213</v>
      </c>
      <c r="D323" s="10" t="n">
        <v>10047</v>
      </c>
      <c r="E323" s="12" t="s">
        <v>140</v>
      </c>
      <c r="F323" s="10" t="n">
        <v>24</v>
      </c>
      <c r="G323" s="12" t="s">
        <v>31</v>
      </c>
      <c r="H323" s="10" t="n">
        <v>1110204</v>
      </c>
      <c r="I323" s="12" t="s">
        <v>177</v>
      </c>
      <c r="J323" s="10" t="n">
        <v>1379335</v>
      </c>
      <c r="L323" s="10" t="n">
        <v>215319</v>
      </c>
      <c r="M323" s="12" t="s">
        <v>33</v>
      </c>
      <c r="N323" s="12" t="s">
        <v>34</v>
      </c>
      <c r="P323" s="10" t="n">
        <v>102</v>
      </c>
      <c r="Q323" s="12" t="s">
        <v>141</v>
      </c>
      <c r="R323" s="12" t="s">
        <v>36</v>
      </c>
      <c r="S323" s="10" t="n">
        <v>1130101</v>
      </c>
      <c r="T323" s="12" t="s">
        <v>37</v>
      </c>
      <c r="U323" s="13" t="n">
        <v>619.13</v>
      </c>
      <c r="W323" s="13" t="n">
        <v>0</v>
      </c>
      <c r="X323" s="12" t="s">
        <v>225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3</v>
      </c>
      <c r="B324" s="11" t="n">
        <v>46213</v>
      </c>
      <c r="C324" s="11" t="n">
        <v>46213</v>
      </c>
      <c r="D324" s="10" t="n">
        <v>10035</v>
      </c>
      <c r="E324" s="12" t="s">
        <v>300</v>
      </c>
      <c r="F324" s="10" t="n">
        <v>13</v>
      </c>
      <c r="G324" s="12" t="s">
        <v>91</v>
      </c>
      <c r="H324" s="10" t="n">
        <v>2110101</v>
      </c>
      <c r="I324" s="12" t="s">
        <v>32</v>
      </c>
      <c r="J324" s="10" t="n">
        <v>1381927</v>
      </c>
      <c r="L324" s="10" t="n">
        <v>354</v>
      </c>
      <c r="M324" s="12" t="s">
        <v>33</v>
      </c>
      <c r="N324" s="12" t="s">
        <v>40</v>
      </c>
      <c r="P324" s="10" t="n">
        <v>167</v>
      </c>
      <c r="Q324" s="12" t="s">
        <v>220</v>
      </c>
      <c r="R324" s="12" t="s">
        <v>36</v>
      </c>
      <c r="S324" s="10" t="n">
        <v>1130101</v>
      </c>
      <c r="T324" s="12" t="s">
        <v>37</v>
      </c>
      <c r="U324" s="13" t="n">
        <v>784</v>
      </c>
      <c r="W324" s="13" t="n">
        <v>784</v>
      </c>
      <c r="X324" s="12" t="s">
        <v>438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0" t="n">
        <v>3</v>
      </c>
      <c r="B325" s="11" t="n">
        <v>46213</v>
      </c>
      <c r="C325" s="11" t="n">
        <v>46213</v>
      </c>
      <c r="D325" s="10" t="n">
        <v>10094</v>
      </c>
      <c r="E325" s="12" t="s">
        <v>439</v>
      </c>
      <c r="F325" s="10" t="n">
        <v>13</v>
      </c>
      <c r="G325" s="12" t="s">
        <v>91</v>
      </c>
      <c r="H325" s="10" t="n">
        <v>2110101</v>
      </c>
      <c r="I325" s="12" t="s">
        <v>32</v>
      </c>
      <c r="J325" s="10" t="n">
        <v>1424658</v>
      </c>
      <c r="L325" s="10" t="n">
        <v>45</v>
      </c>
      <c r="M325" s="12" t="s">
        <v>33</v>
      </c>
      <c r="N325" s="12" t="s">
        <v>40</v>
      </c>
      <c r="P325" s="10" t="n">
        <v>167</v>
      </c>
      <c r="Q325" s="12" t="s">
        <v>220</v>
      </c>
      <c r="R325" s="12" t="s">
        <v>36</v>
      </c>
      <c r="S325" s="10" t="n">
        <v>1130101</v>
      </c>
      <c r="T325" s="12" t="s">
        <v>37</v>
      </c>
      <c r="U325" s="13" t="n">
        <v>54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0" t="n">
        <v>3</v>
      </c>
      <c r="B326" s="11" t="n">
        <v>46148</v>
      </c>
      <c r="C326" s="11" t="n">
        <v>46214</v>
      </c>
      <c r="D326" s="10" t="n">
        <v>1659</v>
      </c>
      <c r="E326" s="12" t="s">
        <v>30</v>
      </c>
      <c r="F326" s="10" t="n">
        <v>24</v>
      </c>
      <c r="G326" s="12" t="s">
        <v>31</v>
      </c>
      <c r="H326" s="10" t="n">
        <v>2110101</v>
      </c>
      <c r="I326" s="12" t="s">
        <v>32</v>
      </c>
      <c r="J326" s="10" t="n">
        <v>1062374</v>
      </c>
      <c r="L326" s="10" t="n">
        <v>8701273</v>
      </c>
      <c r="M326" s="12" t="s">
        <v>33</v>
      </c>
      <c r="N326" s="12" t="s">
        <v>34</v>
      </c>
      <c r="P326" s="10" t="n">
        <v>128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616.08</v>
      </c>
      <c r="W326" s="13" t="n">
        <v>0</v>
      </c>
      <c r="X326" s="12" t="s">
        <v>441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0" t="n">
        <v>3</v>
      </c>
      <c r="B327" s="11" t="n">
        <v>46161</v>
      </c>
      <c r="C327" s="11" t="n">
        <v>46214</v>
      </c>
      <c r="D327" s="10" t="n">
        <v>1778</v>
      </c>
      <c r="E327" s="12" t="s">
        <v>248</v>
      </c>
      <c r="F327" s="10" t="n">
        <v>24</v>
      </c>
      <c r="G327" s="12" t="s">
        <v>31</v>
      </c>
      <c r="H327" s="10" t="n">
        <v>2110405</v>
      </c>
      <c r="I327" s="12" t="s">
        <v>63</v>
      </c>
      <c r="J327" s="10" t="n">
        <v>1126731</v>
      </c>
      <c r="L327" s="10" t="n">
        <v>162050373</v>
      </c>
      <c r="M327" s="12" t="s">
        <v>33</v>
      </c>
      <c r="N327" s="12" t="s">
        <v>34</v>
      </c>
      <c r="P327" s="10" t="n">
        <v>128</v>
      </c>
      <c r="Q327" s="12" t="s">
        <v>35</v>
      </c>
      <c r="R327" s="12" t="s">
        <v>64</v>
      </c>
      <c r="S327" s="10" t="n">
        <v>4210207</v>
      </c>
      <c r="T327" s="12" t="s">
        <v>249</v>
      </c>
      <c r="U327" s="13" t="n">
        <v>64.16</v>
      </c>
      <c r="W327" s="13" t="n">
        <v>0</v>
      </c>
      <c r="X327" s="12" t="s">
        <v>249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45.75" hidden="false" customHeight="true" outlineLevel="0" collapsed="false">
      <c r="A328" s="10" t="n">
        <v>3</v>
      </c>
      <c r="B328" s="11" t="n">
        <v>46169</v>
      </c>
      <c r="C328" s="11" t="n">
        <v>46214</v>
      </c>
      <c r="D328" s="10" t="n">
        <v>1715</v>
      </c>
      <c r="E328" s="12" t="s">
        <v>78</v>
      </c>
      <c r="F328" s="10" t="n">
        <v>24</v>
      </c>
      <c r="G328" s="12" t="s">
        <v>31</v>
      </c>
      <c r="H328" s="10" t="n">
        <v>2110101</v>
      </c>
      <c r="I328" s="12" t="s">
        <v>32</v>
      </c>
      <c r="J328" s="10" t="n">
        <v>1160710</v>
      </c>
      <c r="L328" s="10" t="n">
        <v>1898653</v>
      </c>
      <c r="M328" s="12" t="s">
        <v>33</v>
      </c>
      <c r="N328" s="12" t="s">
        <v>34</v>
      </c>
      <c r="P328" s="10" t="n">
        <v>128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406.15</v>
      </c>
      <c r="W328" s="13" t="n">
        <v>0</v>
      </c>
      <c r="X328" s="12" t="s">
        <v>442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3</v>
      </c>
      <c r="B329" s="11" t="n">
        <v>46170</v>
      </c>
      <c r="C329" s="11" t="n">
        <v>46214</v>
      </c>
      <c r="D329" s="10" t="n">
        <v>1715</v>
      </c>
      <c r="E329" s="12" t="s">
        <v>78</v>
      </c>
      <c r="F329" s="10" t="n">
        <v>24</v>
      </c>
      <c r="G329" s="12" t="s">
        <v>31</v>
      </c>
      <c r="H329" s="10" t="n">
        <v>2110101</v>
      </c>
      <c r="I329" s="12" t="s">
        <v>32</v>
      </c>
      <c r="J329" s="10" t="n">
        <v>1171316</v>
      </c>
      <c r="L329" s="10" t="n">
        <v>18997973</v>
      </c>
      <c r="M329" s="12" t="s">
        <v>33</v>
      </c>
      <c r="N329" s="12" t="s">
        <v>34</v>
      </c>
      <c r="P329" s="10" t="n">
        <v>128</v>
      </c>
      <c r="Q329" s="12" t="s">
        <v>35</v>
      </c>
      <c r="R329" s="12" t="s">
        <v>36</v>
      </c>
      <c r="S329" s="10" t="n">
        <v>1130101</v>
      </c>
      <c r="T329" s="12" t="s">
        <v>37</v>
      </c>
      <c r="U329" s="13" t="n">
        <v>485.14</v>
      </c>
      <c r="W329" s="13" t="n">
        <v>0</v>
      </c>
      <c r="X329" s="12" t="s">
        <v>443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3</v>
      </c>
      <c r="B330" s="11" t="n">
        <v>46170</v>
      </c>
      <c r="C330" s="11" t="n">
        <v>46214</v>
      </c>
      <c r="D330" s="10" t="n">
        <v>1624</v>
      </c>
      <c r="E330" s="12" t="s">
        <v>117</v>
      </c>
      <c r="F330" s="10" t="n">
        <v>24</v>
      </c>
      <c r="G330" s="12" t="s">
        <v>31</v>
      </c>
      <c r="H330" s="10" t="n">
        <v>2110101</v>
      </c>
      <c r="I330" s="12" t="s">
        <v>32</v>
      </c>
      <c r="J330" s="10" t="n">
        <v>1176102</v>
      </c>
      <c r="L330" s="10" t="n">
        <v>6561744</v>
      </c>
      <c r="M330" s="12" t="s">
        <v>33</v>
      </c>
      <c r="N330" s="12" t="s">
        <v>34</v>
      </c>
      <c r="P330" s="10" t="n">
        <v>128</v>
      </c>
      <c r="Q330" s="12" t="s">
        <v>35</v>
      </c>
      <c r="R330" s="12" t="s">
        <v>36</v>
      </c>
      <c r="S330" s="10" t="n">
        <v>1130101</v>
      </c>
      <c r="T330" s="12" t="s">
        <v>37</v>
      </c>
      <c r="U330" s="13" t="n">
        <v>653.4</v>
      </c>
      <c r="W330" s="13" t="n">
        <v>0</v>
      </c>
      <c r="X330" s="12" t="s">
        <v>444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3</v>
      </c>
      <c r="B331" s="11" t="n">
        <v>46179</v>
      </c>
      <c r="C331" s="11" t="n">
        <v>46214</v>
      </c>
      <c r="D331" s="10" t="n">
        <v>1612</v>
      </c>
      <c r="E331" s="12" t="s">
        <v>192</v>
      </c>
      <c r="F331" s="10" t="n">
        <v>24</v>
      </c>
      <c r="G331" s="12" t="s">
        <v>31</v>
      </c>
      <c r="H331" s="10" t="n">
        <v>2110101</v>
      </c>
      <c r="I331" s="12" t="s">
        <v>32</v>
      </c>
      <c r="J331" s="10" t="n">
        <v>1210631</v>
      </c>
      <c r="L331" s="10" t="n">
        <v>22908833</v>
      </c>
      <c r="M331" s="12" t="s">
        <v>33</v>
      </c>
      <c r="N331" s="12" t="s">
        <v>34</v>
      </c>
      <c r="P331" s="10" t="n">
        <v>128</v>
      </c>
      <c r="Q331" s="12" t="s">
        <v>35</v>
      </c>
      <c r="R331" s="12" t="s">
        <v>36</v>
      </c>
      <c r="S331" s="10" t="n">
        <v>1130101</v>
      </c>
      <c r="T331" s="12" t="s">
        <v>37</v>
      </c>
      <c r="U331" s="13" t="n">
        <v>350</v>
      </c>
      <c r="W331" s="13" t="n">
        <v>0</v>
      </c>
      <c r="X331" s="12" t="s">
        <v>445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3</v>
      </c>
      <c r="B332" s="11" t="n">
        <v>46171</v>
      </c>
      <c r="C332" s="11" t="n">
        <v>46214</v>
      </c>
      <c r="D332" s="10" t="n">
        <v>1636</v>
      </c>
      <c r="E332" s="12" t="s">
        <v>195</v>
      </c>
      <c r="F332" s="10" t="n">
        <v>24</v>
      </c>
      <c r="G332" s="12" t="s">
        <v>31</v>
      </c>
      <c r="H332" s="10" t="n">
        <v>2110101</v>
      </c>
      <c r="I332" s="12" t="s">
        <v>32</v>
      </c>
      <c r="J332" s="10" t="n">
        <v>1222291</v>
      </c>
      <c r="L332" s="10" t="n">
        <v>31985344</v>
      </c>
      <c r="M332" s="12" t="s">
        <v>33</v>
      </c>
      <c r="N332" s="12" t="s">
        <v>34</v>
      </c>
      <c r="P332" s="10" t="n">
        <v>128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326.65</v>
      </c>
      <c r="W332" s="13" t="n">
        <v>0</v>
      </c>
      <c r="X332" s="12" t="s">
        <v>446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3</v>
      </c>
      <c r="B333" s="11" t="n">
        <v>46183</v>
      </c>
      <c r="C333" s="11" t="n">
        <v>46214</v>
      </c>
      <c r="D333" s="10" t="n">
        <v>794</v>
      </c>
      <c r="E333" s="12" t="s">
        <v>74</v>
      </c>
      <c r="F333" s="10" t="n">
        <v>24</v>
      </c>
      <c r="G333" s="12" t="s">
        <v>31</v>
      </c>
      <c r="H333" s="10" t="n">
        <v>2110101</v>
      </c>
      <c r="I333" s="12" t="s">
        <v>32</v>
      </c>
      <c r="J333" s="10" t="n">
        <v>1230857</v>
      </c>
      <c r="L333" s="10" t="n">
        <v>48803</v>
      </c>
      <c r="M333" s="12" t="s">
        <v>33</v>
      </c>
      <c r="N333" s="12" t="s">
        <v>34</v>
      </c>
      <c r="P333" s="10" t="n">
        <v>128</v>
      </c>
      <c r="Q333" s="12" t="s">
        <v>35</v>
      </c>
      <c r="R333" s="12" t="s">
        <v>36</v>
      </c>
      <c r="S333" s="10" t="n">
        <v>1130101</v>
      </c>
      <c r="T333" s="12" t="s">
        <v>37</v>
      </c>
      <c r="U333" s="13" t="n">
        <v>496.04</v>
      </c>
      <c r="W333" s="13" t="n">
        <v>0</v>
      </c>
      <c r="X333" s="12" t="s">
        <v>447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3</v>
      </c>
      <c r="B334" s="11" t="n">
        <v>46182</v>
      </c>
      <c r="C334" s="11" t="n">
        <v>46214</v>
      </c>
      <c r="D334" s="10" t="n">
        <v>957</v>
      </c>
      <c r="E334" s="12" t="s">
        <v>134</v>
      </c>
      <c r="F334" s="10" t="n">
        <v>24</v>
      </c>
      <c r="G334" s="12" t="s">
        <v>31</v>
      </c>
      <c r="H334" s="10" t="n">
        <v>2110101</v>
      </c>
      <c r="I334" s="12" t="s">
        <v>32</v>
      </c>
      <c r="J334" s="10" t="n">
        <v>1231861</v>
      </c>
      <c r="L334" s="10" t="n">
        <v>202662</v>
      </c>
      <c r="M334" s="12" t="s">
        <v>33</v>
      </c>
      <c r="N334" s="12" t="s">
        <v>34</v>
      </c>
      <c r="P334" s="10" t="n">
        <v>128</v>
      </c>
      <c r="Q334" s="12" t="s">
        <v>35</v>
      </c>
      <c r="R334" s="12" t="s">
        <v>36</v>
      </c>
      <c r="S334" s="10" t="n">
        <v>1130101</v>
      </c>
      <c r="T334" s="12" t="s">
        <v>37</v>
      </c>
      <c r="U334" s="13" t="n">
        <v>227.28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27.75" hidden="false" customHeight="true" outlineLevel="0" collapsed="false">
      <c r="A335" s="10" t="n">
        <v>3</v>
      </c>
      <c r="B335" s="11" t="n">
        <v>46183</v>
      </c>
      <c r="C335" s="11" t="n">
        <v>46214</v>
      </c>
      <c r="D335" s="10" t="n">
        <v>1601</v>
      </c>
      <c r="E335" s="12" t="s">
        <v>50</v>
      </c>
      <c r="F335" s="10" t="n">
        <v>24</v>
      </c>
      <c r="G335" s="12" t="s">
        <v>31</v>
      </c>
      <c r="H335" s="10" t="n">
        <v>2110101</v>
      </c>
      <c r="I335" s="12" t="s">
        <v>32</v>
      </c>
      <c r="J335" s="10" t="n">
        <v>1236004</v>
      </c>
      <c r="L335" s="10" t="n">
        <v>9383743</v>
      </c>
      <c r="M335" s="12" t="s">
        <v>33</v>
      </c>
      <c r="N335" s="12" t="s">
        <v>34</v>
      </c>
      <c r="P335" s="10" t="n">
        <v>128</v>
      </c>
      <c r="Q335" s="12" t="s">
        <v>35</v>
      </c>
      <c r="R335" s="12" t="s">
        <v>36</v>
      </c>
      <c r="S335" s="10" t="n">
        <v>1130101</v>
      </c>
      <c r="T335" s="12" t="s">
        <v>37</v>
      </c>
      <c r="U335" s="13" t="n">
        <v>504.26</v>
      </c>
      <c r="W335" s="13" t="n">
        <v>0</v>
      </c>
      <c r="X335" s="12" t="s">
        <v>449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3</v>
      </c>
      <c r="B336" s="11" t="n">
        <v>46184</v>
      </c>
      <c r="C336" s="11" t="n">
        <v>46214</v>
      </c>
      <c r="D336" s="10" t="n">
        <v>1659</v>
      </c>
      <c r="E336" s="12" t="s">
        <v>30</v>
      </c>
      <c r="F336" s="10" t="n">
        <v>24</v>
      </c>
      <c r="G336" s="12" t="s">
        <v>31</v>
      </c>
      <c r="H336" s="10" t="n">
        <v>2110101</v>
      </c>
      <c r="I336" s="12" t="s">
        <v>32</v>
      </c>
      <c r="J336" s="10" t="n">
        <v>1241418</v>
      </c>
      <c r="L336" s="10" t="n">
        <v>8782352</v>
      </c>
      <c r="M336" s="12" t="s">
        <v>33</v>
      </c>
      <c r="N336" s="12" t="s">
        <v>34</v>
      </c>
      <c r="P336" s="10" t="n">
        <v>128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427.88</v>
      </c>
      <c r="W336" s="13" t="n">
        <v>0</v>
      </c>
      <c r="X336" s="12" t="s">
        <v>450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45.75" hidden="false" customHeight="true" outlineLevel="0" collapsed="false">
      <c r="A337" s="10" t="n">
        <v>3</v>
      </c>
      <c r="B337" s="11" t="n">
        <v>46190</v>
      </c>
      <c r="C337" s="11" t="n">
        <v>46214</v>
      </c>
      <c r="D337" s="10" t="n">
        <v>1815</v>
      </c>
      <c r="E337" s="12" t="s">
        <v>157</v>
      </c>
      <c r="F337" s="10" t="n">
        <v>24</v>
      </c>
      <c r="G337" s="12" t="s">
        <v>31</v>
      </c>
      <c r="H337" s="10" t="n">
        <v>2110101</v>
      </c>
      <c r="I337" s="12" t="s">
        <v>32</v>
      </c>
      <c r="J337" s="10" t="n">
        <v>1265568</v>
      </c>
      <c r="L337" s="10" t="n">
        <v>4512042</v>
      </c>
      <c r="M337" s="12" t="s">
        <v>33</v>
      </c>
      <c r="N337" s="12" t="s">
        <v>34</v>
      </c>
      <c r="P337" s="10" t="n">
        <v>128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369</v>
      </c>
      <c r="W337" s="13" t="n">
        <v>0</v>
      </c>
      <c r="X337" s="12" t="s">
        <v>451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45.75" hidden="false" customHeight="true" outlineLevel="0" collapsed="false">
      <c r="A338" s="10" t="n">
        <v>3</v>
      </c>
      <c r="B338" s="11" t="n">
        <v>46189</v>
      </c>
      <c r="C338" s="11" t="n">
        <v>46214</v>
      </c>
      <c r="D338" s="10" t="n">
        <v>1636</v>
      </c>
      <c r="E338" s="12" t="s">
        <v>195</v>
      </c>
      <c r="F338" s="10" t="n">
        <v>24</v>
      </c>
      <c r="G338" s="12" t="s">
        <v>31</v>
      </c>
      <c r="H338" s="10" t="n">
        <v>2110101</v>
      </c>
      <c r="I338" s="12" t="s">
        <v>32</v>
      </c>
      <c r="J338" s="10" t="n">
        <v>1265915</v>
      </c>
      <c r="L338" s="10" t="n">
        <v>32042672</v>
      </c>
      <c r="M338" s="12" t="s">
        <v>33</v>
      </c>
      <c r="N338" s="12" t="s">
        <v>34</v>
      </c>
      <c r="P338" s="10" t="n">
        <v>128</v>
      </c>
      <c r="Q338" s="12" t="s">
        <v>35</v>
      </c>
      <c r="R338" s="12" t="s">
        <v>36</v>
      </c>
      <c r="S338" s="10" t="n">
        <v>1130101</v>
      </c>
      <c r="T338" s="12" t="s">
        <v>37</v>
      </c>
      <c r="U338" s="13" t="n">
        <v>358.9</v>
      </c>
      <c r="W338" s="13" t="n">
        <v>0</v>
      </c>
      <c r="X338" s="12" t="s">
        <v>452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72.75" hidden="false" customHeight="true" outlineLevel="0" collapsed="false">
      <c r="A339" s="10" t="n">
        <v>3</v>
      </c>
      <c r="B339" s="11" t="n">
        <v>46190</v>
      </c>
      <c r="C339" s="11" t="n">
        <v>46214</v>
      </c>
      <c r="D339" s="10" t="n">
        <v>1734</v>
      </c>
      <c r="E339" s="12" t="s">
        <v>214</v>
      </c>
      <c r="F339" s="10" t="n">
        <v>24</v>
      </c>
      <c r="G339" s="12" t="s">
        <v>31</v>
      </c>
      <c r="H339" s="10" t="n">
        <v>2110101</v>
      </c>
      <c r="I339" s="12" t="s">
        <v>32</v>
      </c>
      <c r="J339" s="10" t="n">
        <v>1266199</v>
      </c>
      <c r="L339" s="10" t="n">
        <v>253629</v>
      </c>
      <c r="M339" s="12" t="s">
        <v>33</v>
      </c>
      <c r="N339" s="12" t="s">
        <v>40</v>
      </c>
      <c r="P339" s="10" t="n">
        <v>128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352.46</v>
      </c>
      <c r="W339" s="13" t="n">
        <v>0</v>
      </c>
      <c r="X339" s="12" t="s">
        <v>453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72.75" hidden="false" customHeight="true" outlineLevel="0" collapsed="false">
      <c r="A340" s="10" t="n">
        <v>3</v>
      </c>
      <c r="B340" s="11" t="n">
        <v>46189</v>
      </c>
      <c r="C340" s="11" t="n">
        <v>46214</v>
      </c>
      <c r="D340" s="10" t="n">
        <v>1699</v>
      </c>
      <c r="E340" s="12" t="s">
        <v>87</v>
      </c>
      <c r="F340" s="10" t="n">
        <v>24</v>
      </c>
      <c r="G340" s="12" t="s">
        <v>31</v>
      </c>
      <c r="H340" s="10" t="n">
        <v>2110101</v>
      </c>
      <c r="I340" s="12" t="s">
        <v>32</v>
      </c>
      <c r="J340" s="10" t="n">
        <v>1266329</v>
      </c>
      <c r="L340" s="10" t="n">
        <v>3047922</v>
      </c>
      <c r="M340" s="12" t="s">
        <v>33</v>
      </c>
      <c r="N340" s="12" t="s">
        <v>34</v>
      </c>
      <c r="P340" s="10" t="n">
        <v>128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391.4</v>
      </c>
      <c r="W340" s="13" t="n">
        <v>0</v>
      </c>
      <c r="X340" s="12" t="s">
        <v>454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45.75" hidden="false" customHeight="true" outlineLevel="0" collapsed="false">
      <c r="A341" s="10" t="n">
        <v>3</v>
      </c>
      <c r="B341" s="11" t="n">
        <v>46191</v>
      </c>
      <c r="C341" s="11" t="n">
        <v>46214</v>
      </c>
      <c r="D341" s="10" t="n">
        <v>1266</v>
      </c>
      <c r="E341" s="12" t="s">
        <v>328</v>
      </c>
      <c r="F341" s="10" t="n">
        <v>24</v>
      </c>
      <c r="G341" s="12" t="s">
        <v>31</v>
      </c>
      <c r="H341" s="10" t="n">
        <v>2110101</v>
      </c>
      <c r="I341" s="12" t="s">
        <v>32</v>
      </c>
      <c r="J341" s="10" t="n">
        <v>1269290</v>
      </c>
      <c r="L341" s="10" t="n">
        <v>29852</v>
      </c>
      <c r="M341" s="12" t="s">
        <v>33</v>
      </c>
      <c r="N341" s="12" t="s">
        <v>34</v>
      </c>
      <c r="P341" s="10" t="n">
        <v>128</v>
      </c>
      <c r="Q341" s="12" t="s">
        <v>35</v>
      </c>
      <c r="R341" s="12" t="s">
        <v>64</v>
      </c>
      <c r="S341" s="10" t="n">
        <v>4210227</v>
      </c>
      <c r="T341" s="12" t="s">
        <v>65</v>
      </c>
      <c r="U341" s="13" t="n">
        <v>506.02</v>
      </c>
      <c r="W341" s="13" t="n">
        <v>0</v>
      </c>
      <c r="X341" s="12" t="s">
        <v>455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</row>
    <row r="342" customFormat="false" ht="45.75" hidden="false" customHeight="true" outlineLevel="0" collapsed="false">
      <c r="A342" s="10" t="n">
        <v>3</v>
      </c>
      <c r="B342" s="11" t="n">
        <v>46193</v>
      </c>
      <c r="C342" s="11" t="n">
        <v>46214</v>
      </c>
      <c r="D342" s="10" t="n">
        <v>1665</v>
      </c>
      <c r="E342" s="12" t="s">
        <v>456</v>
      </c>
      <c r="F342" s="10" t="n">
        <v>24</v>
      </c>
      <c r="G342" s="12" t="s">
        <v>31</v>
      </c>
      <c r="H342" s="10" t="n">
        <v>2110101</v>
      </c>
      <c r="I342" s="12" t="s">
        <v>32</v>
      </c>
      <c r="J342" s="10" t="n">
        <v>1279772</v>
      </c>
      <c r="L342" s="10" t="n">
        <v>133055</v>
      </c>
      <c r="M342" s="12" t="s">
        <v>33</v>
      </c>
      <c r="N342" s="12" t="s">
        <v>40</v>
      </c>
      <c r="P342" s="10" t="n">
        <v>128</v>
      </c>
      <c r="Q342" s="12" t="s">
        <v>35</v>
      </c>
      <c r="R342" s="12" t="s">
        <v>36</v>
      </c>
      <c r="S342" s="10" t="n">
        <v>1130101</v>
      </c>
      <c r="T342" s="12" t="s">
        <v>37</v>
      </c>
      <c r="U342" s="13" t="n">
        <v>320.4</v>
      </c>
      <c r="W342" s="13" t="n">
        <v>0</v>
      </c>
      <c r="X342" s="12" t="s">
        <v>457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63.75" hidden="false" customHeight="true" outlineLevel="0" collapsed="false">
      <c r="A343" s="10" t="n">
        <v>3</v>
      </c>
      <c r="B343" s="11" t="n">
        <v>46196</v>
      </c>
      <c r="C343" s="11" t="n">
        <v>46214</v>
      </c>
      <c r="D343" s="10" t="n">
        <v>1608</v>
      </c>
      <c r="E343" s="12" t="s">
        <v>69</v>
      </c>
      <c r="F343" s="10" t="n">
        <v>24</v>
      </c>
      <c r="G343" s="12" t="s">
        <v>31</v>
      </c>
      <c r="H343" s="10" t="n">
        <v>2110101</v>
      </c>
      <c r="I343" s="12" t="s">
        <v>32</v>
      </c>
      <c r="J343" s="10" t="n">
        <v>1293870</v>
      </c>
      <c r="L343" s="10" t="n">
        <v>16788401</v>
      </c>
      <c r="M343" s="12" t="s">
        <v>33</v>
      </c>
      <c r="N343" s="12" t="s">
        <v>34</v>
      </c>
      <c r="P343" s="10" t="n">
        <v>128</v>
      </c>
      <c r="Q343" s="12" t="s">
        <v>35</v>
      </c>
      <c r="R343" s="12" t="s">
        <v>36</v>
      </c>
      <c r="S343" s="10" t="n">
        <v>1130101</v>
      </c>
      <c r="T343" s="12" t="s">
        <v>37</v>
      </c>
      <c r="U343" s="13" t="n">
        <v>338.66</v>
      </c>
      <c r="W343" s="13" t="n">
        <v>0</v>
      </c>
      <c r="X343" s="12" t="s">
        <v>458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63.75" hidden="false" customHeight="true" outlineLevel="0" collapsed="false">
      <c r="A344" s="10" t="n">
        <v>3</v>
      </c>
      <c r="B344" s="11" t="n">
        <v>46195</v>
      </c>
      <c r="C344" s="11" t="n">
        <v>46214</v>
      </c>
      <c r="D344" s="10" t="n">
        <v>440</v>
      </c>
      <c r="E344" s="12" t="s">
        <v>291</v>
      </c>
      <c r="F344" s="10" t="n">
        <v>24</v>
      </c>
      <c r="G344" s="12" t="s">
        <v>31</v>
      </c>
      <c r="H344" s="10" t="n">
        <v>2110101</v>
      </c>
      <c r="I344" s="12" t="s">
        <v>32</v>
      </c>
      <c r="J344" s="10" t="n">
        <v>1293963</v>
      </c>
      <c r="L344" s="10" t="n">
        <v>166752</v>
      </c>
      <c r="M344" s="12" t="s">
        <v>33</v>
      </c>
      <c r="N344" s="12" t="s">
        <v>34</v>
      </c>
      <c r="P344" s="10" t="n">
        <v>128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431</v>
      </c>
      <c r="W344" s="13" t="n">
        <v>0</v>
      </c>
      <c r="X344" s="12" t="s">
        <v>459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63.75" hidden="false" customHeight="true" outlineLevel="0" collapsed="false">
      <c r="A345" s="10" t="n">
        <v>3</v>
      </c>
      <c r="B345" s="11" t="n">
        <v>46195</v>
      </c>
      <c r="C345" s="11" t="n">
        <v>46214</v>
      </c>
      <c r="D345" s="10" t="n">
        <v>1166</v>
      </c>
      <c r="E345" s="12" t="s">
        <v>460</v>
      </c>
      <c r="F345" s="10" t="n">
        <v>24</v>
      </c>
      <c r="G345" s="12" t="s">
        <v>31</v>
      </c>
      <c r="H345" s="10" t="n">
        <v>2110101</v>
      </c>
      <c r="I345" s="12" t="s">
        <v>32</v>
      </c>
      <c r="J345" s="10" t="n">
        <v>1295745</v>
      </c>
      <c r="L345" s="10" t="n">
        <v>34237</v>
      </c>
      <c r="M345" s="12" t="s">
        <v>33</v>
      </c>
      <c r="N345" s="12" t="s">
        <v>34</v>
      </c>
      <c r="P345" s="10" t="n">
        <v>128</v>
      </c>
      <c r="Q345" s="12" t="s">
        <v>35</v>
      </c>
      <c r="R345" s="12" t="s">
        <v>36</v>
      </c>
      <c r="S345" s="10" t="n">
        <v>1130101</v>
      </c>
      <c r="T345" s="12" t="s">
        <v>37</v>
      </c>
      <c r="U345" s="13" t="n">
        <v>534.8</v>
      </c>
      <c r="W345" s="13" t="n">
        <v>0</v>
      </c>
      <c r="X345" s="12" t="s">
        <v>461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45.75" hidden="false" customHeight="true" outlineLevel="0" collapsed="false">
      <c r="A346" s="10" t="n">
        <v>3</v>
      </c>
      <c r="B346" s="11" t="n">
        <v>46197</v>
      </c>
      <c r="C346" s="11" t="n">
        <v>46214</v>
      </c>
      <c r="D346" s="10" t="n">
        <v>1643</v>
      </c>
      <c r="E346" s="12" t="s">
        <v>462</v>
      </c>
      <c r="F346" s="10" t="n">
        <v>24</v>
      </c>
      <c r="G346" s="12" t="s">
        <v>31</v>
      </c>
      <c r="H346" s="10" t="n">
        <v>2110101</v>
      </c>
      <c r="I346" s="12" t="s">
        <v>32</v>
      </c>
      <c r="J346" s="10" t="n">
        <v>1298980</v>
      </c>
      <c r="L346" s="10" t="n">
        <v>10638</v>
      </c>
      <c r="M346" s="12" t="s">
        <v>33</v>
      </c>
      <c r="N346" s="12" t="s">
        <v>40</v>
      </c>
      <c r="P346" s="10" t="n">
        <v>128</v>
      </c>
      <c r="Q346" s="12" t="s">
        <v>35</v>
      </c>
      <c r="R346" s="12" t="s">
        <v>36</v>
      </c>
      <c r="S346" s="10" t="n">
        <v>1130101</v>
      </c>
      <c r="T346" s="12" t="s">
        <v>37</v>
      </c>
      <c r="U346" s="13" t="n">
        <v>266</v>
      </c>
      <c r="W346" s="13" t="n">
        <v>0</v>
      </c>
      <c r="X346" s="12" t="s">
        <v>463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45.75" hidden="false" customHeight="true" outlineLevel="0" collapsed="false">
      <c r="A347" s="10" t="n">
        <v>3</v>
      </c>
      <c r="B347" s="11" t="n">
        <v>46196</v>
      </c>
      <c r="C347" s="11" t="n">
        <v>46214</v>
      </c>
      <c r="D347" s="10" t="n">
        <v>1734</v>
      </c>
      <c r="E347" s="12" t="s">
        <v>214</v>
      </c>
      <c r="F347" s="10" t="n">
        <v>24</v>
      </c>
      <c r="G347" s="12" t="s">
        <v>31</v>
      </c>
      <c r="H347" s="10" t="n">
        <v>2110101</v>
      </c>
      <c r="I347" s="12" t="s">
        <v>32</v>
      </c>
      <c r="J347" s="10" t="n">
        <v>1304374</v>
      </c>
      <c r="L347" s="10" t="n">
        <v>2540811</v>
      </c>
      <c r="M347" s="12" t="s">
        <v>33</v>
      </c>
      <c r="N347" s="12" t="s">
        <v>34</v>
      </c>
      <c r="P347" s="10" t="n">
        <v>128</v>
      </c>
      <c r="Q347" s="12" t="s">
        <v>35</v>
      </c>
      <c r="R347" s="12" t="s">
        <v>36</v>
      </c>
      <c r="S347" s="10" t="n">
        <v>1130101</v>
      </c>
      <c r="T347" s="12" t="s">
        <v>37</v>
      </c>
      <c r="U347" s="13" t="n">
        <v>324.28</v>
      </c>
      <c r="W347" s="13" t="n">
        <v>0</v>
      </c>
      <c r="X347" s="12" t="s">
        <v>464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45.75" hidden="false" customHeight="true" outlineLevel="0" collapsed="false">
      <c r="A348" s="10" t="n">
        <v>3</v>
      </c>
      <c r="B348" s="11" t="n">
        <v>46196</v>
      </c>
      <c r="C348" s="11" t="n">
        <v>46214</v>
      </c>
      <c r="D348" s="10" t="n">
        <v>1196</v>
      </c>
      <c r="E348" s="12" t="s">
        <v>293</v>
      </c>
      <c r="F348" s="10" t="n">
        <v>24</v>
      </c>
      <c r="G348" s="12" t="s">
        <v>31</v>
      </c>
      <c r="H348" s="10" t="n">
        <v>2110101</v>
      </c>
      <c r="I348" s="12" t="s">
        <v>32</v>
      </c>
      <c r="J348" s="10" t="n">
        <v>1304403</v>
      </c>
      <c r="L348" s="10" t="n">
        <v>125432</v>
      </c>
      <c r="M348" s="12" t="s">
        <v>33</v>
      </c>
      <c r="N348" s="12" t="s">
        <v>34</v>
      </c>
      <c r="P348" s="10" t="n">
        <v>128</v>
      </c>
      <c r="Q348" s="12" t="s">
        <v>35</v>
      </c>
      <c r="R348" s="12" t="s">
        <v>36</v>
      </c>
      <c r="S348" s="10" t="n">
        <v>1130101</v>
      </c>
      <c r="T348" s="12" t="s">
        <v>37</v>
      </c>
      <c r="U348" s="13" t="n">
        <v>431.88</v>
      </c>
      <c r="W348" s="13" t="n">
        <v>0</v>
      </c>
      <c r="X348" s="12" t="s">
        <v>465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3</v>
      </c>
      <c r="B349" s="11" t="n">
        <v>46195</v>
      </c>
      <c r="C349" s="11" t="n">
        <v>46214</v>
      </c>
      <c r="D349" s="10" t="n">
        <v>1604</v>
      </c>
      <c r="E349" s="12" t="s">
        <v>466</v>
      </c>
      <c r="F349" s="10" t="n">
        <v>24</v>
      </c>
      <c r="G349" s="12" t="s">
        <v>31</v>
      </c>
      <c r="H349" s="10" t="n">
        <v>2110101</v>
      </c>
      <c r="I349" s="12" t="s">
        <v>32</v>
      </c>
      <c r="J349" s="10" t="n">
        <v>1305142</v>
      </c>
      <c r="L349" s="10" t="n">
        <v>3327591</v>
      </c>
      <c r="M349" s="12" t="s">
        <v>33</v>
      </c>
      <c r="N349" s="12" t="s">
        <v>34</v>
      </c>
      <c r="P349" s="10" t="n">
        <v>128</v>
      </c>
      <c r="Q349" s="12" t="s">
        <v>35</v>
      </c>
      <c r="R349" s="12" t="s">
        <v>36</v>
      </c>
      <c r="S349" s="10" t="n">
        <v>1130101</v>
      </c>
      <c r="T349" s="12" t="s">
        <v>37</v>
      </c>
      <c r="U349" s="13" t="n">
        <v>637.32</v>
      </c>
      <c r="W349" s="13" t="n">
        <v>0</v>
      </c>
      <c r="X349" s="12" t="s">
        <v>467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45.75" hidden="false" customHeight="true" outlineLevel="0" collapsed="false">
      <c r="A350" s="10" t="n">
        <v>3</v>
      </c>
      <c r="B350" s="11" t="n">
        <v>46198</v>
      </c>
      <c r="C350" s="11" t="n">
        <v>46214</v>
      </c>
      <c r="D350" s="10" t="n">
        <v>1616</v>
      </c>
      <c r="E350" s="12" t="s">
        <v>72</v>
      </c>
      <c r="F350" s="10" t="n">
        <v>24</v>
      </c>
      <c r="G350" s="12" t="s">
        <v>31</v>
      </c>
      <c r="H350" s="10" t="n">
        <v>2110101</v>
      </c>
      <c r="I350" s="12" t="s">
        <v>32</v>
      </c>
      <c r="J350" s="10" t="n">
        <v>1321500</v>
      </c>
      <c r="L350" s="10" t="n">
        <v>6474031</v>
      </c>
      <c r="M350" s="12" t="s">
        <v>33</v>
      </c>
      <c r="N350" s="12" t="s">
        <v>34</v>
      </c>
      <c r="P350" s="10" t="n">
        <v>128</v>
      </c>
      <c r="Q350" s="12" t="s">
        <v>35</v>
      </c>
      <c r="R350" s="12" t="s">
        <v>36</v>
      </c>
      <c r="S350" s="10" t="n">
        <v>1130101</v>
      </c>
      <c r="T350" s="12" t="s">
        <v>37</v>
      </c>
      <c r="U350" s="13" t="n">
        <v>553.36</v>
      </c>
      <c r="W350" s="13" t="n">
        <v>0</v>
      </c>
      <c r="X350" s="12" t="s">
        <v>468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0" t="n">
        <v>3</v>
      </c>
      <c r="B351" s="11" t="n">
        <v>46203</v>
      </c>
      <c r="C351" s="11" t="n">
        <v>46214</v>
      </c>
      <c r="D351" s="10" t="n">
        <v>1722</v>
      </c>
      <c r="E351" s="12" t="s">
        <v>469</v>
      </c>
      <c r="F351" s="10" t="n">
        <v>24</v>
      </c>
      <c r="G351" s="12" t="s">
        <v>31</v>
      </c>
      <c r="H351" s="10" t="n">
        <v>2110101</v>
      </c>
      <c r="I351" s="12" t="s">
        <v>32</v>
      </c>
      <c r="J351" s="10" t="n">
        <v>1330737</v>
      </c>
      <c r="L351" s="10" t="n">
        <v>6686</v>
      </c>
      <c r="M351" s="12" t="s">
        <v>33</v>
      </c>
      <c r="N351" s="12" t="s">
        <v>40</v>
      </c>
      <c r="P351" s="10" t="n">
        <v>128</v>
      </c>
      <c r="Q351" s="12" t="s">
        <v>35</v>
      </c>
      <c r="R351" s="12" t="s">
        <v>36</v>
      </c>
      <c r="S351" s="10" t="n">
        <v>1130101</v>
      </c>
      <c r="T351" s="12" t="s">
        <v>37</v>
      </c>
      <c r="U351" s="13" t="n">
        <v>303</v>
      </c>
      <c r="W351" s="13" t="n">
        <v>0</v>
      </c>
      <c r="X351" s="12" t="s">
        <v>470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0" t="n">
        <v>3</v>
      </c>
      <c r="B352" s="11" t="n">
        <v>46204</v>
      </c>
      <c r="C352" s="11" t="n">
        <v>46214</v>
      </c>
      <c r="D352" s="10" t="n">
        <v>1734</v>
      </c>
      <c r="E352" s="12" t="s">
        <v>214</v>
      </c>
      <c r="F352" s="10" t="n">
        <v>24</v>
      </c>
      <c r="G352" s="12" t="s">
        <v>31</v>
      </c>
      <c r="H352" s="10" t="n">
        <v>2110101</v>
      </c>
      <c r="I352" s="12" t="s">
        <v>32</v>
      </c>
      <c r="J352" s="10" t="n">
        <v>1334395</v>
      </c>
      <c r="L352" s="10" t="n">
        <v>2545121</v>
      </c>
      <c r="M352" s="12" t="s">
        <v>33</v>
      </c>
      <c r="N352" s="12" t="s">
        <v>34</v>
      </c>
      <c r="P352" s="10" t="n">
        <v>167</v>
      </c>
      <c r="Q352" s="12" t="s">
        <v>220</v>
      </c>
      <c r="R352" s="12" t="s">
        <v>36</v>
      </c>
      <c r="S352" s="10" t="n">
        <v>1130101</v>
      </c>
      <c r="T352" s="12" t="s">
        <v>37</v>
      </c>
      <c r="U352" s="13" t="n">
        <v>325</v>
      </c>
      <c r="W352" s="13" t="n">
        <v>0</v>
      </c>
      <c r="X352" s="12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3</v>
      </c>
      <c r="B353" s="11" t="n">
        <v>46204</v>
      </c>
      <c r="C353" s="11" t="n">
        <v>46214</v>
      </c>
      <c r="D353" s="10" t="n">
        <v>1457</v>
      </c>
      <c r="E353" s="12" t="s">
        <v>39</v>
      </c>
      <c r="F353" s="10" t="n">
        <v>24</v>
      </c>
      <c r="G353" s="12" t="s">
        <v>31</v>
      </c>
      <c r="H353" s="10" t="n">
        <v>2110101</v>
      </c>
      <c r="I353" s="12" t="s">
        <v>32</v>
      </c>
      <c r="J353" s="10" t="n">
        <v>1335386</v>
      </c>
      <c r="L353" s="10" t="n">
        <v>12547</v>
      </c>
      <c r="M353" s="12" t="s">
        <v>33</v>
      </c>
      <c r="N353" s="12" t="s">
        <v>34</v>
      </c>
      <c r="P353" s="10" t="n">
        <v>167</v>
      </c>
      <c r="Q353" s="12" t="s">
        <v>220</v>
      </c>
      <c r="R353" s="12" t="s">
        <v>36</v>
      </c>
      <c r="S353" s="10" t="n">
        <v>1130101</v>
      </c>
      <c r="T353" s="12" t="s">
        <v>37</v>
      </c>
      <c r="U353" s="13" t="n">
        <v>328.41</v>
      </c>
      <c r="W353" s="13" t="n">
        <v>0</v>
      </c>
      <c r="X353" s="12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3</v>
      </c>
      <c r="B354" s="11" t="n">
        <v>46205</v>
      </c>
      <c r="C354" s="11" t="n">
        <v>46214</v>
      </c>
      <c r="D354" s="10" t="n">
        <v>1642</v>
      </c>
      <c r="E354" s="12" t="s">
        <v>48</v>
      </c>
      <c r="F354" s="10" t="n">
        <v>24</v>
      </c>
      <c r="G354" s="12" t="s">
        <v>31</v>
      </c>
      <c r="H354" s="10" t="n">
        <v>2110101</v>
      </c>
      <c r="I354" s="12" t="s">
        <v>32</v>
      </c>
      <c r="J354" s="10" t="n">
        <v>1339278</v>
      </c>
      <c r="L354" s="10" t="n">
        <v>1029881</v>
      </c>
      <c r="M354" s="12" t="s">
        <v>33</v>
      </c>
      <c r="N354" s="12" t="s">
        <v>40</v>
      </c>
      <c r="P354" s="10" t="n">
        <v>167</v>
      </c>
      <c r="Q354" s="12" t="s">
        <v>220</v>
      </c>
      <c r="R354" s="12" t="s">
        <v>36</v>
      </c>
      <c r="S354" s="10" t="n">
        <v>1130101</v>
      </c>
      <c r="T354" s="12" t="s">
        <v>37</v>
      </c>
      <c r="U354" s="13" t="n">
        <v>542.46</v>
      </c>
      <c r="W354" s="13" t="n">
        <v>0</v>
      </c>
      <c r="X354" s="12" t="s">
        <v>473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0" t="n">
        <v>3</v>
      </c>
      <c r="B355" s="11" t="n">
        <v>46205</v>
      </c>
      <c r="C355" s="11" t="n">
        <v>46214</v>
      </c>
      <c r="D355" s="10" t="n">
        <v>1432</v>
      </c>
      <c r="E355" s="12" t="s">
        <v>474</v>
      </c>
      <c r="F355" s="10" t="n">
        <v>24</v>
      </c>
      <c r="G355" s="12" t="s">
        <v>31</v>
      </c>
      <c r="H355" s="10" t="n">
        <v>2110101</v>
      </c>
      <c r="I355" s="12" t="s">
        <v>32</v>
      </c>
      <c r="J355" s="10" t="n">
        <v>1340627</v>
      </c>
      <c r="L355" s="10" t="n">
        <v>91961</v>
      </c>
      <c r="M355" s="12" t="s">
        <v>33</v>
      </c>
      <c r="N355" s="12" t="s">
        <v>34</v>
      </c>
      <c r="P355" s="10" t="n">
        <v>167</v>
      </c>
      <c r="Q355" s="12" t="s">
        <v>220</v>
      </c>
      <c r="R355" s="12" t="s">
        <v>36</v>
      </c>
      <c r="S355" s="10" t="n">
        <v>1130101</v>
      </c>
      <c r="T355" s="12" t="s">
        <v>37</v>
      </c>
      <c r="U355" s="13" t="n">
        <v>249.77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3</v>
      </c>
      <c r="B356" s="11" t="n">
        <v>46207</v>
      </c>
      <c r="C356" s="11" t="n">
        <v>46214</v>
      </c>
      <c r="D356" s="10" t="n">
        <v>1814</v>
      </c>
      <c r="E356" s="12" t="s">
        <v>280</v>
      </c>
      <c r="F356" s="10" t="n">
        <v>24</v>
      </c>
      <c r="G356" s="12" t="s">
        <v>31</v>
      </c>
      <c r="H356" s="10" t="n">
        <v>2110101</v>
      </c>
      <c r="I356" s="12" t="s">
        <v>32</v>
      </c>
      <c r="J356" s="10" t="n">
        <v>1348312</v>
      </c>
      <c r="L356" s="10" t="n">
        <v>27252</v>
      </c>
      <c r="M356" s="12" t="s">
        <v>33</v>
      </c>
      <c r="N356" s="12" t="s">
        <v>40</v>
      </c>
      <c r="P356" s="10" t="n">
        <v>167</v>
      </c>
      <c r="Q356" s="12" t="s">
        <v>220</v>
      </c>
      <c r="R356" s="12" t="s">
        <v>36</v>
      </c>
      <c r="S356" s="10" t="n">
        <v>1130101</v>
      </c>
      <c r="T356" s="12" t="s">
        <v>37</v>
      </c>
      <c r="U356" s="13" t="n">
        <v>587.63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3</v>
      </c>
      <c r="B357" s="11" t="n">
        <v>46207</v>
      </c>
      <c r="C357" s="11" t="n">
        <v>46214</v>
      </c>
      <c r="D357" s="10" t="n">
        <v>1378</v>
      </c>
      <c r="E357" s="12" t="s">
        <v>119</v>
      </c>
      <c r="F357" s="10" t="n">
        <v>24</v>
      </c>
      <c r="G357" s="12" t="s">
        <v>31</v>
      </c>
      <c r="H357" s="10" t="n">
        <v>2110101</v>
      </c>
      <c r="I357" s="12" t="s">
        <v>32</v>
      </c>
      <c r="J357" s="10" t="n">
        <v>1348394</v>
      </c>
      <c r="L357" s="10" t="n">
        <v>18065</v>
      </c>
      <c r="M357" s="12" t="s">
        <v>33</v>
      </c>
      <c r="N357" s="12" t="s">
        <v>40</v>
      </c>
      <c r="P357" s="10" t="n">
        <v>167</v>
      </c>
      <c r="Q357" s="12" t="s">
        <v>220</v>
      </c>
      <c r="R357" s="12" t="s">
        <v>36</v>
      </c>
      <c r="S357" s="10" t="n">
        <v>1130101</v>
      </c>
      <c r="T357" s="12" t="s">
        <v>37</v>
      </c>
      <c r="U357" s="13" t="n">
        <v>291.6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3</v>
      </c>
      <c r="B358" s="11" t="n">
        <v>46209</v>
      </c>
      <c r="C358" s="11" t="n">
        <v>46214</v>
      </c>
      <c r="D358" s="10" t="n">
        <v>642</v>
      </c>
      <c r="E358" s="12" t="s">
        <v>343</v>
      </c>
      <c r="F358" s="10" t="n">
        <v>24</v>
      </c>
      <c r="G358" s="12" t="s">
        <v>31</v>
      </c>
      <c r="H358" s="10" t="n">
        <v>2110101</v>
      </c>
      <c r="I358" s="12" t="s">
        <v>32</v>
      </c>
      <c r="J358" s="10" t="n">
        <v>1359957</v>
      </c>
      <c r="L358" s="10" t="n">
        <v>521</v>
      </c>
      <c r="M358" s="12" t="s">
        <v>33</v>
      </c>
      <c r="N358" s="12" t="s">
        <v>40</v>
      </c>
      <c r="P358" s="10" t="n">
        <v>167</v>
      </c>
      <c r="Q358" s="12" t="s">
        <v>220</v>
      </c>
      <c r="R358" s="12" t="s">
        <v>36</v>
      </c>
      <c r="S358" s="10" t="n">
        <v>1130101</v>
      </c>
      <c r="T358" s="12" t="s">
        <v>37</v>
      </c>
      <c r="U358" s="13" t="n">
        <v>300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45.75" hidden="false" customHeight="true" outlineLevel="0" collapsed="false">
      <c r="A359" s="10" t="n">
        <v>3</v>
      </c>
      <c r="B359" s="11" t="n">
        <v>46208</v>
      </c>
      <c r="C359" s="11" t="n">
        <v>46214</v>
      </c>
      <c r="D359" s="10" t="n">
        <v>1040</v>
      </c>
      <c r="E359" s="12" t="s">
        <v>479</v>
      </c>
      <c r="F359" s="10" t="n">
        <v>24</v>
      </c>
      <c r="G359" s="12" t="s">
        <v>31</v>
      </c>
      <c r="H359" s="10" t="n">
        <v>1110204</v>
      </c>
      <c r="I359" s="12" t="s">
        <v>177</v>
      </c>
      <c r="J359" s="10" t="n">
        <v>1360111</v>
      </c>
      <c r="L359" s="10" t="n">
        <v>212370</v>
      </c>
      <c r="M359" s="12" t="s">
        <v>33</v>
      </c>
      <c r="N359" s="12" t="s">
        <v>34</v>
      </c>
      <c r="P359" s="10" t="n">
        <v>101</v>
      </c>
      <c r="Q359" s="12" t="s">
        <v>136</v>
      </c>
      <c r="R359" s="12" t="s">
        <v>64</v>
      </c>
      <c r="S359" s="10" t="n">
        <v>4210201</v>
      </c>
      <c r="T359" s="12" t="s">
        <v>480</v>
      </c>
      <c r="U359" s="13" t="n">
        <v>286</v>
      </c>
      <c r="W359" s="13" t="n">
        <v>0</v>
      </c>
      <c r="X359" s="12" t="s">
        <v>481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</row>
    <row r="360" customFormat="false" ht="45.75" hidden="false" customHeight="true" outlineLevel="0" collapsed="false">
      <c r="A360" s="10" t="n">
        <v>3</v>
      </c>
      <c r="B360" s="11" t="n">
        <v>46210</v>
      </c>
      <c r="C360" s="11" t="n">
        <v>46214</v>
      </c>
      <c r="D360" s="10" t="n">
        <v>1615</v>
      </c>
      <c r="E360" s="12" t="s">
        <v>57</v>
      </c>
      <c r="F360" s="10" t="n">
        <v>34</v>
      </c>
      <c r="G360" s="12" t="s">
        <v>58</v>
      </c>
      <c r="H360" s="10" t="n">
        <v>2110101</v>
      </c>
      <c r="I360" s="12" t="s">
        <v>32</v>
      </c>
      <c r="J360" s="10" t="n">
        <v>1365662</v>
      </c>
      <c r="L360" s="10" t="n">
        <v>213186</v>
      </c>
      <c r="M360" s="12" t="s">
        <v>33</v>
      </c>
      <c r="N360" s="12" t="s">
        <v>34</v>
      </c>
      <c r="P360" s="10" t="n">
        <v>167</v>
      </c>
      <c r="Q360" s="12" t="s">
        <v>220</v>
      </c>
      <c r="R360" s="12" t="s">
        <v>36</v>
      </c>
      <c r="S360" s="10" t="n">
        <v>1130101</v>
      </c>
      <c r="T360" s="12" t="s">
        <v>37</v>
      </c>
      <c r="U360" s="13" t="n">
        <v>448</v>
      </c>
      <c r="W360" s="13" t="n">
        <v>0</v>
      </c>
      <c r="X360" s="12" t="s">
        <v>482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3</v>
      </c>
      <c r="B361" s="11" t="n">
        <v>46210</v>
      </c>
      <c r="C361" s="11" t="n">
        <v>46214</v>
      </c>
      <c r="D361" s="10" t="n">
        <v>1615</v>
      </c>
      <c r="E361" s="12" t="s">
        <v>57</v>
      </c>
      <c r="F361" s="10" t="n">
        <v>34</v>
      </c>
      <c r="G361" s="12" t="s">
        <v>58</v>
      </c>
      <c r="H361" s="10" t="n">
        <v>2110101</v>
      </c>
      <c r="I361" s="12" t="s">
        <v>32</v>
      </c>
      <c r="J361" s="10" t="n">
        <v>1365675</v>
      </c>
      <c r="L361" s="10" t="n">
        <v>14810</v>
      </c>
      <c r="M361" s="12" t="s">
        <v>33</v>
      </c>
      <c r="N361" s="12" t="s">
        <v>40</v>
      </c>
      <c r="P361" s="10" t="n">
        <v>167</v>
      </c>
      <c r="Q361" s="12" t="s">
        <v>220</v>
      </c>
      <c r="R361" s="12" t="s">
        <v>36</v>
      </c>
      <c r="S361" s="10" t="n">
        <v>1130101</v>
      </c>
      <c r="T361" s="12" t="s">
        <v>37</v>
      </c>
      <c r="U361" s="13" t="n">
        <v>450</v>
      </c>
      <c r="W361" s="13" t="n">
        <v>0</v>
      </c>
      <c r="X361" s="12" t="s">
        <v>483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3</v>
      </c>
      <c r="B362" s="11" t="n">
        <v>46210</v>
      </c>
      <c r="C362" s="11" t="n">
        <v>46214</v>
      </c>
      <c r="D362" s="10" t="n">
        <v>42</v>
      </c>
      <c r="E362" s="12" t="s">
        <v>106</v>
      </c>
      <c r="F362" s="10" t="n">
        <v>34</v>
      </c>
      <c r="G362" s="12" t="s">
        <v>58</v>
      </c>
      <c r="H362" s="10" t="n">
        <v>2110101</v>
      </c>
      <c r="I362" s="12" t="s">
        <v>32</v>
      </c>
      <c r="J362" s="10" t="n">
        <v>1365736</v>
      </c>
      <c r="L362" s="10" t="n">
        <v>4361</v>
      </c>
      <c r="M362" s="12" t="s">
        <v>33</v>
      </c>
      <c r="N362" s="12" t="s">
        <v>40</v>
      </c>
      <c r="P362" s="10" t="n">
        <v>167</v>
      </c>
      <c r="Q362" s="12" t="s">
        <v>220</v>
      </c>
      <c r="R362" s="12" t="s">
        <v>36</v>
      </c>
      <c r="S362" s="10" t="n">
        <v>1130101</v>
      </c>
      <c r="T362" s="12" t="s">
        <v>37</v>
      </c>
      <c r="U362" s="13" t="n">
        <v>1818</v>
      </c>
      <c r="W362" s="13" t="n">
        <v>0</v>
      </c>
      <c r="X362" s="12" t="s">
        <v>107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3</v>
      </c>
      <c r="B363" s="11" t="n">
        <v>46213</v>
      </c>
      <c r="C363" s="11" t="n">
        <v>46214</v>
      </c>
      <c r="D363" s="10" t="n">
        <v>42</v>
      </c>
      <c r="E363" s="12" t="s">
        <v>106</v>
      </c>
      <c r="F363" s="10" t="n">
        <v>13</v>
      </c>
      <c r="G363" s="12" t="s">
        <v>91</v>
      </c>
      <c r="H363" s="10" t="n">
        <v>2110101</v>
      </c>
      <c r="I363" s="12" t="s">
        <v>32</v>
      </c>
      <c r="J363" s="10" t="n">
        <v>1376565</v>
      </c>
      <c r="L363" s="10" t="n">
        <v>4370</v>
      </c>
      <c r="M363" s="12" t="s">
        <v>33</v>
      </c>
      <c r="N363" s="12" t="s">
        <v>40</v>
      </c>
      <c r="P363" s="10" t="n">
        <v>167</v>
      </c>
      <c r="Q363" s="12" t="s">
        <v>220</v>
      </c>
      <c r="R363" s="12" t="s">
        <v>36</v>
      </c>
      <c r="S363" s="10" t="n">
        <v>1130101</v>
      </c>
      <c r="T363" s="12" t="s">
        <v>37</v>
      </c>
      <c r="U363" s="13" t="n">
        <v>128</v>
      </c>
      <c r="W363" s="13" t="n">
        <v>128</v>
      </c>
      <c r="X363" s="12" t="s">
        <v>108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0" t="n">
        <v>3</v>
      </c>
      <c r="B364" s="11" t="n">
        <v>46214</v>
      </c>
      <c r="C364" s="11" t="n">
        <v>46214</v>
      </c>
      <c r="D364" s="10" t="n">
        <v>42</v>
      </c>
      <c r="E364" s="12" t="s">
        <v>106</v>
      </c>
      <c r="F364" s="10" t="n">
        <v>13</v>
      </c>
      <c r="G364" s="12" t="s">
        <v>91</v>
      </c>
      <c r="H364" s="10" t="n">
        <v>2110101</v>
      </c>
      <c r="I364" s="12" t="s">
        <v>32</v>
      </c>
      <c r="J364" s="10" t="n">
        <v>1381976</v>
      </c>
      <c r="L364" s="10" t="n">
        <v>4372</v>
      </c>
      <c r="M364" s="12" t="s">
        <v>33</v>
      </c>
      <c r="N364" s="12" t="s">
        <v>40</v>
      </c>
      <c r="P364" s="10" t="n">
        <v>167</v>
      </c>
      <c r="Q364" s="12" t="s">
        <v>220</v>
      </c>
      <c r="R364" s="12" t="s">
        <v>36</v>
      </c>
      <c r="S364" s="10" t="n">
        <v>1130101</v>
      </c>
      <c r="T364" s="12" t="s">
        <v>37</v>
      </c>
      <c r="U364" s="13" t="n">
        <v>280</v>
      </c>
      <c r="W364" s="13" t="n">
        <v>280</v>
      </c>
      <c r="X364" s="12" t="s">
        <v>484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0" t="n">
        <v>3</v>
      </c>
      <c r="B365" s="11" t="n">
        <v>46214</v>
      </c>
      <c r="C365" s="11" t="n">
        <v>46214</v>
      </c>
      <c r="D365" s="10" t="n">
        <v>42</v>
      </c>
      <c r="E365" s="12" t="s">
        <v>106</v>
      </c>
      <c r="F365" s="10" t="n">
        <v>13</v>
      </c>
      <c r="G365" s="12" t="s">
        <v>91</v>
      </c>
      <c r="H365" s="10" t="n">
        <v>2110101</v>
      </c>
      <c r="I365" s="12" t="s">
        <v>32</v>
      </c>
      <c r="J365" s="10" t="n">
        <v>1381983</v>
      </c>
      <c r="L365" s="10" t="n">
        <v>4373</v>
      </c>
      <c r="M365" s="12" t="s">
        <v>33</v>
      </c>
      <c r="N365" s="12" t="s">
        <v>40</v>
      </c>
      <c r="P365" s="10" t="n">
        <v>167</v>
      </c>
      <c r="Q365" s="12" t="s">
        <v>220</v>
      </c>
      <c r="R365" s="12" t="s">
        <v>36</v>
      </c>
      <c r="S365" s="10" t="n">
        <v>1130101</v>
      </c>
      <c r="T365" s="12" t="s">
        <v>37</v>
      </c>
      <c r="U365" s="13" t="n">
        <v>330</v>
      </c>
      <c r="W365" s="13" t="n">
        <v>330</v>
      </c>
      <c r="X365" s="12" t="s">
        <v>485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0" t="n">
        <v>3</v>
      </c>
      <c r="B366" s="11" t="n">
        <v>46214</v>
      </c>
      <c r="C366" s="11" t="n">
        <v>46214</v>
      </c>
      <c r="D366" s="10" t="n">
        <v>42</v>
      </c>
      <c r="E366" s="12" t="s">
        <v>106</v>
      </c>
      <c r="F366" s="10" t="n">
        <v>13</v>
      </c>
      <c r="G366" s="12" t="s">
        <v>91</v>
      </c>
      <c r="H366" s="10" t="n">
        <v>2110101</v>
      </c>
      <c r="I366" s="12" t="s">
        <v>32</v>
      </c>
      <c r="J366" s="10" t="n">
        <v>1381991</v>
      </c>
      <c r="L366" s="10" t="n">
        <v>4374</v>
      </c>
      <c r="M366" s="12" t="s">
        <v>33</v>
      </c>
      <c r="N366" s="12" t="s">
        <v>40</v>
      </c>
      <c r="P366" s="10" t="n">
        <v>167</v>
      </c>
      <c r="Q366" s="12" t="s">
        <v>220</v>
      </c>
      <c r="R366" s="12" t="s">
        <v>36</v>
      </c>
      <c r="S366" s="10" t="n">
        <v>1130101</v>
      </c>
      <c r="T366" s="12" t="s">
        <v>37</v>
      </c>
      <c r="U366" s="13" t="n">
        <v>41.44</v>
      </c>
      <c r="W366" s="13" t="n">
        <v>41.44</v>
      </c>
      <c r="X366" s="12" t="s">
        <v>486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0" t="n">
        <v>3</v>
      </c>
      <c r="B367" s="11" t="n">
        <v>46214</v>
      </c>
      <c r="C367" s="11" t="n">
        <v>46214</v>
      </c>
      <c r="D367" s="10" t="n">
        <v>42</v>
      </c>
      <c r="E367" s="12" t="s">
        <v>106</v>
      </c>
      <c r="F367" s="10" t="n">
        <v>13</v>
      </c>
      <c r="G367" s="12" t="s">
        <v>91</v>
      </c>
      <c r="H367" s="10" t="n">
        <v>2110101</v>
      </c>
      <c r="I367" s="12" t="s">
        <v>32</v>
      </c>
      <c r="J367" s="10" t="n">
        <v>1382178</v>
      </c>
      <c r="L367" s="10" t="n">
        <v>4375</v>
      </c>
      <c r="M367" s="12" t="s">
        <v>33</v>
      </c>
      <c r="N367" s="12" t="s">
        <v>40</v>
      </c>
      <c r="P367" s="10" t="n">
        <v>167</v>
      </c>
      <c r="Q367" s="12" t="s">
        <v>220</v>
      </c>
      <c r="R367" s="12" t="s">
        <v>36</v>
      </c>
      <c r="S367" s="10" t="n">
        <v>1130101</v>
      </c>
      <c r="T367" s="12" t="s">
        <v>37</v>
      </c>
      <c r="U367" s="13" t="n">
        <v>120</v>
      </c>
      <c r="W367" s="13" t="n">
        <v>120</v>
      </c>
      <c r="X367" s="12" t="s">
        <v>162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0" t="n">
        <v>3</v>
      </c>
      <c r="B368" s="11" t="n">
        <v>46214</v>
      </c>
      <c r="C368" s="11" t="n">
        <v>46214</v>
      </c>
      <c r="D368" s="10" t="n">
        <v>1028</v>
      </c>
      <c r="E368" s="12" t="s">
        <v>487</v>
      </c>
      <c r="F368" s="10" t="n">
        <v>34</v>
      </c>
      <c r="G368" s="12" t="s">
        <v>58</v>
      </c>
      <c r="H368" s="10" t="n">
        <v>2110405</v>
      </c>
      <c r="I368" s="12" t="s">
        <v>63</v>
      </c>
      <c r="J368" s="10" t="n">
        <v>1382524</v>
      </c>
      <c r="L368" s="10" t="n">
        <v>215701</v>
      </c>
      <c r="M368" s="12" t="s">
        <v>33</v>
      </c>
      <c r="N368" s="12" t="s">
        <v>34</v>
      </c>
      <c r="P368" s="10" t="n">
        <v>101</v>
      </c>
      <c r="Q368" s="12" t="s">
        <v>136</v>
      </c>
      <c r="R368" s="12" t="s">
        <v>206</v>
      </c>
      <c r="S368" s="10" t="n">
        <v>4210111</v>
      </c>
      <c r="T368" s="12" t="s">
        <v>488</v>
      </c>
      <c r="U368" s="13" t="n">
        <v>5500</v>
      </c>
      <c r="W368" s="13" t="n">
        <v>0</v>
      </c>
      <c r="X368" s="12" t="s">
        <v>489</v>
      </c>
      <c r="Z368" s="1" t="str">
        <f aca="false">IF($T368="","",IFERROR(INDEX('Resumo Grupos'!$AC$3:$AC$200,MATCH($T368,'Resumo Grupos'!$AB$3:$AB$200,0)),"n/d"))</f>
        <v>Despesa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3</v>
      </c>
      <c r="B369" s="11" t="n">
        <v>46153</v>
      </c>
      <c r="C369" s="11" t="n">
        <v>46216</v>
      </c>
      <c r="D369" s="10" t="n">
        <v>32</v>
      </c>
      <c r="E369" s="12" t="s">
        <v>361</v>
      </c>
      <c r="F369" s="10" t="n">
        <v>34</v>
      </c>
      <c r="G369" s="12" t="s">
        <v>58</v>
      </c>
      <c r="H369" s="10" t="n">
        <v>2110405</v>
      </c>
      <c r="I369" s="12" t="s">
        <v>63</v>
      </c>
      <c r="J369" s="10" t="n">
        <v>1083670</v>
      </c>
      <c r="L369" s="10" t="n">
        <v>170746</v>
      </c>
      <c r="M369" s="12" t="s">
        <v>349</v>
      </c>
      <c r="N369" s="12" t="s">
        <v>34</v>
      </c>
      <c r="P369" s="10" t="n">
        <v>101</v>
      </c>
      <c r="Q369" s="12" t="s">
        <v>136</v>
      </c>
      <c r="R369" s="12" t="s">
        <v>222</v>
      </c>
      <c r="S369" s="10" t="n">
        <v>4220199</v>
      </c>
      <c r="T369" s="12" t="s">
        <v>223</v>
      </c>
      <c r="U369" s="13" t="n">
        <v>8059.98</v>
      </c>
      <c r="W369" s="13" t="n">
        <v>0</v>
      </c>
      <c r="X369" s="12" t="s">
        <v>490</v>
      </c>
      <c r="Z369" s="1" t="str">
        <f aca="false">IF($T369="","",IFERROR(INDEX('Resumo Grupos'!$AC$3:$AC$200,MATCH($T369,'Resumo Grupos'!$AB$3:$AB$200,0)),"n/d"))</f>
        <v>Pagamentos outros não operacionais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3</v>
      </c>
      <c r="B370" s="11" t="n">
        <v>46216</v>
      </c>
      <c r="C370" s="11" t="n">
        <v>46216</v>
      </c>
      <c r="D370" s="10" t="n">
        <v>42</v>
      </c>
      <c r="E370" s="12" t="s">
        <v>106</v>
      </c>
      <c r="F370" s="10" t="n">
        <v>13</v>
      </c>
      <c r="G370" s="12" t="s">
        <v>91</v>
      </c>
      <c r="H370" s="10" t="n">
        <v>2110101</v>
      </c>
      <c r="I370" s="12" t="s">
        <v>32</v>
      </c>
      <c r="J370" s="10" t="n">
        <v>1392372</v>
      </c>
      <c r="L370" s="10" t="n">
        <v>4376</v>
      </c>
      <c r="M370" s="12" t="s">
        <v>33</v>
      </c>
      <c r="N370" s="12" t="s">
        <v>40</v>
      </c>
      <c r="P370" s="10" t="n">
        <v>167</v>
      </c>
      <c r="Q370" s="12" t="s">
        <v>220</v>
      </c>
      <c r="R370" s="12" t="s">
        <v>36</v>
      </c>
      <c r="S370" s="10" t="n">
        <v>1130101</v>
      </c>
      <c r="T370" s="12" t="s">
        <v>37</v>
      </c>
      <c r="U370" s="13" t="n">
        <v>20</v>
      </c>
      <c r="W370" s="13" t="n">
        <v>20</v>
      </c>
      <c r="X370" s="12" t="s">
        <v>491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3</v>
      </c>
      <c r="B371" s="11" t="n">
        <v>46216</v>
      </c>
      <c r="C371" s="11" t="n">
        <v>46216</v>
      </c>
      <c r="D371" s="10" t="n">
        <v>42</v>
      </c>
      <c r="E371" s="12" t="s">
        <v>106</v>
      </c>
      <c r="F371" s="10" t="n">
        <v>13</v>
      </c>
      <c r="G371" s="12" t="s">
        <v>91</v>
      </c>
      <c r="H371" s="10" t="n">
        <v>2110101</v>
      </c>
      <c r="I371" s="12" t="s">
        <v>32</v>
      </c>
      <c r="J371" s="10" t="n">
        <v>1392588</v>
      </c>
      <c r="L371" s="10" t="n">
        <v>4377</v>
      </c>
      <c r="M371" s="12" t="s">
        <v>33</v>
      </c>
      <c r="N371" s="12" t="s">
        <v>40</v>
      </c>
      <c r="P371" s="10" t="n">
        <v>167</v>
      </c>
      <c r="Q371" s="12" t="s">
        <v>220</v>
      </c>
      <c r="R371" s="12" t="s">
        <v>36</v>
      </c>
      <c r="S371" s="10" t="n">
        <v>1130101</v>
      </c>
      <c r="T371" s="12" t="s">
        <v>37</v>
      </c>
      <c r="U371" s="13" t="n">
        <v>240</v>
      </c>
      <c r="W371" s="13" t="n">
        <v>240</v>
      </c>
      <c r="X371" s="12" t="s">
        <v>492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3</v>
      </c>
      <c r="B372" s="11" t="n">
        <v>46216</v>
      </c>
      <c r="C372" s="11" t="n">
        <v>46216</v>
      </c>
      <c r="D372" s="10" t="n">
        <v>978</v>
      </c>
      <c r="E372" s="12" t="s">
        <v>155</v>
      </c>
      <c r="F372" s="10" t="n">
        <v>13</v>
      </c>
      <c r="G372" s="12" t="s">
        <v>91</v>
      </c>
      <c r="H372" s="10" t="n">
        <v>2110101</v>
      </c>
      <c r="I372" s="12" t="s">
        <v>32</v>
      </c>
      <c r="J372" s="10" t="n">
        <v>1397144</v>
      </c>
      <c r="L372" s="10" t="n">
        <v>367</v>
      </c>
      <c r="M372" s="12" t="s">
        <v>33</v>
      </c>
      <c r="N372" s="12" t="s">
        <v>40</v>
      </c>
      <c r="P372" s="10" t="n">
        <v>167</v>
      </c>
      <c r="Q372" s="12" t="s">
        <v>220</v>
      </c>
      <c r="R372" s="12" t="s">
        <v>36</v>
      </c>
      <c r="S372" s="10" t="n">
        <v>1130101</v>
      </c>
      <c r="T372" s="12" t="s">
        <v>37</v>
      </c>
      <c r="U372" s="13" t="n">
        <v>524.3</v>
      </c>
      <c r="W372" s="13" t="n">
        <v>524.3</v>
      </c>
      <c r="X372" s="12" t="s">
        <v>493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3</v>
      </c>
      <c r="B373" s="11" t="n">
        <v>46216</v>
      </c>
      <c r="C373" s="11" t="n">
        <v>46216</v>
      </c>
      <c r="D373" s="10" t="n">
        <v>10047</v>
      </c>
      <c r="E373" s="12" t="s">
        <v>140</v>
      </c>
      <c r="F373" s="10" t="n">
        <v>24</v>
      </c>
      <c r="G373" s="12" t="s">
        <v>31</v>
      </c>
      <c r="H373" s="10" t="n">
        <v>1110202</v>
      </c>
      <c r="I373" s="12" t="s">
        <v>263</v>
      </c>
      <c r="J373" s="10" t="n">
        <v>1397495</v>
      </c>
      <c r="L373" s="10" t="n">
        <v>217951</v>
      </c>
      <c r="M373" s="12" t="s">
        <v>33</v>
      </c>
      <c r="N373" s="12" t="s">
        <v>34</v>
      </c>
      <c r="P373" s="10" t="n">
        <v>102</v>
      </c>
      <c r="Q373" s="12" t="s">
        <v>141</v>
      </c>
      <c r="R373" s="12" t="s">
        <v>36</v>
      </c>
      <c r="S373" s="10" t="n">
        <v>1130101</v>
      </c>
      <c r="T373" s="12" t="s">
        <v>37</v>
      </c>
      <c r="U373" s="13" t="n">
        <v>276.87</v>
      </c>
      <c r="W373" s="13" t="n">
        <v>0</v>
      </c>
      <c r="X373" s="12" t="s">
        <v>494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3</v>
      </c>
      <c r="B374" s="11" t="n">
        <v>46082</v>
      </c>
      <c r="C374" s="11" t="n">
        <v>46217</v>
      </c>
      <c r="D374" s="10" t="n">
        <v>1611</v>
      </c>
      <c r="E374" s="12" t="s">
        <v>199</v>
      </c>
      <c r="F374" s="10" t="n">
        <v>24</v>
      </c>
      <c r="G374" s="12" t="s">
        <v>31</v>
      </c>
      <c r="H374" s="10" t="n">
        <v>2110101</v>
      </c>
      <c r="I374" s="12" t="s">
        <v>32</v>
      </c>
      <c r="J374" s="10" t="n">
        <v>761523</v>
      </c>
      <c r="L374" s="10" t="n">
        <v>17147713</v>
      </c>
      <c r="M374" s="12" t="s">
        <v>33</v>
      </c>
      <c r="N374" s="12" t="s">
        <v>34</v>
      </c>
      <c r="P374" s="10" t="n">
        <v>128</v>
      </c>
      <c r="Q374" s="12" t="s">
        <v>35</v>
      </c>
      <c r="R374" s="12" t="s">
        <v>36</v>
      </c>
      <c r="S374" s="10" t="n">
        <v>1130101</v>
      </c>
      <c r="T374" s="12" t="s">
        <v>37</v>
      </c>
      <c r="U374" s="13" t="n">
        <v>591.83</v>
      </c>
      <c r="W374" s="13" t="n">
        <v>0</v>
      </c>
      <c r="X374" s="12" t="s">
        <v>495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3</v>
      </c>
      <c r="B375" s="11" t="n">
        <v>46156</v>
      </c>
      <c r="C375" s="11" t="n">
        <v>46217</v>
      </c>
      <c r="D375" s="10" t="n">
        <v>1711</v>
      </c>
      <c r="E375" s="12" t="s">
        <v>186</v>
      </c>
      <c r="F375" s="10" t="n">
        <v>24</v>
      </c>
      <c r="G375" s="12" t="s">
        <v>31</v>
      </c>
      <c r="H375" s="10" t="n">
        <v>2110101</v>
      </c>
      <c r="I375" s="12" t="s">
        <v>32</v>
      </c>
      <c r="J375" s="10" t="n">
        <v>1101955</v>
      </c>
      <c r="L375" s="10" t="n">
        <v>1549196</v>
      </c>
      <c r="M375" s="12" t="s">
        <v>33</v>
      </c>
      <c r="N375" s="12" t="s">
        <v>34</v>
      </c>
      <c r="P375" s="10" t="n">
        <v>129</v>
      </c>
      <c r="Q375" s="12" t="s">
        <v>60</v>
      </c>
      <c r="R375" s="12" t="s">
        <v>36</v>
      </c>
      <c r="S375" s="10" t="n">
        <v>1130101</v>
      </c>
      <c r="T375" s="12" t="s">
        <v>37</v>
      </c>
      <c r="U375" s="13" t="n">
        <v>565.55</v>
      </c>
      <c r="W375" s="13" t="n">
        <v>0</v>
      </c>
      <c r="X375" s="12" t="s">
        <v>496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45.75" hidden="false" customHeight="true" outlineLevel="0" collapsed="false">
      <c r="A376" s="10" t="n">
        <v>3</v>
      </c>
      <c r="B376" s="11" t="n">
        <v>46161</v>
      </c>
      <c r="C376" s="11" t="n">
        <v>46217</v>
      </c>
      <c r="D376" s="10" t="n">
        <v>1675</v>
      </c>
      <c r="E376" s="12" t="s">
        <v>95</v>
      </c>
      <c r="F376" s="10" t="n">
        <v>24</v>
      </c>
      <c r="G376" s="12" t="s">
        <v>31</v>
      </c>
      <c r="H376" s="10" t="n">
        <v>2110101</v>
      </c>
      <c r="I376" s="12" t="s">
        <v>32</v>
      </c>
      <c r="J376" s="10" t="n">
        <v>1131832</v>
      </c>
      <c r="L376" s="10" t="n">
        <v>4910425</v>
      </c>
      <c r="M376" s="12" t="s">
        <v>33</v>
      </c>
      <c r="N376" s="12" t="s">
        <v>34</v>
      </c>
      <c r="P376" s="10" t="n">
        <v>128</v>
      </c>
      <c r="Q376" s="12" t="s">
        <v>35</v>
      </c>
      <c r="R376" s="12" t="s">
        <v>36</v>
      </c>
      <c r="S376" s="10" t="n">
        <v>1130101</v>
      </c>
      <c r="T376" s="12" t="s">
        <v>37</v>
      </c>
      <c r="U376" s="13" t="n">
        <v>750.72</v>
      </c>
      <c r="W376" s="13" t="n">
        <v>0</v>
      </c>
      <c r="X376" s="12" t="s">
        <v>497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3</v>
      </c>
      <c r="B377" s="11" t="n">
        <v>46163</v>
      </c>
      <c r="C377" s="11" t="n">
        <v>46217</v>
      </c>
      <c r="D377" s="10" t="n">
        <v>10012</v>
      </c>
      <c r="E377" s="12" t="s">
        <v>121</v>
      </c>
      <c r="F377" s="10" t="n">
        <v>24</v>
      </c>
      <c r="G377" s="12" t="s">
        <v>31</v>
      </c>
      <c r="H377" s="10" t="n">
        <v>2110101</v>
      </c>
      <c r="I377" s="12" t="s">
        <v>32</v>
      </c>
      <c r="J377" s="10" t="n">
        <v>1162548</v>
      </c>
      <c r="L377" s="10" t="n">
        <v>19540615</v>
      </c>
      <c r="M377" s="12" t="s">
        <v>33</v>
      </c>
      <c r="N377" s="12" t="s">
        <v>34</v>
      </c>
      <c r="P377" s="10" t="n">
        <v>128</v>
      </c>
      <c r="Q377" s="12" t="s">
        <v>35</v>
      </c>
      <c r="R377" s="12" t="s">
        <v>36</v>
      </c>
      <c r="S377" s="10" t="n">
        <v>1130101</v>
      </c>
      <c r="T377" s="12" t="s">
        <v>37</v>
      </c>
      <c r="U377" s="13" t="n">
        <v>1624.38</v>
      </c>
      <c r="W377" s="13" t="n">
        <v>0</v>
      </c>
      <c r="X377" s="12" t="s">
        <v>498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3</v>
      </c>
      <c r="B378" s="11" t="n">
        <v>46170</v>
      </c>
      <c r="C378" s="11" t="n">
        <v>46217</v>
      </c>
      <c r="D378" s="10" t="n">
        <v>1715</v>
      </c>
      <c r="E378" s="12" t="s">
        <v>78</v>
      </c>
      <c r="F378" s="10" t="n">
        <v>24</v>
      </c>
      <c r="G378" s="12" t="s">
        <v>31</v>
      </c>
      <c r="H378" s="10" t="n">
        <v>2110101</v>
      </c>
      <c r="I378" s="12" t="s">
        <v>32</v>
      </c>
      <c r="J378" s="10" t="n">
        <v>1171281</v>
      </c>
      <c r="L378" s="10" t="n">
        <v>1897973</v>
      </c>
      <c r="M378" s="12" t="s">
        <v>33</v>
      </c>
      <c r="N378" s="12" t="s">
        <v>34</v>
      </c>
      <c r="P378" s="10" t="n">
        <v>128</v>
      </c>
      <c r="Q378" s="12" t="s">
        <v>35</v>
      </c>
      <c r="R378" s="12" t="s">
        <v>36</v>
      </c>
      <c r="S378" s="10" t="n">
        <v>1130101</v>
      </c>
      <c r="T378" s="12" t="s">
        <v>37</v>
      </c>
      <c r="U378" s="13" t="n">
        <v>1138.78</v>
      </c>
      <c r="W378" s="13" t="n">
        <v>0</v>
      </c>
      <c r="X378" s="12" t="s">
        <v>499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3</v>
      </c>
      <c r="B379" s="11" t="n">
        <v>46178</v>
      </c>
      <c r="C379" s="11" t="n">
        <v>46217</v>
      </c>
      <c r="D379" s="10" t="n">
        <v>1608</v>
      </c>
      <c r="E379" s="12" t="s">
        <v>69</v>
      </c>
      <c r="F379" s="10" t="n">
        <v>24</v>
      </c>
      <c r="G379" s="12" t="s">
        <v>31</v>
      </c>
      <c r="H379" s="10" t="n">
        <v>2110101</v>
      </c>
      <c r="I379" s="12" t="s">
        <v>32</v>
      </c>
      <c r="J379" s="10" t="n">
        <v>1221397</v>
      </c>
      <c r="L379" s="10" t="n">
        <v>16688323</v>
      </c>
      <c r="M379" s="12" t="s">
        <v>33</v>
      </c>
      <c r="N379" s="12" t="s">
        <v>34</v>
      </c>
      <c r="P379" s="10" t="n">
        <v>128</v>
      </c>
      <c r="Q379" s="12" t="s">
        <v>35</v>
      </c>
      <c r="R379" s="12" t="s">
        <v>36</v>
      </c>
      <c r="S379" s="10" t="n">
        <v>1130101</v>
      </c>
      <c r="T379" s="12" t="s">
        <v>37</v>
      </c>
      <c r="U379" s="13" t="n">
        <v>1135.24</v>
      </c>
      <c r="W379" s="13" t="n">
        <v>0</v>
      </c>
      <c r="X379" s="12" t="s">
        <v>500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3</v>
      </c>
      <c r="B380" s="11" t="n">
        <v>46181</v>
      </c>
      <c r="C380" s="11" t="n">
        <v>46217</v>
      </c>
      <c r="D380" s="10" t="n">
        <v>1637</v>
      </c>
      <c r="E380" s="12" t="s">
        <v>127</v>
      </c>
      <c r="F380" s="10" t="n">
        <v>24</v>
      </c>
      <c r="G380" s="12" t="s">
        <v>31</v>
      </c>
      <c r="H380" s="10" t="n">
        <v>2110101</v>
      </c>
      <c r="I380" s="12" t="s">
        <v>32</v>
      </c>
      <c r="J380" s="10" t="n">
        <v>1223135</v>
      </c>
      <c r="L380" s="10" t="n">
        <v>1888475</v>
      </c>
      <c r="M380" s="12" t="s">
        <v>33</v>
      </c>
      <c r="N380" s="12" t="s">
        <v>40</v>
      </c>
      <c r="P380" s="10" t="n">
        <v>128</v>
      </c>
      <c r="Q380" s="12" t="s">
        <v>35</v>
      </c>
      <c r="R380" s="12" t="s">
        <v>36</v>
      </c>
      <c r="S380" s="10" t="n">
        <v>1130101</v>
      </c>
      <c r="T380" s="12" t="s">
        <v>37</v>
      </c>
      <c r="U380" s="13" t="n">
        <v>863.1</v>
      </c>
      <c r="W380" s="13" t="n">
        <v>0</v>
      </c>
      <c r="X380" s="12" t="s">
        <v>501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3</v>
      </c>
      <c r="B381" s="11" t="n">
        <v>46181</v>
      </c>
      <c r="C381" s="11" t="n">
        <v>46217</v>
      </c>
      <c r="D381" s="10" t="n">
        <v>1676</v>
      </c>
      <c r="E381" s="12" t="s">
        <v>197</v>
      </c>
      <c r="F381" s="10" t="n">
        <v>24</v>
      </c>
      <c r="G381" s="12" t="s">
        <v>31</v>
      </c>
      <c r="H381" s="10" t="n">
        <v>2110101</v>
      </c>
      <c r="I381" s="12" t="s">
        <v>32</v>
      </c>
      <c r="J381" s="10" t="n">
        <v>1226693</v>
      </c>
      <c r="L381" s="10" t="n">
        <v>1030524</v>
      </c>
      <c r="M381" s="12" t="s">
        <v>33</v>
      </c>
      <c r="N381" s="12" t="s">
        <v>34</v>
      </c>
      <c r="P381" s="10" t="n">
        <v>128</v>
      </c>
      <c r="Q381" s="12" t="s">
        <v>35</v>
      </c>
      <c r="R381" s="12" t="s">
        <v>36</v>
      </c>
      <c r="S381" s="10" t="n">
        <v>1130101</v>
      </c>
      <c r="T381" s="12" t="s">
        <v>37</v>
      </c>
      <c r="U381" s="13" t="n">
        <v>593.7</v>
      </c>
      <c r="W381" s="13" t="n">
        <v>0</v>
      </c>
      <c r="X381" s="12" t="s">
        <v>502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3</v>
      </c>
      <c r="B382" s="11" t="n">
        <v>46182</v>
      </c>
      <c r="C382" s="11" t="n">
        <v>46217</v>
      </c>
      <c r="D382" s="10" t="n">
        <v>1668</v>
      </c>
      <c r="E382" s="12" t="s">
        <v>276</v>
      </c>
      <c r="F382" s="10" t="n">
        <v>24</v>
      </c>
      <c r="G382" s="12" t="s">
        <v>31</v>
      </c>
      <c r="H382" s="10" t="n">
        <v>2110101</v>
      </c>
      <c r="I382" s="12" t="s">
        <v>32</v>
      </c>
      <c r="J382" s="10" t="n">
        <v>1231377</v>
      </c>
      <c r="L382" s="10" t="n">
        <v>7269633</v>
      </c>
      <c r="M382" s="12" t="s">
        <v>33</v>
      </c>
      <c r="N382" s="12" t="s">
        <v>34</v>
      </c>
      <c r="P382" s="10" t="n">
        <v>128</v>
      </c>
      <c r="Q382" s="12" t="s">
        <v>35</v>
      </c>
      <c r="R382" s="12" t="s">
        <v>36</v>
      </c>
      <c r="S382" s="10" t="n">
        <v>1130101</v>
      </c>
      <c r="T382" s="12" t="s">
        <v>37</v>
      </c>
      <c r="U382" s="13" t="n">
        <v>648.23</v>
      </c>
      <c r="W382" s="13" t="n">
        <v>0</v>
      </c>
      <c r="X382" s="12" t="s">
        <v>503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45.75" hidden="false" customHeight="true" outlineLevel="0" collapsed="false">
      <c r="A383" s="10" t="n">
        <v>3</v>
      </c>
      <c r="B383" s="11" t="n">
        <v>46182</v>
      </c>
      <c r="C383" s="11" t="n">
        <v>46217</v>
      </c>
      <c r="D383" s="10" t="n">
        <v>957</v>
      </c>
      <c r="E383" s="12" t="s">
        <v>134</v>
      </c>
      <c r="F383" s="10" t="n">
        <v>24</v>
      </c>
      <c r="G383" s="12" t="s">
        <v>31</v>
      </c>
      <c r="H383" s="10" t="n">
        <v>2110101</v>
      </c>
      <c r="I383" s="12" t="s">
        <v>32</v>
      </c>
      <c r="J383" s="10" t="n">
        <v>1231883</v>
      </c>
      <c r="L383" s="10" t="n">
        <v>202652</v>
      </c>
      <c r="M383" s="12" t="s">
        <v>33</v>
      </c>
      <c r="N383" s="12" t="s">
        <v>34</v>
      </c>
      <c r="P383" s="10" t="n">
        <v>128</v>
      </c>
      <c r="Q383" s="12" t="s">
        <v>35</v>
      </c>
      <c r="R383" s="12" t="s">
        <v>36</v>
      </c>
      <c r="S383" s="10" t="n">
        <v>1130101</v>
      </c>
      <c r="T383" s="12" t="s">
        <v>37</v>
      </c>
      <c r="U383" s="13" t="n">
        <v>2206.52</v>
      </c>
      <c r="W383" s="13" t="n">
        <v>0</v>
      </c>
      <c r="X383" s="12" t="s">
        <v>504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45.75" hidden="false" customHeight="true" outlineLevel="0" collapsed="false">
      <c r="A384" s="10" t="n">
        <v>3</v>
      </c>
      <c r="B384" s="11" t="n">
        <v>46183</v>
      </c>
      <c r="C384" s="11" t="n">
        <v>46217</v>
      </c>
      <c r="D384" s="10" t="n">
        <v>1699</v>
      </c>
      <c r="E384" s="12" t="s">
        <v>87</v>
      </c>
      <c r="F384" s="10" t="n">
        <v>24</v>
      </c>
      <c r="G384" s="12" t="s">
        <v>31</v>
      </c>
      <c r="H384" s="10" t="n">
        <v>2110101</v>
      </c>
      <c r="I384" s="12" t="s">
        <v>32</v>
      </c>
      <c r="J384" s="10" t="n">
        <v>1235729</v>
      </c>
      <c r="L384" s="10" t="n">
        <v>3041743</v>
      </c>
      <c r="M384" s="12" t="s">
        <v>33</v>
      </c>
      <c r="N384" s="12" t="s">
        <v>34</v>
      </c>
      <c r="P384" s="10" t="n">
        <v>128</v>
      </c>
      <c r="Q384" s="12" t="s">
        <v>35</v>
      </c>
      <c r="R384" s="12" t="s">
        <v>36</v>
      </c>
      <c r="S384" s="10" t="n">
        <v>1130101</v>
      </c>
      <c r="T384" s="12" t="s">
        <v>37</v>
      </c>
      <c r="U384" s="13" t="n">
        <v>1244.8</v>
      </c>
      <c r="W384" s="13" t="n">
        <v>0</v>
      </c>
      <c r="X384" s="12" t="s">
        <v>505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3</v>
      </c>
      <c r="B385" s="11" t="n">
        <v>46184</v>
      </c>
      <c r="C385" s="11" t="n">
        <v>46217</v>
      </c>
      <c r="D385" s="10" t="n">
        <v>1611</v>
      </c>
      <c r="E385" s="12" t="s">
        <v>199</v>
      </c>
      <c r="F385" s="10" t="n">
        <v>24</v>
      </c>
      <c r="G385" s="12" t="s">
        <v>31</v>
      </c>
      <c r="H385" s="10" t="n">
        <v>2110101</v>
      </c>
      <c r="I385" s="12" t="s">
        <v>32</v>
      </c>
      <c r="J385" s="10" t="n">
        <v>1239679</v>
      </c>
      <c r="L385" s="10" t="n">
        <v>180736271</v>
      </c>
      <c r="M385" s="12" t="s">
        <v>33</v>
      </c>
      <c r="N385" s="12" t="s">
        <v>34</v>
      </c>
      <c r="P385" s="10" t="n">
        <v>128</v>
      </c>
      <c r="Q385" s="12" t="s">
        <v>35</v>
      </c>
      <c r="R385" s="12" t="s">
        <v>36</v>
      </c>
      <c r="S385" s="10" t="n">
        <v>1130101</v>
      </c>
      <c r="T385" s="12" t="s">
        <v>37</v>
      </c>
      <c r="U385" s="13" t="n">
        <v>1718.77</v>
      </c>
      <c r="W385" s="13" t="n">
        <v>0</v>
      </c>
      <c r="X385" s="12" t="s">
        <v>506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3</v>
      </c>
      <c r="B386" s="11" t="n">
        <v>46184</v>
      </c>
      <c r="C386" s="11" t="n">
        <v>46217</v>
      </c>
      <c r="D386" s="10" t="n">
        <v>1136</v>
      </c>
      <c r="E386" s="12" t="s">
        <v>123</v>
      </c>
      <c r="F386" s="10" t="n">
        <v>24</v>
      </c>
      <c r="G386" s="12" t="s">
        <v>31</v>
      </c>
      <c r="H386" s="10" t="n">
        <v>2110101</v>
      </c>
      <c r="I386" s="12" t="s">
        <v>32</v>
      </c>
      <c r="J386" s="10" t="n">
        <v>1241443</v>
      </c>
      <c r="L386" s="10" t="n">
        <v>498833</v>
      </c>
      <c r="M386" s="12" t="s">
        <v>33</v>
      </c>
      <c r="N386" s="12" t="s">
        <v>34</v>
      </c>
      <c r="P386" s="10" t="n">
        <v>128</v>
      </c>
      <c r="Q386" s="12" t="s">
        <v>35</v>
      </c>
      <c r="R386" s="12" t="s">
        <v>36</v>
      </c>
      <c r="S386" s="10" t="n">
        <v>1130101</v>
      </c>
      <c r="T386" s="12" t="s">
        <v>37</v>
      </c>
      <c r="U386" s="13" t="n">
        <v>991.48</v>
      </c>
      <c r="W386" s="13" t="n">
        <v>0</v>
      </c>
      <c r="X386" s="12" t="s">
        <v>507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3</v>
      </c>
      <c r="B387" s="11" t="n">
        <v>46185</v>
      </c>
      <c r="C387" s="11" t="n">
        <v>46217</v>
      </c>
      <c r="D387" s="10" t="n">
        <v>1678</v>
      </c>
      <c r="E387" s="12" t="s">
        <v>42</v>
      </c>
      <c r="F387" s="10" t="n">
        <v>24</v>
      </c>
      <c r="G387" s="12" t="s">
        <v>31</v>
      </c>
      <c r="H387" s="10" t="n">
        <v>2110101</v>
      </c>
      <c r="I387" s="12" t="s">
        <v>32</v>
      </c>
      <c r="J387" s="10" t="n">
        <v>1243961</v>
      </c>
      <c r="L387" s="10" t="n">
        <v>1557323</v>
      </c>
      <c r="M387" s="12" t="s">
        <v>33</v>
      </c>
      <c r="N387" s="12" t="s">
        <v>34</v>
      </c>
      <c r="P387" s="10" t="n">
        <v>128</v>
      </c>
      <c r="Q387" s="12" t="s">
        <v>35</v>
      </c>
      <c r="R387" s="12" t="s">
        <v>36</v>
      </c>
      <c r="S387" s="10" t="n">
        <v>1130101</v>
      </c>
      <c r="T387" s="12" t="s">
        <v>37</v>
      </c>
      <c r="U387" s="13" t="n">
        <v>870.75</v>
      </c>
      <c r="W387" s="13" t="n">
        <v>0</v>
      </c>
      <c r="X387" s="12" t="s">
        <v>508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3</v>
      </c>
      <c r="B388" s="11" t="n">
        <v>46184</v>
      </c>
      <c r="C388" s="11" t="n">
        <v>46217</v>
      </c>
      <c r="D388" s="10" t="n">
        <v>1616</v>
      </c>
      <c r="E388" s="12" t="s">
        <v>72</v>
      </c>
      <c r="F388" s="10" t="n">
        <v>24</v>
      </c>
      <c r="G388" s="12" t="s">
        <v>31</v>
      </c>
      <c r="H388" s="10" t="n">
        <v>2110101</v>
      </c>
      <c r="I388" s="12" t="s">
        <v>32</v>
      </c>
      <c r="J388" s="10" t="n">
        <v>1244017</v>
      </c>
      <c r="L388" s="10" t="n">
        <v>6457683</v>
      </c>
      <c r="M388" s="12" t="s">
        <v>33</v>
      </c>
      <c r="N388" s="12" t="s">
        <v>34</v>
      </c>
      <c r="P388" s="10" t="n">
        <v>128</v>
      </c>
      <c r="Q388" s="12" t="s">
        <v>35</v>
      </c>
      <c r="R388" s="12" t="s">
        <v>36</v>
      </c>
      <c r="S388" s="10" t="n">
        <v>1130101</v>
      </c>
      <c r="T388" s="12" t="s">
        <v>37</v>
      </c>
      <c r="U388" s="13" t="n">
        <v>858.24</v>
      </c>
      <c r="W388" s="13" t="n">
        <v>0</v>
      </c>
      <c r="X388" s="12" t="s">
        <v>509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45.75" hidden="false" customHeight="true" outlineLevel="0" collapsed="false">
      <c r="A389" s="10" t="n">
        <v>3</v>
      </c>
      <c r="B389" s="11" t="n">
        <v>46188</v>
      </c>
      <c r="C389" s="11" t="n">
        <v>46217</v>
      </c>
      <c r="D389" s="10" t="n">
        <v>1720</v>
      </c>
      <c r="E389" s="12" t="s">
        <v>510</v>
      </c>
      <c r="F389" s="10" t="n">
        <v>24</v>
      </c>
      <c r="G389" s="12" t="s">
        <v>31</v>
      </c>
      <c r="H389" s="10" t="n">
        <v>2110101</v>
      </c>
      <c r="I389" s="12" t="s">
        <v>32</v>
      </c>
      <c r="J389" s="10" t="n">
        <v>1255841</v>
      </c>
      <c r="L389" s="10" t="n">
        <v>47411</v>
      </c>
      <c r="M389" s="12" t="s">
        <v>33</v>
      </c>
      <c r="N389" s="12" t="s">
        <v>40</v>
      </c>
      <c r="P389" s="10" t="n">
        <v>128</v>
      </c>
      <c r="Q389" s="12" t="s">
        <v>35</v>
      </c>
      <c r="R389" s="12" t="s">
        <v>36</v>
      </c>
      <c r="S389" s="10" t="n">
        <v>1130101</v>
      </c>
      <c r="T389" s="12" t="s">
        <v>37</v>
      </c>
      <c r="U389" s="13" t="n">
        <v>781.5</v>
      </c>
      <c r="W389" s="13" t="n">
        <v>0</v>
      </c>
      <c r="X389" s="12" t="s">
        <v>511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3</v>
      </c>
      <c r="B390" s="11" t="n">
        <v>46189</v>
      </c>
      <c r="C390" s="11" t="n">
        <v>46217</v>
      </c>
      <c r="D390" s="10" t="n">
        <v>1637</v>
      </c>
      <c r="E390" s="12" t="s">
        <v>127</v>
      </c>
      <c r="F390" s="10" t="n">
        <v>24</v>
      </c>
      <c r="G390" s="12" t="s">
        <v>31</v>
      </c>
      <c r="H390" s="10" t="n">
        <v>2110101</v>
      </c>
      <c r="I390" s="12" t="s">
        <v>32</v>
      </c>
      <c r="J390" s="10" t="n">
        <v>1260136</v>
      </c>
      <c r="L390" s="10" t="n">
        <v>1890866</v>
      </c>
      <c r="M390" s="12" t="s">
        <v>33</v>
      </c>
      <c r="N390" s="12" t="s">
        <v>40</v>
      </c>
      <c r="P390" s="10" t="n">
        <v>128</v>
      </c>
      <c r="Q390" s="12" t="s">
        <v>35</v>
      </c>
      <c r="R390" s="12" t="s">
        <v>36</v>
      </c>
      <c r="S390" s="10" t="n">
        <v>1130101</v>
      </c>
      <c r="T390" s="12" t="s">
        <v>37</v>
      </c>
      <c r="U390" s="13" t="n">
        <v>1799</v>
      </c>
      <c r="W390" s="13" t="n">
        <v>0</v>
      </c>
      <c r="X390" s="12" t="s">
        <v>512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3</v>
      </c>
      <c r="B391" s="11" t="n">
        <v>46189</v>
      </c>
      <c r="C391" s="11" t="n">
        <v>46217</v>
      </c>
      <c r="D391" s="10" t="n">
        <v>1637</v>
      </c>
      <c r="E391" s="12" t="s">
        <v>127</v>
      </c>
      <c r="F391" s="10" t="n">
        <v>24</v>
      </c>
      <c r="G391" s="12" t="s">
        <v>31</v>
      </c>
      <c r="H391" s="10" t="n">
        <v>2110101</v>
      </c>
      <c r="I391" s="12" t="s">
        <v>32</v>
      </c>
      <c r="J391" s="10" t="n">
        <v>1260175</v>
      </c>
      <c r="L391" s="10" t="n">
        <v>1890865</v>
      </c>
      <c r="M391" s="12" t="s">
        <v>33</v>
      </c>
      <c r="N391" s="12" t="s">
        <v>40</v>
      </c>
      <c r="P391" s="10" t="n">
        <v>128</v>
      </c>
      <c r="Q391" s="12" t="s">
        <v>35</v>
      </c>
      <c r="R391" s="12" t="s">
        <v>36</v>
      </c>
      <c r="S391" s="10" t="n">
        <v>1130101</v>
      </c>
      <c r="T391" s="12" t="s">
        <v>37</v>
      </c>
      <c r="U391" s="13" t="n">
        <v>1103.52</v>
      </c>
      <c r="W391" s="13" t="n">
        <v>0</v>
      </c>
      <c r="X391" s="12" t="s">
        <v>513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3</v>
      </c>
      <c r="B392" s="11" t="n">
        <v>46190</v>
      </c>
      <c r="C392" s="11" t="n">
        <v>46217</v>
      </c>
      <c r="D392" s="10" t="n">
        <v>1815</v>
      </c>
      <c r="E392" s="12" t="s">
        <v>157</v>
      </c>
      <c r="F392" s="10" t="n">
        <v>24</v>
      </c>
      <c r="G392" s="12" t="s">
        <v>31</v>
      </c>
      <c r="H392" s="10" t="n">
        <v>2110101</v>
      </c>
      <c r="I392" s="12" t="s">
        <v>32</v>
      </c>
      <c r="J392" s="10" t="n">
        <v>1265571</v>
      </c>
      <c r="L392" s="10" t="n">
        <v>4212043</v>
      </c>
      <c r="M392" s="12" t="s">
        <v>33</v>
      </c>
      <c r="N392" s="12" t="s">
        <v>34</v>
      </c>
      <c r="P392" s="10" t="n">
        <v>128</v>
      </c>
      <c r="Q392" s="12" t="s">
        <v>35</v>
      </c>
      <c r="R392" s="12" t="s">
        <v>36</v>
      </c>
      <c r="S392" s="10" t="n">
        <v>1130101</v>
      </c>
      <c r="T392" s="12" t="s">
        <v>37</v>
      </c>
      <c r="U392" s="13" t="n">
        <v>369</v>
      </c>
      <c r="W392" s="13" t="n">
        <v>0</v>
      </c>
      <c r="X392" s="12" t="s">
        <v>514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3</v>
      </c>
      <c r="B393" s="11" t="n">
        <v>46189</v>
      </c>
      <c r="C393" s="11" t="n">
        <v>46217</v>
      </c>
      <c r="D393" s="10" t="n">
        <v>1636</v>
      </c>
      <c r="E393" s="12" t="s">
        <v>195</v>
      </c>
      <c r="F393" s="10" t="n">
        <v>24</v>
      </c>
      <c r="G393" s="12" t="s">
        <v>31</v>
      </c>
      <c r="H393" s="10" t="n">
        <v>2110101</v>
      </c>
      <c r="I393" s="12" t="s">
        <v>32</v>
      </c>
      <c r="J393" s="10" t="n">
        <v>1265971</v>
      </c>
      <c r="L393" s="10" t="n">
        <v>32042682</v>
      </c>
      <c r="M393" s="12" t="s">
        <v>33</v>
      </c>
      <c r="N393" s="12" t="s">
        <v>34</v>
      </c>
      <c r="P393" s="10" t="n">
        <v>128</v>
      </c>
      <c r="Q393" s="12" t="s">
        <v>35</v>
      </c>
      <c r="R393" s="12" t="s">
        <v>36</v>
      </c>
      <c r="S393" s="10" t="n">
        <v>1130101</v>
      </c>
      <c r="T393" s="12" t="s">
        <v>37</v>
      </c>
      <c r="U393" s="13" t="n">
        <v>1019.5</v>
      </c>
      <c r="W393" s="13" t="n">
        <v>0</v>
      </c>
      <c r="X393" s="12" t="s">
        <v>515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0" t="n">
        <v>3</v>
      </c>
      <c r="B394" s="11" t="n">
        <v>46189</v>
      </c>
      <c r="C394" s="11" t="n">
        <v>46217</v>
      </c>
      <c r="D394" s="10" t="n">
        <v>1636</v>
      </c>
      <c r="E394" s="12" t="s">
        <v>195</v>
      </c>
      <c r="F394" s="10" t="n">
        <v>24</v>
      </c>
      <c r="G394" s="12" t="s">
        <v>31</v>
      </c>
      <c r="H394" s="10" t="n">
        <v>2110101</v>
      </c>
      <c r="I394" s="12" t="s">
        <v>32</v>
      </c>
      <c r="J394" s="10" t="n">
        <v>1266033</v>
      </c>
      <c r="L394" s="10" t="n">
        <v>32042652</v>
      </c>
      <c r="M394" s="12" t="s">
        <v>33</v>
      </c>
      <c r="N394" s="12" t="s">
        <v>34</v>
      </c>
      <c r="P394" s="10" t="n">
        <v>128</v>
      </c>
      <c r="Q394" s="12" t="s">
        <v>35</v>
      </c>
      <c r="R394" s="12" t="s">
        <v>36</v>
      </c>
      <c r="S394" s="10" t="n">
        <v>1130101</v>
      </c>
      <c r="T394" s="12" t="s">
        <v>37</v>
      </c>
      <c r="U394" s="13" t="n">
        <v>1319.07</v>
      </c>
      <c r="W394" s="13" t="n">
        <v>0</v>
      </c>
      <c r="X394" s="12" t="s">
        <v>516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0" t="n">
        <v>3</v>
      </c>
      <c r="B395" s="11" t="n">
        <v>46189</v>
      </c>
      <c r="C395" s="11" t="n">
        <v>46217</v>
      </c>
      <c r="D395" s="10" t="n">
        <v>1636</v>
      </c>
      <c r="E395" s="12" t="s">
        <v>195</v>
      </c>
      <c r="F395" s="10" t="n">
        <v>24</v>
      </c>
      <c r="G395" s="12" t="s">
        <v>31</v>
      </c>
      <c r="H395" s="10" t="n">
        <v>2110101</v>
      </c>
      <c r="I395" s="12" t="s">
        <v>32</v>
      </c>
      <c r="J395" s="10" t="n">
        <v>1266070</v>
      </c>
      <c r="L395" s="10" t="n">
        <v>32042632</v>
      </c>
      <c r="M395" s="12" t="s">
        <v>33</v>
      </c>
      <c r="N395" s="12" t="s">
        <v>34</v>
      </c>
      <c r="P395" s="10" t="n">
        <v>128</v>
      </c>
      <c r="Q395" s="12" t="s">
        <v>35</v>
      </c>
      <c r="R395" s="12" t="s">
        <v>36</v>
      </c>
      <c r="S395" s="10" t="n">
        <v>1130101</v>
      </c>
      <c r="T395" s="12" t="s">
        <v>37</v>
      </c>
      <c r="U395" s="13" t="n">
        <v>1097.93</v>
      </c>
      <c r="W395" s="13" t="n">
        <v>0</v>
      </c>
      <c r="X395" s="12" t="s">
        <v>517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0" t="n">
        <v>3</v>
      </c>
      <c r="B396" s="11" t="n">
        <v>46189</v>
      </c>
      <c r="C396" s="11" t="n">
        <v>46217</v>
      </c>
      <c r="D396" s="10" t="n">
        <v>1636</v>
      </c>
      <c r="E396" s="12" t="s">
        <v>195</v>
      </c>
      <c r="F396" s="10" t="n">
        <v>24</v>
      </c>
      <c r="G396" s="12" t="s">
        <v>31</v>
      </c>
      <c r="H396" s="10" t="n">
        <v>2110101</v>
      </c>
      <c r="I396" s="12" t="s">
        <v>32</v>
      </c>
      <c r="J396" s="10" t="n">
        <v>1266100</v>
      </c>
      <c r="L396" s="10" t="n">
        <v>32043642</v>
      </c>
      <c r="M396" s="12" t="s">
        <v>33</v>
      </c>
      <c r="N396" s="12" t="s">
        <v>34</v>
      </c>
      <c r="P396" s="10" t="n">
        <v>128</v>
      </c>
      <c r="Q396" s="12" t="s">
        <v>35</v>
      </c>
      <c r="R396" s="12" t="s">
        <v>36</v>
      </c>
      <c r="S396" s="10" t="n">
        <v>1130101</v>
      </c>
      <c r="T396" s="12" t="s">
        <v>37</v>
      </c>
      <c r="U396" s="13" t="n">
        <v>806.43</v>
      </c>
      <c r="W396" s="13" t="n">
        <v>0</v>
      </c>
      <c r="X396" s="12" t="s">
        <v>518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3</v>
      </c>
      <c r="B397" s="11" t="n">
        <v>46189</v>
      </c>
      <c r="C397" s="11" t="n">
        <v>46217</v>
      </c>
      <c r="D397" s="10" t="n">
        <v>1636</v>
      </c>
      <c r="E397" s="12" t="s">
        <v>195</v>
      </c>
      <c r="F397" s="10" t="n">
        <v>24</v>
      </c>
      <c r="G397" s="12" t="s">
        <v>31</v>
      </c>
      <c r="H397" s="10" t="n">
        <v>2110101</v>
      </c>
      <c r="I397" s="12" t="s">
        <v>32</v>
      </c>
      <c r="J397" s="10" t="n">
        <v>1266134</v>
      </c>
      <c r="L397" s="10" t="n">
        <v>32042692</v>
      </c>
      <c r="M397" s="12" t="s">
        <v>33</v>
      </c>
      <c r="N397" s="12" t="s">
        <v>34</v>
      </c>
      <c r="P397" s="10" t="n">
        <v>128</v>
      </c>
      <c r="Q397" s="12" t="s">
        <v>35</v>
      </c>
      <c r="R397" s="12" t="s">
        <v>36</v>
      </c>
      <c r="S397" s="10" t="n">
        <v>1130101</v>
      </c>
      <c r="T397" s="12" t="s">
        <v>37</v>
      </c>
      <c r="U397" s="13" t="n">
        <v>1138.24</v>
      </c>
      <c r="W397" s="13" t="n">
        <v>0</v>
      </c>
      <c r="X397" s="12" t="s">
        <v>519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54.75" hidden="false" customHeight="true" outlineLevel="0" collapsed="false">
      <c r="A398" s="10" t="n">
        <v>3</v>
      </c>
      <c r="B398" s="11" t="n">
        <v>46191</v>
      </c>
      <c r="C398" s="11" t="n">
        <v>46217</v>
      </c>
      <c r="D398" s="10" t="n">
        <v>1656</v>
      </c>
      <c r="E398" s="12" t="s">
        <v>330</v>
      </c>
      <c r="F398" s="10" t="n">
        <v>24</v>
      </c>
      <c r="G398" s="12" t="s">
        <v>31</v>
      </c>
      <c r="H398" s="10" t="n">
        <v>2110101</v>
      </c>
      <c r="I398" s="12" t="s">
        <v>32</v>
      </c>
      <c r="J398" s="10" t="n">
        <v>1272607</v>
      </c>
      <c r="L398" s="10" t="n">
        <v>2222632</v>
      </c>
      <c r="M398" s="12" t="s">
        <v>33</v>
      </c>
      <c r="N398" s="12" t="s">
        <v>34</v>
      </c>
      <c r="P398" s="10" t="n">
        <v>128</v>
      </c>
      <c r="Q398" s="12" t="s">
        <v>35</v>
      </c>
      <c r="R398" s="12" t="s">
        <v>36</v>
      </c>
      <c r="S398" s="10" t="n">
        <v>1130101</v>
      </c>
      <c r="T398" s="12" t="s">
        <v>37</v>
      </c>
      <c r="U398" s="13" t="n">
        <v>782.56</v>
      </c>
      <c r="W398" s="13" t="n">
        <v>0</v>
      </c>
      <c r="X398" s="12" t="s">
        <v>520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54.75" hidden="false" customHeight="true" outlineLevel="0" collapsed="false">
      <c r="A399" s="10" t="n">
        <v>3</v>
      </c>
      <c r="B399" s="11" t="n">
        <v>46193</v>
      </c>
      <c r="C399" s="11" t="n">
        <v>46217</v>
      </c>
      <c r="D399" s="10" t="n">
        <v>1916</v>
      </c>
      <c r="E399" s="12" t="s">
        <v>384</v>
      </c>
      <c r="F399" s="10" t="n">
        <v>24</v>
      </c>
      <c r="G399" s="12" t="s">
        <v>31</v>
      </c>
      <c r="H399" s="10" t="n">
        <v>2110101</v>
      </c>
      <c r="I399" s="12" t="s">
        <v>32</v>
      </c>
      <c r="J399" s="10" t="n">
        <v>1279197</v>
      </c>
      <c r="L399" s="10" t="n">
        <v>39436</v>
      </c>
      <c r="M399" s="12" t="s">
        <v>33</v>
      </c>
      <c r="N399" s="12" t="s">
        <v>40</v>
      </c>
      <c r="P399" s="10" t="n">
        <v>128</v>
      </c>
      <c r="Q399" s="12" t="s">
        <v>35</v>
      </c>
      <c r="R399" s="12" t="s">
        <v>36</v>
      </c>
      <c r="S399" s="10" t="n">
        <v>1130101</v>
      </c>
      <c r="T399" s="12" t="s">
        <v>37</v>
      </c>
      <c r="U399" s="13" t="n">
        <v>1613</v>
      </c>
      <c r="W399" s="13" t="n">
        <v>0</v>
      </c>
      <c r="X399" s="12" t="s">
        <v>521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3</v>
      </c>
      <c r="B400" s="11" t="n">
        <v>46191</v>
      </c>
      <c r="C400" s="11" t="n">
        <v>46217</v>
      </c>
      <c r="D400" s="10" t="n">
        <v>1657</v>
      </c>
      <c r="E400" s="12" t="s">
        <v>333</v>
      </c>
      <c r="F400" s="10" t="n">
        <v>24</v>
      </c>
      <c r="G400" s="12" t="s">
        <v>31</v>
      </c>
      <c r="H400" s="10" t="n">
        <v>2110101</v>
      </c>
      <c r="I400" s="12" t="s">
        <v>32</v>
      </c>
      <c r="J400" s="10" t="n">
        <v>1279232</v>
      </c>
      <c r="L400" s="10" t="n">
        <v>3747572</v>
      </c>
      <c r="M400" s="12" t="s">
        <v>33</v>
      </c>
      <c r="N400" s="12" t="s">
        <v>34</v>
      </c>
      <c r="P400" s="10" t="n">
        <v>128</v>
      </c>
      <c r="Q400" s="12" t="s">
        <v>35</v>
      </c>
      <c r="R400" s="12" t="s">
        <v>36</v>
      </c>
      <c r="S400" s="10" t="n">
        <v>1130101</v>
      </c>
      <c r="T400" s="12" t="s">
        <v>37</v>
      </c>
      <c r="U400" s="13" t="n">
        <v>977.07</v>
      </c>
      <c r="W400" s="13" t="n">
        <v>0</v>
      </c>
      <c r="X400" s="12" t="s">
        <v>522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36.75" hidden="false" customHeight="true" outlineLevel="0" collapsed="false">
      <c r="A401" s="10" t="n">
        <v>3</v>
      </c>
      <c r="B401" s="11" t="n">
        <v>46193</v>
      </c>
      <c r="C401" s="11" t="n">
        <v>46217</v>
      </c>
      <c r="D401" s="10" t="n">
        <v>1695</v>
      </c>
      <c r="E401" s="12" t="s">
        <v>211</v>
      </c>
      <c r="F401" s="10" t="n">
        <v>24</v>
      </c>
      <c r="G401" s="12" t="s">
        <v>31</v>
      </c>
      <c r="H401" s="10" t="n">
        <v>2110101</v>
      </c>
      <c r="I401" s="12" t="s">
        <v>32</v>
      </c>
      <c r="J401" s="10" t="n">
        <v>1288999</v>
      </c>
      <c r="L401" s="10" t="n">
        <v>187933</v>
      </c>
      <c r="M401" s="12" t="s">
        <v>33</v>
      </c>
      <c r="N401" s="12" t="s">
        <v>34</v>
      </c>
      <c r="P401" s="10" t="n">
        <v>128</v>
      </c>
      <c r="Q401" s="12" t="s">
        <v>35</v>
      </c>
      <c r="R401" s="12" t="s">
        <v>36</v>
      </c>
      <c r="S401" s="10" t="n">
        <v>1130101</v>
      </c>
      <c r="T401" s="12" t="s">
        <v>37</v>
      </c>
      <c r="U401" s="13" t="n">
        <v>521.45</v>
      </c>
      <c r="W401" s="13" t="n">
        <v>0</v>
      </c>
      <c r="X401" s="12" t="s">
        <v>523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3</v>
      </c>
      <c r="B402" s="11" t="n">
        <v>46195</v>
      </c>
      <c r="C402" s="11" t="n">
        <v>46217</v>
      </c>
      <c r="D402" s="10" t="n">
        <v>1608</v>
      </c>
      <c r="E402" s="12" t="s">
        <v>69</v>
      </c>
      <c r="F402" s="10" t="n">
        <v>24</v>
      </c>
      <c r="G402" s="12" t="s">
        <v>31</v>
      </c>
      <c r="H402" s="10" t="n">
        <v>2110101</v>
      </c>
      <c r="I402" s="12" t="s">
        <v>32</v>
      </c>
      <c r="J402" s="10" t="n">
        <v>1293858</v>
      </c>
      <c r="L402" s="10" t="n">
        <v>16785003</v>
      </c>
      <c r="M402" s="12" t="s">
        <v>33</v>
      </c>
      <c r="N402" s="12" t="s">
        <v>34</v>
      </c>
      <c r="P402" s="10" t="n">
        <v>128</v>
      </c>
      <c r="Q402" s="12" t="s">
        <v>35</v>
      </c>
      <c r="R402" s="12" t="s">
        <v>36</v>
      </c>
      <c r="S402" s="10" t="n">
        <v>1130101</v>
      </c>
      <c r="T402" s="12" t="s">
        <v>37</v>
      </c>
      <c r="U402" s="13" t="n">
        <v>1189.33</v>
      </c>
      <c r="W402" s="13" t="n">
        <v>0</v>
      </c>
      <c r="X402" s="12" t="s">
        <v>524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45.75" hidden="false" customHeight="true" outlineLevel="0" collapsed="false">
      <c r="A403" s="10" t="n">
        <v>3</v>
      </c>
      <c r="B403" s="11" t="n">
        <v>46195</v>
      </c>
      <c r="C403" s="11" t="n">
        <v>46217</v>
      </c>
      <c r="D403" s="10" t="n">
        <v>1672</v>
      </c>
      <c r="E403" s="12" t="s">
        <v>93</v>
      </c>
      <c r="F403" s="10" t="n">
        <v>24</v>
      </c>
      <c r="G403" s="12" t="s">
        <v>31</v>
      </c>
      <c r="H403" s="10" t="n">
        <v>2110101</v>
      </c>
      <c r="I403" s="12" t="s">
        <v>32</v>
      </c>
      <c r="J403" s="10" t="n">
        <v>1295733</v>
      </c>
      <c r="L403" s="10" t="n">
        <v>13764712</v>
      </c>
      <c r="M403" s="12" t="s">
        <v>33</v>
      </c>
      <c r="N403" s="12" t="s">
        <v>34</v>
      </c>
      <c r="P403" s="10" t="n">
        <v>128</v>
      </c>
      <c r="Q403" s="12" t="s">
        <v>35</v>
      </c>
      <c r="R403" s="12" t="s">
        <v>36</v>
      </c>
      <c r="S403" s="10" t="n">
        <v>1130101</v>
      </c>
      <c r="T403" s="12" t="s">
        <v>37</v>
      </c>
      <c r="U403" s="13" t="n">
        <v>696.25</v>
      </c>
      <c r="W403" s="13" t="n">
        <v>0</v>
      </c>
      <c r="X403" s="12" t="s">
        <v>525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3</v>
      </c>
      <c r="B404" s="11" t="n">
        <v>46197</v>
      </c>
      <c r="C404" s="11" t="n">
        <v>46217</v>
      </c>
      <c r="D404" s="10" t="n">
        <v>1605</v>
      </c>
      <c r="E404" s="12" t="s">
        <v>114</v>
      </c>
      <c r="F404" s="10" t="n">
        <v>24</v>
      </c>
      <c r="G404" s="12" t="s">
        <v>31</v>
      </c>
      <c r="H404" s="10" t="n">
        <v>2110101</v>
      </c>
      <c r="I404" s="12" t="s">
        <v>32</v>
      </c>
      <c r="J404" s="10" t="n">
        <v>1299213</v>
      </c>
      <c r="L404" s="10" t="n">
        <v>215700</v>
      </c>
      <c r="M404" s="12" t="s">
        <v>33</v>
      </c>
      <c r="N404" s="12" t="s">
        <v>40</v>
      </c>
      <c r="P404" s="10" t="n">
        <v>128</v>
      </c>
      <c r="Q404" s="12" t="s">
        <v>35</v>
      </c>
      <c r="R404" s="12" t="s">
        <v>36</v>
      </c>
      <c r="S404" s="10" t="n">
        <v>1130101</v>
      </c>
      <c r="T404" s="12" t="s">
        <v>37</v>
      </c>
      <c r="U404" s="13" t="n">
        <v>675.92</v>
      </c>
      <c r="W404" s="13" t="n">
        <v>0</v>
      </c>
      <c r="X404" s="12" t="s">
        <v>526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3</v>
      </c>
      <c r="B405" s="11" t="n">
        <v>46198</v>
      </c>
      <c r="C405" s="11" t="n">
        <v>46217</v>
      </c>
      <c r="D405" s="10" t="n">
        <v>1185</v>
      </c>
      <c r="E405" s="12" t="s">
        <v>527</v>
      </c>
      <c r="F405" s="10" t="n">
        <v>24</v>
      </c>
      <c r="G405" s="12" t="s">
        <v>31</v>
      </c>
      <c r="H405" s="10" t="n">
        <v>2110101</v>
      </c>
      <c r="I405" s="12" t="s">
        <v>32</v>
      </c>
      <c r="J405" s="10" t="n">
        <v>1304495</v>
      </c>
      <c r="L405" s="10" t="n">
        <v>364</v>
      </c>
      <c r="M405" s="12" t="s">
        <v>33</v>
      </c>
      <c r="N405" s="12" t="s">
        <v>40</v>
      </c>
      <c r="P405" s="10" t="n">
        <v>128</v>
      </c>
      <c r="Q405" s="12" t="s">
        <v>35</v>
      </c>
      <c r="R405" s="12" t="s">
        <v>36</v>
      </c>
      <c r="S405" s="10" t="n">
        <v>1130101</v>
      </c>
      <c r="T405" s="12" t="s">
        <v>37</v>
      </c>
      <c r="U405" s="13" t="n">
        <v>1279.8</v>
      </c>
      <c r="W405" s="13" t="n">
        <v>0</v>
      </c>
      <c r="X405" s="12" t="s">
        <v>528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0" t="n">
        <v>3</v>
      </c>
      <c r="B406" s="11" t="n">
        <v>46196</v>
      </c>
      <c r="C406" s="11" t="n">
        <v>46217</v>
      </c>
      <c r="D406" s="10" t="n">
        <v>1659</v>
      </c>
      <c r="E406" s="12" t="s">
        <v>30</v>
      </c>
      <c r="F406" s="10" t="n">
        <v>24</v>
      </c>
      <c r="G406" s="12" t="s">
        <v>31</v>
      </c>
      <c r="H406" s="10" t="n">
        <v>2110101</v>
      </c>
      <c r="I406" s="12" t="s">
        <v>32</v>
      </c>
      <c r="J406" s="10" t="n">
        <v>1305056</v>
      </c>
      <c r="L406" s="10" t="n">
        <v>8812241</v>
      </c>
      <c r="M406" s="12" t="s">
        <v>33</v>
      </c>
      <c r="N406" s="12" t="s">
        <v>34</v>
      </c>
      <c r="P406" s="10" t="n">
        <v>128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764.34</v>
      </c>
      <c r="W406" s="13" t="n">
        <v>0</v>
      </c>
      <c r="X406" s="12" t="s">
        <v>529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3</v>
      </c>
      <c r="B407" s="11" t="n">
        <v>46198</v>
      </c>
      <c r="C407" s="11" t="n">
        <v>46217</v>
      </c>
      <c r="D407" s="10" t="n">
        <v>1699</v>
      </c>
      <c r="E407" s="12" t="s">
        <v>87</v>
      </c>
      <c r="F407" s="10" t="n">
        <v>24</v>
      </c>
      <c r="G407" s="12" t="s">
        <v>31</v>
      </c>
      <c r="H407" s="10" t="n">
        <v>2110101</v>
      </c>
      <c r="I407" s="12" t="s">
        <v>32</v>
      </c>
      <c r="J407" s="10" t="n">
        <v>1312319</v>
      </c>
      <c r="L407" s="10" t="n">
        <v>3059181</v>
      </c>
      <c r="M407" s="12" t="s">
        <v>33</v>
      </c>
      <c r="N407" s="12" t="s">
        <v>34</v>
      </c>
      <c r="P407" s="10" t="n">
        <v>128</v>
      </c>
      <c r="Q407" s="12" t="s">
        <v>35</v>
      </c>
      <c r="R407" s="12" t="s">
        <v>36</v>
      </c>
      <c r="S407" s="10" t="n">
        <v>1130101</v>
      </c>
      <c r="T407" s="12" t="s">
        <v>37</v>
      </c>
      <c r="U407" s="13" t="n">
        <v>649.18</v>
      </c>
      <c r="W407" s="13" t="n">
        <v>0</v>
      </c>
      <c r="X407" s="12" t="s">
        <v>530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0" t="n">
        <v>3</v>
      </c>
      <c r="B408" s="11" t="n">
        <v>46197</v>
      </c>
      <c r="C408" s="11" t="n">
        <v>46217</v>
      </c>
      <c r="D408" s="10" t="n">
        <v>1107</v>
      </c>
      <c r="E408" s="12" t="s">
        <v>103</v>
      </c>
      <c r="F408" s="10" t="n">
        <v>24</v>
      </c>
      <c r="G408" s="12" t="s">
        <v>31</v>
      </c>
      <c r="H408" s="10" t="n">
        <v>2110101</v>
      </c>
      <c r="I408" s="12" t="s">
        <v>32</v>
      </c>
      <c r="J408" s="10" t="n">
        <v>1312346</v>
      </c>
      <c r="L408" s="10" t="n">
        <v>4217651</v>
      </c>
      <c r="M408" s="12" t="s">
        <v>33</v>
      </c>
      <c r="N408" s="12" t="s">
        <v>34</v>
      </c>
      <c r="P408" s="10" t="n">
        <v>128</v>
      </c>
      <c r="Q408" s="12" t="s">
        <v>35</v>
      </c>
      <c r="R408" s="12" t="s">
        <v>36</v>
      </c>
      <c r="S408" s="10" t="n">
        <v>1130101</v>
      </c>
      <c r="T408" s="12" t="s">
        <v>37</v>
      </c>
      <c r="U408" s="13" t="n">
        <v>709.47</v>
      </c>
      <c r="W408" s="13" t="n">
        <v>0</v>
      </c>
      <c r="X408" s="12" t="s">
        <v>531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3</v>
      </c>
      <c r="B409" s="11" t="n">
        <v>46197</v>
      </c>
      <c r="C409" s="11" t="n">
        <v>46217</v>
      </c>
      <c r="D409" s="10" t="n">
        <v>10085</v>
      </c>
      <c r="E409" s="12" t="s">
        <v>532</v>
      </c>
      <c r="F409" s="10" t="n">
        <v>24</v>
      </c>
      <c r="G409" s="12" t="s">
        <v>31</v>
      </c>
      <c r="H409" s="10" t="n">
        <v>2110101</v>
      </c>
      <c r="I409" s="12" t="s">
        <v>32</v>
      </c>
      <c r="J409" s="10" t="n">
        <v>1312423</v>
      </c>
      <c r="L409" s="10" t="n">
        <v>436</v>
      </c>
      <c r="M409" s="12" t="s">
        <v>33</v>
      </c>
      <c r="N409" s="12" t="s">
        <v>34</v>
      </c>
      <c r="P409" s="10" t="n">
        <v>128</v>
      </c>
      <c r="Q409" s="12" t="s">
        <v>35</v>
      </c>
      <c r="R409" s="12" t="s">
        <v>36</v>
      </c>
      <c r="S409" s="10" t="n">
        <v>1130101</v>
      </c>
      <c r="T409" s="12" t="s">
        <v>37</v>
      </c>
      <c r="U409" s="13" t="n">
        <v>653.6</v>
      </c>
      <c r="W409" s="13" t="n">
        <v>0</v>
      </c>
      <c r="X409" s="12" t="s">
        <v>533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3</v>
      </c>
      <c r="B410" s="11" t="n">
        <v>46200</v>
      </c>
      <c r="C410" s="11" t="n">
        <v>46217</v>
      </c>
      <c r="D410" s="10" t="n">
        <v>1916</v>
      </c>
      <c r="E410" s="12" t="s">
        <v>384</v>
      </c>
      <c r="F410" s="10" t="n">
        <v>24</v>
      </c>
      <c r="G410" s="12" t="s">
        <v>31</v>
      </c>
      <c r="H410" s="10" t="n">
        <v>2110101</v>
      </c>
      <c r="I410" s="12" t="s">
        <v>32</v>
      </c>
      <c r="J410" s="10" t="n">
        <v>1312535</v>
      </c>
      <c r="L410" s="10" t="n">
        <v>2465</v>
      </c>
      <c r="M410" s="12" t="s">
        <v>33</v>
      </c>
      <c r="N410" s="12" t="s">
        <v>40</v>
      </c>
      <c r="P410" s="10" t="n">
        <v>128</v>
      </c>
      <c r="Q410" s="12" t="s">
        <v>35</v>
      </c>
      <c r="R410" s="12" t="s">
        <v>36</v>
      </c>
      <c r="S410" s="10" t="n">
        <v>1130101</v>
      </c>
      <c r="T410" s="12" t="s">
        <v>37</v>
      </c>
      <c r="U410" s="13" t="n">
        <v>105</v>
      </c>
      <c r="W410" s="13" t="n">
        <v>0</v>
      </c>
      <c r="X410" s="12" t="s">
        <v>534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3</v>
      </c>
      <c r="B411" s="11" t="n">
        <v>46200</v>
      </c>
      <c r="C411" s="11" t="n">
        <v>46217</v>
      </c>
      <c r="D411" s="10" t="n">
        <v>1916</v>
      </c>
      <c r="E411" s="12" t="s">
        <v>384</v>
      </c>
      <c r="F411" s="10" t="n">
        <v>24</v>
      </c>
      <c r="G411" s="12" t="s">
        <v>31</v>
      </c>
      <c r="H411" s="10" t="n">
        <v>2110101</v>
      </c>
      <c r="I411" s="12" t="s">
        <v>32</v>
      </c>
      <c r="J411" s="10" t="n">
        <v>1312539</v>
      </c>
      <c r="L411" s="10" t="n">
        <v>39536</v>
      </c>
      <c r="M411" s="12" t="s">
        <v>33</v>
      </c>
      <c r="N411" s="12" t="s">
        <v>40</v>
      </c>
      <c r="P411" s="10" t="n">
        <v>128</v>
      </c>
      <c r="Q411" s="12" t="s">
        <v>35</v>
      </c>
      <c r="R411" s="12" t="s">
        <v>36</v>
      </c>
      <c r="S411" s="10" t="n">
        <v>1130101</v>
      </c>
      <c r="T411" s="12" t="s">
        <v>37</v>
      </c>
      <c r="U411" s="13" t="n">
        <v>137.5</v>
      </c>
      <c r="W411" s="13" t="n">
        <v>0</v>
      </c>
      <c r="X411" s="12" t="s">
        <v>535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3</v>
      </c>
      <c r="B412" s="11" t="n">
        <v>46196</v>
      </c>
      <c r="C412" s="11" t="n">
        <v>46217</v>
      </c>
      <c r="D412" s="10" t="n">
        <v>10019</v>
      </c>
      <c r="E412" s="12" t="s">
        <v>345</v>
      </c>
      <c r="F412" s="10" t="n">
        <v>24</v>
      </c>
      <c r="G412" s="12" t="s">
        <v>31</v>
      </c>
      <c r="H412" s="10" t="n">
        <v>2110101</v>
      </c>
      <c r="I412" s="12" t="s">
        <v>32</v>
      </c>
      <c r="J412" s="10" t="n">
        <v>1321688</v>
      </c>
      <c r="L412" s="10" t="n">
        <v>774802</v>
      </c>
      <c r="M412" s="12" t="s">
        <v>33</v>
      </c>
      <c r="N412" s="12" t="s">
        <v>34</v>
      </c>
      <c r="P412" s="10" t="n">
        <v>128</v>
      </c>
      <c r="Q412" s="12" t="s">
        <v>35</v>
      </c>
      <c r="R412" s="12" t="s">
        <v>36</v>
      </c>
      <c r="S412" s="10" t="n">
        <v>1130101</v>
      </c>
      <c r="T412" s="12" t="s">
        <v>37</v>
      </c>
      <c r="U412" s="13" t="n">
        <v>1651.2</v>
      </c>
      <c r="W412" s="13" t="n">
        <v>0</v>
      </c>
      <c r="X412" s="12" t="s">
        <v>536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3</v>
      </c>
      <c r="B413" s="11" t="n">
        <v>46196</v>
      </c>
      <c r="C413" s="11" t="n">
        <v>46217</v>
      </c>
      <c r="D413" s="10" t="n">
        <v>10019</v>
      </c>
      <c r="E413" s="12" t="s">
        <v>345</v>
      </c>
      <c r="F413" s="10" t="n">
        <v>24</v>
      </c>
      <c r="G413" s="12" t="s">
        <v>31</v>
      </c>
      <c r="H413" s="10" t="n">
        <v>2110101</v>
      </c>
      <c r="I413" s="12" t="s">
        <v>32</v>
      </c>
      <c r="J413" s="10" t="n">
        <v>1321749</v>
      </c>
      <c r="L413" s="10" t="n">
        <v>774382</v>
      </c>
      <c r="M413" s="12" t="s">
        <v>33</v>
      </c>
      <c r="N413" s="12" t="s">
        <v>34</v>
      </c>
      <c r="P413" s="10" t="n">
        <v>128</v>
      </c>
      <c r="Q413" s="12" t="s">
        <v>35</v>
      </c>
      <c r="R413" s="12" t="s">
        <v>36</v>
      </c>
      <c r="S413" s="10" t="n">
        <v>1130101</v>
      </c>
      <c r="T413" s="12" t="s">
        <v>37</v>
      </c>
      <c r="U413" s="13" t="n">
        <v>1830.96</v>
      </c>
      <c r="W413" s="13" t="n">
        <v>0</v>
      </c>
      <c r="X413" s="12" t="s">
        <v>537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27.75" hidden="false" customHeight="true" outlineLevel="0" collapsed="false">
      <c r="A414" s="10" t="n">
        <v>3</v>
      </c>
      <c r="B414" s="11" t="n">
        <v>46202</v>
      </c>
      <c r="C414" s="11" t="n">
        <v>46217</v>
      </c>
      <c r="D414" s="10" t="n">
        <v>1609</v>
      </c>
      <c r="E414" s="12" t="s">
        <v>85</v>
      </c>
      <c r="F414" s="10" t="n">
        <v>24</v>
      </c>
      <c r="G414" s="12" t="s">
        <v>31</v>
      </c>
      <c r="H414" s="10" t="n">
        <v>2110101</v>
      </c>
      <c r="I414" s="12" t="s">
        <v>32</v>
      </c>
      <c r="J414" s="10" t="n">
        <v>1322109</v>
      </c>
      <c r="L414" s="10" t="n">
        <v>5718</v>
      </c>
      <c r="M414" s="12" t="s">
        <v>33</v>
      </c>
      <c r="N414" s="12" t="s">
        <v>40</v>
      </c>
      <c r="P414" s="10" t="n">
        <v>128</v>
      </c>
      <c r="Q414" s="12" t="s">
        <v>35</v>
      </c>
      <c r="R414" s="12" t="s">
        <v>36</v>
      </c>
      <c r="S414" s="10" t="n">
        <v>1130101</v>
      </c>
      <c r="T414" s="12" t="s">
        <v>37</v>
      </c>
      <c r="U414" s="13" t="n">
        <v>728</v>
      </c>
      <c r="W414" s="13" t="n">
        <v>0</v>
      </c>
      <c r="X414" s="12" t="s">
        <v>538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3</v>
      </c>
      <c r="B415" s="11" t="n">
        <v>46203</v>
      </c>
      <c r="C415" s="11" t="n">
        <v>46217</v>
      </c>
      <c r="D415" s="10" t="n">
        <v>1723</v>
      </c>
      <c r="E415" s="12" t="s">
        <v>54</v>
      </c>
      <c r="F415" s="10" t="n">
        <v>24</v>
      </c>
      <c r="G415" s="12" t="s">
        <v>31</v>
      </c>
      <c r="H415" s="10" t="n">
        <v>2110101</v>
      </c>
      <c r="I415" s="12" t="s">
        <v>32</v>
      </c>
      <c r="J415" s="10" t="n">
        <v>1329901</v>
      </c>
      <c r="L415" s="10" t="n">
        <v>54938</v>
      </c>
      <c r="M415" s="12" t="s">
        <v>33</v>
      </c>
      <c r="N415" s="12" t="s">
        <v>34</v>
      </c>
      <c r="P415" s="10" t="n">
        <v>128</v>
      </c>
      <c r="Q415" s="12" t="s">
        <v>35</v>
      </c>
      <c r="R415" s="12" t="s">
        <v>36</v>
      </c>
      <c r="S415" s="10" t="n">
        <v>1130101</v>
      </c>
      <c r="T415" s="12" t="s">
        <v>37</v>
      </c>
      <c r="U415" s="13" t="n">
        <v>4742.4</v>
      </c>
      <c r="W415" s="13" t="n">
        <v>0</v>
      </c>
      <c r="X415" s="12" t="s">
        <v>539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36.75" hidden="false" customHeight="true" outlineLevel="0" collapsed="false">
      <c r="A416" s="10" t="n">
        <v>3</v>
      </c>
      <c r="B416" s="11" t="n">
        <v>46204</v>
      </c>
      <c r="C416" s="11" t="n">
        <v>46217</v>
      </c>
      <c r="D416" s="10" t="n">
        <v>1613</v>
      </c>
      <c r="E416" s="12" t="s">
        <v>209</v>
      </c>
      <c r="F416" s="10" t="n">
        <v>24</v>
      </c>
      <c r="G416" s="12" t="s">
        <v>31</v>
      </c>
      <c r="H416" s="10" t="n">
        <v>2110101</v>
      </c>
      <c r="I416" s="12" t="s">
        <v>32</v>
      </c>
      <c r="J416" s="10" t="n">
        <v>1335299</v>
      </c>
      <c r="L416" s="10" t="n">
        <v>16023162</v>
      </c>
      <c r="M416" s="12" t="s">
        <v>33</v>
      </c>
      <c r="N416" s="12" t="s">
        <v>34</v>
      </c>
      <c r="P416" s="10" t="n">
        <v>167</v>
      </c>
      <c r="Q416" s="12" t="s">
        <v>220</v>
      </c>
      <c r="R416" s="12" t="s">
        <v>36</v>
      </c>
      <c r="S416" s="10" t="n">
        <v>1130101</v>
      </c>
      <c r="T416" s="12" t="s">
        <v>37</v>
      </c>
      <c r="U416" s="13" t="n">
        <v>1398.81</v>
      </c>
      <c r="W416" s="13" t="n">
        <v>0</v>
      </c>
      <c r="X416" s="12" t="s">
        <v>540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0" t="n">
        <v>3</v>
      </c>
      <c r="B417" s="11" t="n">
        <v>46204</v>
      </c>
      <c r="C417" s="11" t="n">
        <v>46217</v>
      </c>
      <c r="D417" s="10" t="n">
        <v>1723</v>
      </c>
      <c r="E417" s="12" t="s">
        <v>54</v>
      </c>
      <c r="F417" s="10" t="n">
        <v>24</v>
      </c>
      <c r="G417" s="12" t="s">
        <v>31</v>
      </c>
      <c r="H417" s="10" t="n">
        <v>2110101</v>
      </c>
      <c r="I417" s="12" t="s">
        <v>32</v>
      </c>
      <c r="J417" s="10" t="n">
        <v>1335548</v>
      </c>
      <c r="L417" s="10" t="n">
        <v>55058</v>
      </c>
      <c r="M417" s="12" t="s">
        <v>33</v>
      </c>
      <c r="N417" s="12" t="s">
        <v>34</v>
      </c>
      <c r="P417" s="10" t="n">
        <v>167</v>
      </c>
      <c r="Q417" s="12" t="s">
        <v>220</v>
      </c>
      <c r="R417" s="12" t="s">
        <v>36</v>
      </c>
      <c r="S417" s="10" t="n">
        <v>1130101</v>
      </c>
      <c r="T417" s="12" t="s">
        <v>37</v>
      </c>
      <c r="U417" s="13" t="n">
        <v>2305.6</v>
      </c>
      <c r="W417" s="13" t="n">
        <v>0</v>
      </c>
      <c r="X417" s="12" t="s">
        <v>541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36.75" hidden="false" customHeight="true" outlineLevel="0" collapsed="false">
      <c r="A418" s="10" t="n">
        <v>3</v>
      </c>
      <c r="B418" s="11" t="n">
        <v>46205</v>
      </c>
      <c r="C418" s="11" t="n">
        <v>46217</v>
      </c>
      <c r="D418" s="10" t="n">
        <v>1723</v>
      </c>
      <c r="E418" s="12" t="s">
        <v>54</v>
      </c>
      <c r="F418" s="10" t="n">
        <v>24</v>
      </c>
      <c r="G418" s="12" t="s">
        <v>31</v>
      </c>
      <c r="H418" s="10" t="n">
        <v>2110101</v>
      </c>
      <c r="I418" s="12" t="s">
        <v>32</v>
      </c>
      <c r="J418" s="10" t="n">
        <v>1339473</v>
      </c>
      <c r="L418" s="10" t="n">
        <v>55207</v>
      </c>
      <c r="M418" s="12" t="s">
        <v>33</v>
      </c>
      <c r="N418" s="12" t="s">
        <v>34</v>
      </c>
      <c r="P418" s="10" t="n">
        <v>167</v>
      </c>
      <c r="Q418" s="12" t="s">
        <v>220</v>
      </c>
      <c r="R418" s="12" t="s">
        <v>36</v>
      </c>
      <c r="S418" s="10" t="n">
        <v>1130101</v>
      </c>
      <c r="T418" s="12" t="s">
        <v>37</v>
      </c>
      <c r="U418" s="13" t="n">
        <v>1971.2</v>
      </c>
      <c r="W418" s="13" t="n">
        <v>0</v>
      </c>
      <c r="X418" s="12" t="s">
        <v>542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45.75" hidden="false" customHeight="true" outlineLevel="0" collapsed="false">
      <c r="A419" s="10" t="n">
        <v>3</v>
      </c>
      <c r="B419" s="11" t="n">
        <v>46204</v>
      </c>
      <c r="C419" s="11" t="n">
        <v>46217</v>
      </c>
      <c r="D419" s="10" t="n">
        <v>1749</v>
      </c>
      <c r="E419" s="12" t="s">
        <v>110</v>
      </c>
      <c r="F419" s="10" t="n">
        <v>24</v>
      </c>
      <c r="G419" s="12" t="s">
        <v>31</v>
      </c>
      <c r="H419" s="10" t="n">
        <v>2110101</v>
      </c>
      <c r="I419" s="12" t="s">
        <v>32</v>
      </c>
      <c r="J419" s="10" t="n">
        <v>1340207</v>
      </c>
      <c r="L419" s="10" t="n">
        <v>25451</v>
      </c>
      <c r="M419" s="12" t="s">
        <v>33</v>
      </c>
      <c r="N419" s="12" t="s">
        <v>34</v>
      </c>
      <c r="P419" s="10" t="n">
        <v>167</v>
      </c>
      <c r="Q419" s="12" t="s">
        <v>220</v>
      </c>
      <c r="R419" s="12" t="s">
        <v>36</v>
      </c>
      <c r="S419" s="10" t="n">
        <v>1130101</v>
      </c>
      <c r="T419" s="12" t="s">
        <v>37</v>
      </c>
      <c r="U419" s="13" t="n">
        <v>1598.87</v>
      </c>
      <c r="W419" s="13" t="n">
        <v>0</v>
      </c>
      <c r="X419" s="12" t="s">
        <v>543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3</v>
      </c>
      <c r="B420" s="11" t="n">
        <v>46206</v>
      </c>
      <c r="C420" s="11" t="n">
        <v>46217</v>
      </c>
      <c r="D420" s="10" t="n">
        <v>10063</v>
      </c>
      <c r="E420" s="12" t="s">
        <v>76</v>
      </c>
      <c r="F420" s="10" t="n">
        <v>24</v>
      </c>
      <c r="G420" s="12" t="s">
        <v>31</v>
      </c>
      <c r="H420" s="10" t="n">
        <v>2110101</v>
      </c>
      <c r="I420" s="12" t="s">
        <v>32</v>
      </c>
      <c r="J420" s="10" t="n">
        <v>1343844</v>
      </c>
      <c r="L420" s="10" t="n">
        <v>2423</v>
      </c>
      <c r="M420" s="12" t="s">
        <v>33</v>
      </c>
      <c r="N420" s="12" t="s">
        <v>40</v>
      </c>
      <c r="P420" s="10" t="n">
        <v>167</v>
      </c>
      <c r="Q420" s="12" t="s">
        <v>220</v>
      </c>
      <c r="R420" s="12" t="s">
        <v>36</v>
      </c>
      <c r="S420" s="10" t="n">
        <v>1130101</v>
      </c>
      <c r="T420" s="12" t="s">
        <v>37</v>
      </c>
      <c r="U420" s="13" t="n">
        <v>1815</v>
      </c>
      <c r="W420" s="13" t="n">
        <v>0</v>
      </c>
      <c r="X420" s="12" t="s">
        <v>544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3</v>
      </c>
      <c r="B421" s="11" t="n">
        <v>46206</v>
      </c>
      <c r="C421" s="11" t="n">
        <v>46217</v>
      </c>
      <c r="D421" s="10" t="n">
        <v>1828</v>
      </c>
      <c r="E421" s="12" t="s">
        <v>52</v>
      </c>
      <c r="F421" s="10" t="n">
        <v>24</v>
      </c>
      <c r="G421" s="12" t="s">
        <v>31</v>
      </c>
      <c r="H421" s="10" t="n">
        <v>2110101</v>
      </c>
      <c r="I421" s="12" t="s">
        <v>32</v>
      </c>
      <c r="J421" s="10" t="n">
        <v>1345337</v>
      </c>
      <c r="L421" s="10" t="n">
        <v>1365</v>
      </c>
      <c r="M421" s="12" t="s">
        <v>33</v>
      </c>
      <c r="N421" s="12" t="s">
        <v>40</v>
      </c>
      <c r="P421" s="10" t="n">
        <v>167</v>
      </c>
      <c r="Q421" s="12" t="s">
        <v>220</v>
      </c>
      <c r="R421" s="12" t="s">
        <v>36</v>
      </c>
      <c r="S421" s="10" t="n">
        <v>1130101</v>
      </c>
      <c r="T421" s="12" t="s">
        <v>37</v>
      </c>
      <c r="U421" s="13" t="n">
        <v>937.9</v>
      </c>
      <c r="W421" s="13" t="n">
        <v>0</v>
      </c>
      <c r="X421" s="12" t="s">
        <v>545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3</v>
      </c>
      <c r="B422" s="11" t="n">
        <v>46206</v>
      </c>
      <c r="C422" s="11" t="n">
        <v>46217</v>
      </c>
      <c r="D422" s="10" t="n">
        <v>1723</v>
      </c>
      <c r="E422" s="12" t="s">
        <v>54</v>
      </c>
      <c r="F422" s="10" t="n">
        <v>24</v>
      </c>
      <c r="G422" s="12" t="s">
        <v>31</v>
      </c>
      <c r="H422" s="10" t="n">
        <v>2110101</v>
      </c>
      <c r="I422" s="12" t="s">
        <v>32</v>
      </c>
      <c r="J422" s="10" t="n">
        <v>1348449</v>
      </c>
      <c r="L422" s="10" t="n">
        <v>55346</v>
      </c>
      <c r="M422" s="12" t="s">
        <v>33</v>
      </c>
      <c r="N422" s="12" t="s">
        <v>34</v>
      </c>
      <c r="P422" s="10" t="n">
        <v>167</v>
      </c>
      <c r="Q422" s="12" t="s">
        <v>220</v>
      </c>
      <c r="R422" s="12" t="s">
        <v>36</v>
      </c>
      <c r="S422" s="10" t="n">
        <v>1130101</v>
      </c>
      <c r="T422" s="12" t="s">
        <v>37</v>
      </c>
      <c r="U422" s="13" t="n">
        <v>5615.6</v>
      </c>
      <c r="W422" s="13" t="n">
        <v>0</v>
      </c>
      <c r="X422" s="12" t="s">
        <v>546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3</v>
      </c>
      <c r="B423" s="11" t="n">
        <v>46208</v>
      </c>
      <c r="C423" s="11" t="n">
        <v>46217</v>
      </c>
      <c r="D423" s="10" t="n">
        <v>1936</v>
      </c>
      <c r="E423" s="12" t="s">
        <v>218</v>
      </c>
      <c r="F423" s="10" t="n">
        <v>24</v>
      </c>
      <c r="G423" s="12" t="s">
        <v>31</v>
      </c>
      <c r="H423" s="10" t="n">
        <v>2110101</v>
      </c>
      <c r="I423" s="12" t="s">
        <v>32</v>
      </c>
      <c r="J423" s="10" t="n">
        <v>1359519</v>
      </c>
      <c r="L423" s="10" t="n">
        <v>50497454</v>
      </c>
      <c r="M423" s="12" t="s">
        <v>33</v>
      </c>
      <c r="N423" s="12" t="s">
        <v>34</v>
      </c>
      <c r="P423" s="10" t="n">
        <v>167</v>
      </c>
      <c r="Q423" s="12" t="s">
        <v>220</v>
      </c>
      <c r="R423" s="12" t="s">
        <v>36</v>
      </c>
      <c r="S423" s="10" t="n">
        <v>1130101</v>
      </c>
      <c r="T423" s="12" t="s">
        <v>37</v>
      </c>
      <c r="U423" s="13" t="n">
        <v>667.9</v>
      </c>
      <c r="W423" s="13" t="n">
        <v>0</v>
      </c>
      <c r="X423" s="12" t="s">
        <v>547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3</v>
      </c>
      <c r="B424" s="11" t="n">
        <v>46209</v>
      </c>
      <c r="C424" s="11" t="n">
        <v>46217</v>
      </c>
      <c r="D424" s="10" t="n">
        <v>1621</v>
      </c>
      <c r="E424" s="12" t="s">
        <v>129</v>
      </c>
      <c r="F424" s="10" t="n">
        <v>24</v>
      </c>
      <c r="G424" s="12" t="s">
        <v>31</v>
      </c>
      <c r="H424" s="10" t="n">
        <v>2110101</v>
      </c>
      <c r="I424" s="12" t="s">
        <v>32</v>
      </c>
      <c r="J424" s="10" t="n">
        <v>1360820</v>
      </c>
      <c r="L424" s="10" t="n">
        <v>888740</v>
      </c>
      <c r="M424" s="12" t="s">
        <v>33</v>
      </c>
      <c r="N424" s="12" t="s">
        <v>40</v>
      </c>
      <c r="P424" s="10" t="n">
        <v>167</v>
      </c>
      <c r="Q424" s="12" t="s">
        <v>220</v>
      </c>
      <c r="R424" s="12" t="s">
        <v>36</v>
      </c>
      <c r="S424" s="10" t="n">
        <v>1130101</v>
      </c>
      <c r="T424" s="12" t="s">
        <v>37</v>
      </c>
      <c r="U424" s="13" t="n">
        <v>4203.32</v>
      </c>
      <c r="W424" s="13" t="n">
        <v>0</v>
      </c>
      <c r="X424" s="12" t="s">
        <v>548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3</v>
      </c>
      <c r="B425" s="11" t="n">
        <v>46205</v>
      </c>
      <c r="C425" s="11" t="n">
        <v>46217</v>
      </c>
      <c r="D425" s="10" t="n">
        <v>1621</v>
      </c>
      <c r="E425" s="12" t="s">
        <v>129</v>
      </c>
      <c r="F425" s="10" t="n">
        <v>24</v>
      </c>
      <c r="G425" s="12" t="s">
        <v>31</v>
      </c>
      <c r="H425" s="10" t="n">
        <v>2110101</v>
      </c>
      <c r="I425" s="12" t="s">
        <v>32</v>
      </c>
      <c r="J425" s="10" t="n">
        <v>1360840</v>
      </c>
      <c r="L425" s="10" t="n">
        <v>212509</v>
      </c>
      <c r="M425" s="12" t="s">
        <v>33</v>
      </c>
      <c r="N425" s="12" t="s">
        <v>34</v>
      </c>
      <c r="P425" s="10" t="n">
        <v>167</v>
      </c>
      <c r="Q425" s="12" t="s">
        <v>220</v>
      </c>
      <c r="R425" s="12" t="s">
        <v>36</v>
      </c>
      <c r="S425" s="10" t="n">
        <v>1130101</v>
      </c>
      <c r="T425" s="12" t="s">
        <v>37</v>
      </c>
      <c r="U425" s="13" t="n">
        <v>1.55</v>
      </c>
      <c r="W425" s="13" t="n">
        <v>0</v>
      </c>
      <c r="X425" s="12" t="s">
        <v>549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27.75" hidden="false" customHeight="true" outlineLevel="0" collapsed="false">
      <c r="A426" s="10" t="n">
        <v>3</v>
      </c>
      <c r="B426" s="11" t="n">
        <v>46215</v>
      </c>
      <c r="C426" s="11" t="n">
        <v>46217</v>
      </c>
      <c r="D426" s="10" t="n">
        <v>1936</v>
      </c>
      <c r="E426" s="12" t="s">
        <v>218</v>
      </c>
      <c r="F426" s="10" t="n">
        <v>24</v>
      </c>
      <c r="G426" s="12" t="s">
        <v>31</v>
      </c>
      <c r="H426" s="10" t="n">
        <v>1110204</v>
      </c>
      <c r="I426" s="12" t="s">
        <v>177</v>
      </c>
      <c r="J426" s="10" t="n">
        <v>1392557</v>
      </c>
      <c r="L426" s="10" t="n">
        <v>50541299</v>
      </c>
      <c r="M426" s="12" t="s">
        <v>33</v>
      </c>
      <c r="N426" s="12" t="s">
        <v>34</v>
      </c>
      <c r="P426" s="10" t="n">
        <v>167</v>
      </c>
      <c r="Q426" s="12" t="s">
        <v>220</v>
      </c>
      <c r="R426" s="12" t="s">
        <v>36</v>
      </c>
      <c r="S426" s="10" t="n">
        <v>1130101</v>
      </c>
      <c r="T426" s="12" t="s">
        <v>37</v>
      </c>
      <c r="U426" s="13" t="n">
        <v>143.99</v>
      </c>
      <c r="W426" s="13" t="n">
        <v>0</v>
      </c>
      <c r="X426" s="12" t="s">
        <v>550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27.75" hidden="false" customHeight="true" outlineLevel="0" collapsed="false">
      <c r="A427" s="10" t="n">
        <v>3</v>
      </c>
      <c r="B427" s="11" t="n">
        <v>46217</v>
      </c>
      <c r="C427" s="11" t="n">
        <v>46217</v>
      </c>
      <c r="D427" s="10" t="n">
        <v>42</v>
      </c>
      <c r="E427" s="12" t="s">
        <v>106</v>
      </c>
      <c r="F427" s="10" t="n">
        <v>13</v>
      </c>
      <c r="G427" s="12" t="s">
        <v>91</v>
      </c>
      <c r="H427" s="10" t="n">
        <v>2110101</v>
      </c>
      <c r="I427" s="12" t="s">
        <v>32</v>
      </c>
      <c r="J427" s="10" t="n">
        <v>1396965</v>
      </c>
      <c r="L427" s="10" t="n">
        <v>4382</v>
      </c>
      <c r="M427" s="12" t="s">
        <v>33</v>
      </c>
      <c r="N427" s="12" t="s">
        <v>40</v>
      </c>
      <c r="P427" s="10" t="n">
        <v>167</v>
      </c>
      <c r="Q427" s="12" t="s">
        <v>220</v>
      </c>
      <c r="R427" s="12" t="s">
        <v>36</v>
      </c>
      <c r="S427" s="10" t="n">
        <v>1130101</v>
      </c>
      <c r="T427" s="12" t="s">
        <v>37</v>
      </c>
      <c r="U427" s="13" t="n">
        <v>148</v>
      </c>
      <c r="W427" s="13" t="n">
        <v>148</v>
      </c>
      <c r="X427" s="12" t="s">
        <v>551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27.75" hidden="false" customHeight="true" outlineLevel="0" collapsed="false">
      <c r="A428" s="10" t="n">
        <v>3</v>
      </c>
      <c r="B428" s="11" t="n">
        <v>46217</v>
      </c>
      <c r="C428" s="11" t="n">
        <v>46217</v>
      </c>
      <c r="D428" s="10" t="n">
        <v>10047</v>
      </c>
      <c r="E428" s="12" t="s">
        <v>140</v>
      </c>
      <c r="F428" s="10" t="n">
        <v>24</v>
      </c>
      <c r="G428" s="12" t="s">
        <v>31</v>
      </c>
      <c r="H428" s="10" t="n">
        <v>1110202</v>
      </c>
      <c r="I428" s="12" t="s">
        <v>263</v>
      </c>
      <c r="J428" s="10" t="n">
        <v>1402901</v>
      </c>
      <c r="L428" s="10" t="n">
        <v>218731</v>
      </c>
      <c r="M428" s="12" t="s">
        <v>33</v>
      </c>
      <c r="N428" s="12" t="s">
        <v>34</v>
      </c>
      <c r="P428" s="10" t="n">
        <v>102</v>
      </c>
      <c r="Q428" s="12" t="s">
        <v>141</v>
      </c>
      <c r="R428" s="12" t="s">
        <v>36</v>
      </c>
      <c r="S428" s="10" t="n">
        <v>1130101</v>
      </c>
      <c r="T428" s="12" t="s">
        <v>37</v>
      </c>
      <c r="U428" s="13" t="n">
        <v>1384.47</v>
      </c>
      <c r="W428" s="13" t="n">
        <v>0</v>
      </c>
      <c r="X428" s="12" t="s">
        <v>552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27.75" hidden="false" customHeight="true" outlineLevel="0" collapsed="false">
      <c r="A429" s="10" t="n">
        <v>3</v>
      </c>
      <c r="B429" s="11" t="n">
        <v>46217</v>
      </c>
      <c r="C429" s="11" t="n">
        <v>46217</v>
      </c>
      <c r="D429" s="10" t="n">
        <v>10043</v>
      </c>
      <c r="E429" s="12" t="s">
        <v>145</v>
      </c>
      <c r="F429" s="10" t="n">
        <v>13</v>
      </c>
      <c r="G429" s="12" t="s">
        <v>91</v>
      </c>
      <c r="H429" s="10" t="n">
        <v>2110101</v>
      </c>
      <c r="I429" s="12" t="s">
        <v>32</v>
      </c>
      <c r="J429" s="10" t="n">
        <v>1444110</v>
      </c>
      <c r="L429" s="10" t="n">
        <v>774</v>
      </c>
      <c r="M429" s="12" t="s">
        <v>33</v>
      </c>
      <c r="N429" s="12" t="s">
        <v>40</v>
      </c>
      <c r="P429" s="10" t="n">
        <v>167</v>
      </c>
      <c r="Q429" s="12" t="s">
        <v>220</v>
      </c>
      <c r="R429" s="12" t="s">
        <v>36</v>
      </c>
      <c r="S429" s="10" t="n">
        <v>1130101</v>
      </c>
      <c r="T429" s="12" t="s">
        <v>37</v>
      </c>
      <c r="U429" s="13" t="n">
        <v>270</v>
      </c>
      <c r="W429" s="13" t="n">
        <v>0</v>
      </c>
      <c r="X429" s="12" t="s">
        <v>553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27.75" hidden="false" customHeight="true" outlineLevel="0" collapsed="false">
      <c r="A430" s="10" t="n">
        <v>3</v>
      </c>
      <c r="B430" s="11" t="n">
        <v>46097</v>
      </c>
      <c r="C430" s="11" t="n">
        <v>46218</v>
      </c>
      <c r="D430" s="10" t="n">
        <v>1867</v>
      </c>
      <c r="E430" s="12" t="s">
        <v>554</v>
      </c>
      <c r="F430" s="10" t="n">
        <v>24</v>
      </c>
      <c r="G430" s="12" t="s">
        <v>31</v>
      </c>
      <c r="H430" s="10" t="n">
        <v>2110405</v>
      </c>
      <c r="I430" s="12" t="s">
        <v>63</v>
      </c>
      <c r="J430" s="10" t="n">
        <v>809440</v>
      </c>
      <c r="L430" s="10" t="n">
        <v>777006512</v>
      </c>
      <c r="M430" s="12" t="s">
        <v>555</v>
      </c>
      <c r="N430" s="12" t="s">
        <v>34</v>
      </c>
      <c r="P430" s="10" t="n">
        <v>101</v>
      </c>
      <c r="Q430" s="12" t="s">
        <v>136</v>
      </c>
      <c r="R430" s="12" t="s">
        <v>556</v>
      </c>
      <c r="S430" s="10" t="n">
        <v>4210401</v>
      </c>
      <c r="T430" s="12" t="s">
        <v>557</v>
      </c>
      <c r="U430" s="13" t="n">
        <v>225.2</v>
      </c>
      <c r="W430" s="13" t="n">
        <v>0</v>
      </c>
      <c r="X430" s="12" t="s">
        <v>558</v>
      </c>
      <c r="Z430" s="1" t="str">
        <f aca="false">IF($T430="","",IFERROR(INDEX('Resumo Grupos'!$AC$3:$AC$200,MATCH($T430,'Resumo Grupos'!$AB$3:$AB$200,0)),"n/d"))</f>
        <v>Impostos</v>
      </c>
      <c r="AA430" s="1" t="str">
        <f aca="false">IF($T430="","",IF(COUNTIF('Resumo Grupos'!$AE$3:$AE$40,$T430)&gt;0,"NAO","SIM"))</f>
        <v>SIM</v>
      </c>
    </row>
    <row r="431" customFormat="false" ht="27.75" hidden="false" customHeight="true" outlineLevel="0" collapsed="false">
      <c r="A431" s="10" t="n">
        <v>3</v>
      </c>
      <c r="B431" s="11" t="n">
        <v>46197</v>
      </c>
      <c r="C431" s="11" t="n">
        <v>46218</v>
      </c>
      <c r="D431" s="10" t="n">
        <v>42</v>
      </c>
      <c r="E431" s="12" t="s">
        <v>106</v>
      </c>
      <c r="F431" s="10" t="n">
        <v>34</v>
      </c>
      <c r="G431" s="12" t="s">
        <v>58</v>
      </c>
      <c r="H431" s="10" t="n">
        <v>2110101</v>
      </c>
      <c r="I431" s="12" t="s">
        <v>32</v>
      </c>
      <c r="J431" s="10" t="n">
        <v>1299421</v>
      </c>
      <c r="L431" s="10" t="n">
        <v>4306</v>
      </c>
      <c r="M431" s="12" t="s">
        <v>559</v>
      </c>
      <c r="N431" s="12" t="s">
        <v>40</v>
      </c>
      <c r="P431" s="10" t="n">
        <v>128</v>
      </c>
      <c r="Q431" s="12" t="s">
        <v>35</v>
      </c>
      <c r="R431" s="12" t="s">
        <v>36</v>
      </c>
      <c r="S431" s="10" t="n">
        <v>1130101</v>
      </c>
      <c r="T431" s="12" t="s">
        <v>37</v>
      </c>
      <c r="U431" s="13" t="n">
        <v>1190</v>
      </c>
      <c r="W431" s="13" t="n">
        <v>0</v>
      </c>
      <c r="X431" s="12" t="s">
        <v>560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27.75" hidden="false" customHeight="true" outlineLevel="0" collapsed="false">
      <c r="A432" s="10" t="n">
        <v>3</v>
      </c>
      <c r="B432" s="11" t="n">
        <v>46213</v>
      </c>
      <c r="C432" s="11" t="n">
        <v>46218</v>
      </c>
      <c r="D432" s="10" t="n">
        <v>42</v>
      </c>
      <c r="E432" s="12" t="s">
        <v>106</v>
      </c>
      <c r="F432" s="10" t="n">
        <v>34</v>
      </c>
      <c r="G432" s="12" t="s">
        <v>58</v>
      </c>
      <c r="H432" s="10" t="n">
        <v>2110101</v>
      </c>
      <c r="I432" s="12" t="s">
        <v>32</v>
      </c>
      <c r="J432" s="10" t="n">
        <v>1377013</v>
      </c>
      <c r="L432" s="10" t="n">
        <v>4371</v>
      </c>
      <c r="M432" s="12" t="s">
        <v>33</v>
      </c>
      <c r="N432" s="12" t="s">
        <v>40</v>
      </c>
      <c r="P432" s="10" t="n">
        <v>167</v>
      </c>
      <c r="Q432" s="12" t="s">
        <v>220</v>
      </c>
      <c r="R432" s="12" t="s">
        <v>36</v>
      </c>
      <c r="S432" s="10" t="n">
        <v>1130101</v>
      </c>
      <c r="T432" s="12" t="s">
        <v>37</v>
      </c>
      <c r="U432" s="13" t="n">
        <v>1904</v>
      </c>
      <c r="W432" s="13" t="n">
        <v>0</v>
      </c>
      <c r="X432" s="12" t="s">
        <v>561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27.75" hidden="false" customHeight="true" outlineLevel="0" collapsed="false">
      <c r="A433" s="10" t="n">
        <v>3</v>
      </c>
      <c r="B433" s="11" t="n">
        <v>46213</v>
      </c>
      <c r="C433" s="11" t="n">
        <v>46218</v>
      </c>
      <c r="D433" s="10" t="n">
        <v>1615</v>
      </c>
      <c r="E433" s="12" t="s">
        <v>57</v>
      </c>
      <c r="F433" s="10" t="n">
        <v>34</v>
      </c>
      <c r="G433" s="12" t="s">
        <v>58</v>
      </c>
      <c r="H433" s="10" t="n">
        <v>2110101</v>
      </c>
      <c r="I433" s="12" t="s">
        <v>32</v>
      </c>
      <c r="J433" s="10" t="n">
        <v>1377017</v>
      </c>
      <c r="L433" s="10" t="n">
        <v>215059</v>
      </c>
      <c r="M433" s="12" t="s">
        <v>33</v>
      </c>
      <c r="N433" s="12" t="s">
        <v>34</v>
      </c>
      <c r="P433" s="10" t="n">
        <v>167</v>
      </c>
      <c r="Q433" s="12" t="s">
        <v>220</v>
      </c>
      <c r="R433" s="12" t="s">
        <v>36</v>
      </c>
      <c r="S433" s="10" t="n">
        <v>1130101</v>
      </c>
      <c r="T433" s="12" t="s">
        <v>37</v>
      </c>
      <c r="U433" s="13" t="n">
        <v>140</v>
      </c>
      <c r="W433" s="13" t="n">
        <v>0</v>
      </c>
      <c r="X433" s="12" t="s">
        <v>562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27.75" hidden="false" customHeight="true" outlineLevel="0" collapsed="false">
      <c r="A434" s="10" t="n">
        <v>3</v>
      </c>
      <c r="B434" s="11" t="n">
        <v>46213</v>
      </c>
      <c r="C434" s="11" t="n">
        <v>46218</v>
      </c>
      <c r="D434" s="10" t="n">
        <v>1615</v>
      </c>
      <c r="E434" s="12" t="s">
        <v>57</v>
      </c>
      <c r="F434" s="10" t="n">
        <v>34</v>
      </c>
      <c r="G434" s="12" t="s">
        <v>58</v>
      </c>
      <c r="H434" s="10" t="n">
        <v>2110101</v>
      </c>
      <c r="I434" s="12" t="s">
        <v>32</v>
      </c>
      <c r="J434" s="10" t="n">
        <v>1377031</v>
      </c>
      <c r="L434" s="10" t="n">
        <v>14833</v>
      </c>
      <c r="M434" s="12" t="s">
        <v>33</v>
      </c>
      <c r="N434" s="12" t="s">
        <v>40</v>
      </c>
      <c r="P434" s="10" t="n">
        <v>167</v>
      </c>
      <c r="Q434" s="12" t="s">
        <v>220</v>
      </c>
      <c r="R434" s="12" t="s">
        <v>36</v>
      </c>
      <c r="S434" s="10" t="n">
        <v>1130101</v>
      </c>
      <c r="T434" s="12" t="s">
        <v>37</v>
      </c>
      <c r="U434" s="13" t="n">
        <v>440</v>
      </c>
      <c r="W434" s="13" t="n">
        <v>0</v>
      </c>
      <c r="X434" s="12" t="s">
        <v>391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27.75" hidden="false" customHeight="true" outlineLevel="0" collapsed="false">
      <c r="A435" s="10" t="n">
        <v>3</v>
      </c>
      <c r="B435" s="11" t="n">
        <v>46218</v>
      </c>
      <c r="C435" s="11" t="n">
        <v>46218</v>
      </c>
      <c r="D435" s="10" t="n">
        <v>42</v>
      </c>
      <c r="E435" s="12" t="s">
        <v>106</v>
      </c>
      <c r="F435" s="10" t="n">
        <v>13</v>
      </c>
      <c r="G435" s="12" t="s">
        <v>91</v>
      </c>
      <c r="H435" s="10" t="n">
        <v>2110101</v>
      </c>
      <c r="I435" s="12" t="s">
        <v>32</v>
      </c>
      <c r="J435" s="10" t="n">
        <v>1401503</v>
      </c>
      <c r="L435" s="10" t="n">
        <v>4384</v>
      </c>
      <c r="M435" s="12" t="s">
        <v>33</v>
      </c>
      <c r="N435" s="12" t="s">
        <v>40</v>
      </c>
      <c r="P435" s="10" t="n">
        <v>167</v>
      </c>
      <c r="Q435" s="12" t="s">
        <v>220</v>
      </c>
      <c r="R435" s="12" t="s">
        <v>36</v>
      </c>
      <c r="S435" s="10" t="n">
        <v>1130101</v>
      </c>
      <c r="T435" s="12" t="s">
        <v>37</v>
      </c>
      <c r="U435" s="13" t="n">
        <v>100</v>
      </c>
      <c r="W435" s="13" t="n">
        <v>100</v>
      </c>
      <c r="X435" s="12" t="s">
        <v>108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27.75" hidden="false" customHeight="true" outlineLevel="0" collapsed="false">
      <c r="A436" s="10" t="n">
        <v>3</v>
      </c>
      <c r="B436" s="11" t="n">
        <v>46218</v>
      </c>
      <c r="C436" s="11" t="n">
        <v>46218</v>
      </c>
      <c r="D436" s="10" t="n">
        <v>42</v>
      </c>
      <c r="E436" s="12" t="s">
        <v>106</v>
      </c>
      <c r="F436" s="10" t="n">
        <v>13</v>
      </c>
      <c r="G436" s="12" t="s">
        <v>91</v>
      </c>
      <c r="H436" s="10" t="n">
        <v>2110101</v>
      </c>
      <c r="I436" s="12" t="s">
        <v>32</v>
      </c>
      <c r="J436" s="10" t="n">
        <v>1401558</v>
      </c>
      <c r="L436" s="10" t="n">
        <v>4385</v>
      </c>
      <c r="M436" s="12" t="s">
        <v>33</v>
      </c>
      <c r="N436" s="12" t="s">
        <v>40</v>
      </c>
      <c r="P436" s="10" t="n">
        <v>167</v>
      </c>
      <c r="Q436" s="12" t="s">
        <v>220</v>
      </c>
      <c r="R436" s="12" t="s">
        <v>36</v>
      </c>
      <c r="S436" s="10" t="n">
        <v>1130101</v>
      </c>
      <c r="T436" s="12" t="s">
        <v>37</v>
      </c>
      <c r="U436" s="13" t="n">
        <v>120</v>
      </c>
      <c r="W436" s="13" t="n">
        <v>120</v>
      </c>
      <c r="X436" s="12" t="s">
        <v>563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27.75" hidden="false" customHeight="true" outlineLevel="0" collapsed="false">
      <c r="A437" s="10" t="n">
        <v>3</v>
      </c>
      <c r="B437" s="11" t="n">
        <v>46219</v>
      </c>
      <c r="C437" s="11" t="n">
        <v>46218</v>
      </c>
      <c r="D437" s="10" t="n">
        <v>1893</v>
      </c>
      <c r="E437" s="12" t="s">
        <v>564</v>
      </c>
      <c r="F437" s="10" t="n">
        <v>34</v>
      </c>
      <c r="G437" s="12" t="s">
        <v>58</v>
      </c>
      <c r="H437" s="10" t="n">
        <v>1110202</v>
      </c>
      <c r="I437" s="12" t="s">
        <v>263</v>
      </c>
      <c r="J437" s="10" t="n">
        <v>1157271</v>
      </c>
      <c r="L437" s="10" t="n">
        <v>181586</v>
      </c>
      <c r="M437" s="12" t="s">
        <v>559</v>
      </c>
      <c r="N437" s="12" t="s">
        <v>34</v>
      </c>
      <c r="P437" s="10" t="n">
        <v>102</v>
      </c>
      <c r="Q437" s="12" t="s">
        <v>141</v>
      </c>
      <c r="R437" s="12" t="s">
        <v>137</v>
      </c>
      <c r="S437" s="10" t="n">
        <v>4210315</v>
      </c>
      <c r="T437" s="12" t="s">
        <v>182</v>
      </c>
      <c r="U437" s="13" t="n">
        <v>177.65</v>
      </c>
      <c r="W437" s="13" t="n">
        <v>0</v>
      </c>
      <c r="X437" s="12" t="s">
        <v>565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</row>
    <row r="438" customFormat="false" ht="27.75" hidden="false" customHeight="true" outlineLevel="0" collapsed="false">
      <c r="A438" s="10" t="n">
        <v>3</v>
      </c>
      <c r="B438" s="11" t="n">
        <v>46219</v>
      </c>
      <c r="C438" s="11" t="n">
        <v>46219</v>
      </c>
      <c r="D438" s="10" t="n">
        <v>42</v>
      </c>
      <c r="E438" s="12" t="s">
        <v>106</v>
      </c>
      <c r="F438" s="10" t="n">
        <v>13</v>
      </c>
      <c r="G438" s="12" t="s">
        <v>91</v>
      </c>
      <c r="H438" s="10" t="n">
        <v>2110101</v>
      </c>
      <c r="I438" s="12" t="s">
        <v>32</v>
      </c>
      <c r="J438" s="10" t="n">
        <v>1407101</v>
      </c>
      <c r="L438" s="10" t="n">
        <v>4388</v>
      </c>
      <c r="M438" s="12" t="s">
        <v>33</v>
      </c>
      <c r="N438" s="12" t="s">
        <v>40</v>
      </c>
      <c r="P438" s="10" t="n">
        <v>167</v>
      </c>
      <c r="Q438" s="12" t="s">
        <v>220</v>
      </c>
      <c r="R438" s="12" t="s">
        <v>36</v>
      </c>
      <c r="S438" s="10" t="n">
        <v>1130101</v>
      </c>
      <c r="T438" s="12" t="s">
        <v>37</v>
      </c>
      <c r="U438" s="13" t="n">
        <v>85</v>
      </c>
      <c r="W438" s="13" t="n">
        <v>85</v>
      </c>
      <c r="X438" s="12" t="s">
        <v>221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27.75" hidden="false" customHeight="true" outlineLevel="0" collapsed="false">
      <c r="A439" s="10" t="n">
        <v>3</v>
      </c>
      <c r="B439" s="11" t="n">
        <v>46219</v>
      </c>
      <c r="C439" s="11" t="n">
        <v>46219</v>
      </c>
      <c r="D439" s="10" t="n">
        <v>42</v>
      </c>
      <c r="E439" s="12" t="s">
        <v>106</v>
      </c>
      <c r="F439" s="10" t="n">
        <v>13</v>
      </c>
      <c r="G439" s="12" t="s">
        <v>91</v>
      </c>
      <c r="H439" s="10" t="n">
        <v>2110101</v>
      </c>
      <c r="I439" s="12" t="s">
        <v>32</v>
      </c>
      <c r="J439" s="10" t="n">
        <v>1407116</v>
      </c>
      <c r="L439" s="10" t="n">
        <v>4389</v>
      </c>
      <c r="M439" s="12" t="s">
        <v>33</v>
      </c>
      <c r="N439" s="12" t="s">
        <v>40</v>
      </c>
      <c r="P439" s="10" t="n">
        <v>167</v>
      </c>
      <c r="Q439" s="12" t="s">
        <v>220</v>
      </c>
      <c r="R439" s="12" t="s">
        <v>36</v>
      </c>
      <c r="S439" s="10" t="n">
        <v>1130101</v>
      </c>
      <c r="T439" s="12" t="s">
        <v>37</v>
      </c>
      <c r="U439" s="13" t="n">
        <v>59.95</v>
      </c>
      <c r="W439" s="13" t="n">
        <v>59.95</v>
      </c>
      <c r="X439" s="12" t="s">
        <v>566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0" t="n">
        <v>3</v>
      </c>
      <c r="B440" s="11" t="n">
        <v>46171</v>
      </c>
      <c r="C440" s="11" t="n">
        <v>46220</v>
      </c>
      <c r="D440" s="10" t="n">
        <v>1921</v>
      </c>
      <c r="E440" s="12" t="s">
        <v>318</v>
      </c>
      <c r="F440" s="10" t="n">
        <v>24</v>
      </c>
      <c r="G440" s="12" t="s">
        <v>31</v>
      </c>
      <c r="H440" s="10" t="n">
        <v>2110101</v>
      </c>
      <c r="I440" s="12" t="s">
        <v>32</v>
      </c>
      <c r="J440" s="10" t="n">
        <v>1171096</v>
      </c>
      <c r="L440" s="10" t="n">
        <v>128421</v>
      </c>
      <c r="M440" s="12" t="s">
        <v>33</v>
      </c>
      <c r="N440" s="12" t="s">
        <v>34</v>
      </c>
      <c r="P440" s="10" t="n">
        <v>128</v>
      </c>
      <c r="Q440" s="12" t="s">
        <v>35</v>
      </c>
      <c r="R440" s="12" t="s">
        <v>36</v>
      </c>
      <c r="S440" s="10" t="n">
        <v>1130101</v>
      </c>
      <c r="T440" s="12" t="s">
        <v>37</v>
      </c>
      <c r="U440" s="13" t="n">
        <v>508.25</v>
      </c>
      <c r="W440" s="13" t="n">
        <v>0</v>
      </c>
      <c r="X440" s="12" t="s">
        <v>567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0" t="n">
        <v>3</v>
      </c>
      <c r="B441" s="11" t="n">
        <v>46171</v>
      </c>
      <c r="C441" s="11" t="n">
        <v>46220</v>
      </c>
      <c r="D441" s="10" t="n">
        <v>1921</v>
      </c>
      <c r="E441" s="12" t="s">
        <v>318</v>
      </c>
      <c r="F441" s="10" t="n">
        <v>24</v>
      </c>
      <c r="G441" s="12" t="s">
        <v>31</v>
      </c>
      <c r="H441" s="10" t="n">
        <v>2110101</v>
      </c>
      <c r="I441" s="12" t="s">
        <v>32</v>
      </c>
      <c r="J441" s="10" t="n">
        <v>1171103</v>
      </c>
      <c r="L441" s="10" t="n">
        <v>128422</v>
      </c>
      <c r="M441" s="12" t="s">
        <v>33</v>
      </c>
      <c r="N441" s="12" t="s">
        <v>34</v>
      </c>
      <c r="P441" s="10" t="n">
        <v>128</v>
      </c>
      <c r="Q441" s="12" t="s">
        <v>35</v>
      </c>
      <c r="R441" s="12" t="s">
        <v>36</v>
      </c>
      <c r="S441" s="10" t="n">
        <v>1130101</v>
      </c>
      <c r="T441" s="12" t="s">
        <v>37</v>
      </c>
      <c r="U441" s="13" t="n">
        <v>508.25</v>
      </c>
      <c r="W441" s="13" t="n">
        <v>0</v>
      </c>
      <c r="X441" s="12" t="s">
        <v>568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3</v>
      </c>
      <c r="B442" s="11" t="n">
        <v>46171</v>
      </c>
      <c r="C442" s="11" t="n">
        <v>46220</v>
      </c>
      <c r="D442" s="10" t="n">
        <v>1921</v>
      </c>
      <c r="E442" s="12" t="s">
        <v>318</v>
      </c>
      <c r="F442" s="10" t="n">
        <v>24</v>
      </c>
      <c r="G442" s="12" t="s">
        <v>31</v>
      </c>
      <c r="H442" s="10" t="n">
        <v>2110101</v>
      </c>
      <c r="I442" s="12" t="s">
        <v>32</v>
      </c>
      <c r="J442" s="10" t="n">
        <v>1171110</v>
      </c>
      <c r="L442" s="10" t="n">
        <v>128423</v>
      </c>
      <c r="M442" s="12" t="s">
        <v>33</v>
      </c>
      <c r="N442" s="12" t="s">
        <v>34</v>
      </c>
      <c r="P442" s="10" t="n">
        <v>128</v>
      </c>
      <c r="Q442" s="12" t="s">
        <v>35</v>
      </c>
      <c r="R442" s="12" t="s">
        <v>36</v>
      </c>
      <c r="S442" s="10" t="n">
        <v>1130101</v>
      </c>
      <c r="T442" s="12" t="s">
        <v>37</v>
      </c>
      <c r="U442" s="13" t="n">
        <v>508.26</v>
      </c>
      <c r="W442" s="13" t="n">
        <v>0</v>
      </c>
      <c r="X442" s="12" t="s">
        <v>569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0" t="n">
        <v>3</v>
      </c>
      <c r="B443" s="11" t="n">
        <v>46182</v>
      </c>
      <c r="C443" s="11" t="n">
        <v>46220</v>
      </c>
      <c r="D443" s="10" t="n">
        <v>957</v>
      </c>
      <c r="E443" s="12" t="s">
        <v>134</v>
      </c>
      <c r="F443" s="10" t="n">
        <v>24</v>
      </c>
      <c r="G443" s="12" t="s">
        <v>31</v>
      </c>
      <c r="H443" s="10" t="n">
        <v>2110101</v>
      </c>
      <c r="I443" s="12" t="s">
        <v>32</v>
      </c>
      <c r="J443" s="10" t="n">
        <v>1231866</v>
      </c>
      <c r="L443" s="10" t="n">
        <v>202663</v>
      </c>
      <c r="M443" s="12" t="s">
        <v>33</v>
      </c>
      <c r="N443" s="12" t="s">
        <v>34</v>
      </c>
      <c r="P443" s="10" t="n">
        <v>128</v>
      </c>
      <c r="Q443" s="12" t="s">
        <v>35</v>
      </c>
      <c r="R443" s="12" t="s">
        <v>36</v>
      </c>
      <c r="S443" s="10" t="n">
        <v>1130101</v>
      </c>
      <c r="T443" s="12" t="s">
        <v>37</v>
      </c>
      <c r="U443" s="13" t="n">
        <v>227.28</v>
      </c>
      <c r="W443" s="13" t="n">
        <v>0</v>
      </c>
      <c r="X443" s="12" t="s">
        <v>570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0" t="n">
        <v>3</v>
      </c>
      <c r="B444" s="11" t="n">
        <v>46182</v>
      </c>
      <c r="C444" s="11" t="n">
        <v>46220</v>
      </c>
      <c r="D444" s="10" t="n">
        <v>957</v>
      </c>
      <c r="E444" s="12" t="s">
        <v>134</v>
      </c>
      <c r="F444" s="10" t="n">
        <v>24</v>
      </c>
      <c r="G444" s="12" t="s">
        <v>31</v>
      </c>
      <c r="H444" s="10" t="n">
        <v>2110101</v>
      </c>
      <c r="I444" s="12" t="s">
        <v>32</v>
      </c>
      <c r="J444" s="10" t="n">
        <v>1231877</v>
      </c>
      <c r="L444" s="10" t="n">
        <v>202651</v>
      </c>
      <c r="M444" s="12" t="s">
        <v>33</v>
      </c>
      <c r="N444" s="12" t="s">
        <v>34</v>
      </c>
      <c r="P444" s="10" t="n">
        <v>128</v>
      </c>
      <c r="Q444" s="12" t="s">
        <v>35</v>
      </c>
      <c r="R444" s="12" t="s">
        <v>36</v>
      </c>
      <c r="S444" s="10" t="n">
        <v>1130101</v>
      </c>
      <c r="T444" s="12" t="s">
        <v>37</v>
      </c>
      <c r="U444" s="13" t="n">
        <v>2206.52</v>
      </c>
      <c r="W444" s="13" t="n">
        <v>0</v>
      </c>
      <c r="X444" s="12" t="s">
        <v>571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3</v>
      </c>
      <c r="B445" s="11" t="n">
        <v>46185</v>
      </c>
      <c r="C445" s="11" t="n">
        <v>46220</v>
      </c>
      <c r="D445" s="10" t="n">
        <v>1678</v>
      </c>
      <c r="E445" s="12" t="s">
        <v>42</v>
      </c>
      <c r="F445" s="10" t="n">
        <v>24</v>
      </c>
      <c r="G445" s="12" t="s">
        <v>31</v>
      </c>
      <c r="H445" s="10" t="n">
        <v>2110101</v>
      </c>
      <c r="I445" s="12" t="s">
        <v>32</v>
      </c>
      <c r="J445" s="10" t="n">
        <v>1243967</v>
      </c>
      <c r="L445" s="10" t="n">
        <v>2557324</v>
      </c>
      <c r="M445" s="12" t="s">
        <v>33</v>
      </c>
      <c r="N445" s="12" t="s">
        <v>34</v>
      </c>
      <c r="P445" s="10" t="n">
        <v>128</v>
      </c>
      <c r="Q445" s="12" t="s">
        <v>35</v>
      </c>
      <c r="R445" s="12" t="s">
        <v>36</v>
      </c>
      <c r="S445" s="10" t="n">
        <v>1130101</v>
      </c>
      <c r="T445" s="12" t="s">
        <v>37</v>
      </c>
      <c r="U445" s="13" t="n">
        <v>870.75</v>
      </c>
      <c r="W445" s="13" t="n">
        <v>0</v>
      </c>
      <c r="X445" s="12" t="s">
        <v>572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27.75" hidden="false" customHeight="true" outlineLevel="0" collapsed="false">
      <c r="A446" s="10" t="n">
        <v>3</v>
      </c>
      <c r="B446" s="11" t="n">
        <v>46189</v>
      </c>
      <c r="C446" s="11" t="n">
        <v>46220</v>
      </c>
      <c r="D446" s="10" t="n">
        <v>489</v>
      </c>
      <c r="E446" s="12" t="s">
        <v>393</v>
      </c>
      <c r="F446" s="10" t="n">
        <v>2</v>
      </c>
      <c r="G446" s="12" t="s">
        <v>573</v>
      </c>
      <c r="H446" s="10" t="n">
        <v>2110405</v>
      </c>
      <c r="I446" s="12" t="s">
        <v>63</v>
      </c>
      <c r="J446" s="10" t="n">
        <v>1265141</v>
      </c>
      <c r="L446" s="10" t="n">
        <v>197761</v>
      </c>
      <c r="M446" s="12" t="s">
        <v>33</v>
      </c>
      <c r="N446" s="12" t="s">
        <v>34</v>
      </c>
      <c r="P446" s="10" t="n">
        <v>128</v>
      </c>
      <c r="Q446" s="12" t="s">
        <v>35</v>
      </c>
      <c r="R446" s="12" t="s">
        <v>64</v>
      </c>
      <c r="S446" s="10" t="n">
        <v>4210227</v>
      </c>
      <c r="T446" s="12" t="s">
        <v>65</v>
      </c>
      <c r="U446" s="13" t="n">
        <v>24.96</v>
      </c>
      <c r="W446" s="13" t="n">
        <v>0</v>
      </c>
      <c r="X446" s="12" t="s">
        <v>574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3</v>
      </c>
      <c r="B447" s="11" t="n">
        <v>46190</v>
      </c>
      <c r="C447" s="11" t="n">
        <v>46220</v>
      </c>
      <c r="D447" s="10" t="n">
        <v>1921</v>
      </c>
      <c r="E447" s="12" t="s">
        <v>318</v>
      </c>
      <c r="F447" s="10" t="n">
        <v>24</v>
      </c>
      <c r="G447" s="12" t="s">
        <v>31</v>
      </c>
      <c r="H447" s="10" t="n">
        <v>2110101</v>
      </c>
      <c r="I447" s="12" t="s">
        <v>32</v>
      </c>
      <c r="J447" s="10" t="n">
        <v>1265387</v>
      </c>
      <c r="L447" s="10" t="n">
        <v>130523</v>
      </c>
      <c r="M447" s="12" t="s">
        <v>33</v>
      </c>
      <c r="N447" s="12" t="s">
        <v>34</v>
      </c>
      <c r="P447" s="10" t="n">
        <v>128</v>
      </c>
      <c r="Q447" s="12" t="s">
        <v>35</v>
      </c>
      <c r="R447" s="12" t="s">
        <v>36</v>
      </c>
      <c r="S447" s="10" t="n">
        <v>1130101</v>
      </c>
      <c r="T447" s="12" t="s">
        <v>37</v>
      </c>
      <c r="U447" s="13" t="n">
        <v>442</v>
      </c>
      <c r="W447" s="13" t="n">
        <v>0</v>
      </c>
      <c r="X447" s="12" t="s">
        <v>575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3</v>
      </c>
      <c r="B448" s="11" t="n">
        <v>46189</v>
      </c>
      <c r="C448" s="11" t="n">
        <v>46220</v>
      </c>
      <c r="D448" s="10" t="n">
        <v>1667</v>
      </c>
      <c r="E448" s="12" t="s">
        <v>286</v>
      </c>
      <c r="F448" s="10" t="n">
        <v>24</v>
      </c>
      <c r="G448" s="12" t="s">
        <v>31</v>
      </c>
      <c r="H448" s="10" t="n">
        <v>2110101</v>
      </c>
      <c r="I448" s="12" t="s">
        <v>32</v>
      </c>
      <c r="J448" s="10" t="n">
        <v>1265449</v>
      </c>
      <c r="L448" s="10" t="n">
        <v>3950873</v>
      </c>
      <c r="M448" s="12" t="s">
        <v>33</v>
      </c>
      <c r="N448" s="12" t="s">
        <v>34</v>
      </c>
      <c r="P448" s="10" t="n">
        <v>128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412.49</v>
      </c>
      <c r="W448" s="13" t="n">
        <v>0</v>
      </c>
      <c r="X448" s="12" t="s">
        <v>576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36.75" hidden="false" customHeight="true" outlineLevel="0" collapsed="false">
      <c r="A449" s="10" t="n">
        <v>3</v>
      </c>
      <c r="B449" s="11" t="n">
        <v>46189</v>
      </c>
      <c r="C449" s="11" t="n">
        <v>46220</v>
      </c>
      <c r="D449" s="10" t="n">
        <v>1636</v>
      </c>
      <c r="E449" s="12" t="s">
        <v>195</v>
      </c>
      <c r="F449" s="10" t="n">
        <v>24</v>
      </c>
      <c r="G449" s="12" t="s">
        <v>31</v>
      </c>
      <c r="H449" s="10" t="n">
        <v>2110101</v>
      </c>
      <c r="I449" s="12" t="s">
        <v>32</v>
      </c>
      <c r="J449" s="10" t="n">
        <v>1265921</v>
      </c>
      <c r="L449" s="10" t="n">
        <v>32042673</v>
      </c>
      <c r="M449" s="12" t="s">
        <v>33</v>
      </c>
      <c r="N449" s="12" t="s">
        <v>34</v>
      </c>
      <c r="P449" s="10" t="n">
        <v>128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358.9</v>
      </c>
      <c r="W449" s="13" t="n">
        <v>0</v>
      </c>
      <c r="X449" s="12" t="s">
        <v>577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45.75" hidden="false" customHeight="true" outlineLevel="0" collapsed="false">
      <c r="A450" s="10" t="n">
        <v>3</v>
      </c>
      <c r="B450" s="11" t="n">
        <v>46189</v>
      </c>
      <c r="C450" s="11" t="n">
        <v>46220</v>
      </c>
      <c r="D450" s="10" t="n">
        <v>1636</v>
      </c>
      <c r="E450" s="12" t="s">
        <v>195</v>
      </c>
      <c r="F450" s="10" t="n">
        <v>24</v>
      </c>
      <c r="G450" s="12" t="s">
        <v>31</v>
      </c>
      <c r="H450" s="10" t="n">
        <v>2110101</v>
      </c>
      <c r="I450" s="12" t="s">
        <v>32</v>
      </c>
      <c r="J450" s="10" t="n">
        <v>1265986</v>
      </c>
      <c r="L450" s="10" t="n">
        <v>32042683</v>
      </c>
      <c r="M450" s="12" t="s">
        <v>33</v>
      </c>
      <c r="N450" s="12" t="s">
        <v>34</v>
      </c>
      <c r="P450" s="10" t="n">
        <v>128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1019.5</v>
      </c>
      <c r="W450" s="13" t="n">
        <v>0</v>
      </c>
      <c r="X450" s="12" t="s">
        <v>578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3</v>
      </c>
      <c r="B451" s="11" t="n">
        <v>46189</v>
      </c>
      <c r="C451" s="11" t="n">
        <v>46220</v>
      </c>
      <c r="D451" s="10" t="n">
        <v>1636</v>
      </c>
      <c r="E451" s="12" t="s">
        <v>195</v>
      </c>
      <c r="F451" s="10" t="n">
        <v>24</v>
      </c>
      <c r="G451" s="12" t="s">
        <v>31</v>
      </c>
      <c r="H451" s="10" t="n">
        <v>2110101</v>
      </c>
      <c r="I451" s="12" t="s">
        <v>32</v>
      </c>
      <c r="J451" s="10" t="n">
        <v>1266042</v>
      </c>
      <c r="L451" s="10" t="n">
        <v>32042653</v>
      </c>
      <c r="M451" s="12" t="s">
        <v>33</v>
      </c>
      <c r="N451" s="12" t="s">
        <v>34</v>
      </c>
      <c r="P451" s="10" t="n">
        <v>128</v>
      </c>
      <c r="Q451" s="12" t="s">
        <v>35</v>
      </c>
      <c r="R451" s="12" t="s">
        <v>36</v>
      </c>
      <c r="S451" s="10" t="n">
        <v>1130101</v>
      </c>
      <c r="T451" s="12" t="s">
        <v>37</v>
      </c>
      <c r="U451" s="13" t="n">
        <v>1319.07</v>
      </c>
      <c r="W451" s="13" t="n">
        <v>0</v>
      </c>
      <c r="X451" s="12" t="s">
        <v>579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3</v>
      </c>
      <c r="B452" s="11" t="n">
        <v>46189</v>
      </c>
      <c r="C452" s="11" t="n">
        <v>46220</v>
      </c>
      <c r="D452" s="10" t="n">
        <v>1636</v>
      </c>
      <c r="E452" s="12" t="s">
        <v>195</v>
      </c>
      <c r="F452" s="10" t="n">
        <v>24</v>
      </c>
      <c r="G452" s="12" t="s">
        <v>31</v>
      </c>
      <c r="H452" s="10" t="n">
        <v>2110101</v>
      </c>
      <c r="I452" s="12" t="s">
        <v>32</v>
      </c>
      <c r="J452" s="10" t="n">
        <v>1266073</v>
      </c>
      <c r="L452" s="10" t="n">
        <v>32042633</v>
      </c>
      <c r="M452" s="12" t="s">
        <v>33</v>
      </c>
      <c r="N452" s="12" t="s">
        <v>34</v>
      </c>
      <c r="P452" s="10" t="n">
        <v>128</v>
      </c>
      <c r="Q452" s="12" t="s">
        <v>35</v>
      </c>
      <c r="R452" s="12" t="s">
        <v>36</v>
      </c>
      <c r="S452" s="10" t="n">
        <v>1130101</v>
      </c>
      <c r="T452" s="12" t="s">
        <v>37</v>
      </c>
      <c r="U452" s="13" t="n">
        <v>1097.93</v>
      </c>
      <c r="W452" s="13" t="n">
        <v>0</v>
      </c>
      <c r="X452" s="12" t="s">
        <v>580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3</v>
      </c>
      <c r="B453" s="11" t="n">
        <v>46189</v>
      </c>
      <c r="C453" s="11" t="n">
        <v>46220</v>
      </c>
      <c r="D453" s="10" t="n">
        <v>1636</v>
      </c>
      <c r="E453" s="12" t="s">
        <v>195</v>
      </c>
      <c r="F453" s="10" t="n">
        <v>24</v>
      </c>
      <c r="G453" s="12" t="s">
        <v>31</v>
      </c>
      <c r="H453" s="10" t="n">
        <v>2110101</v>
      </c>
      <c r="I453" s="12" t="s">
        <v>32</v>
      </c>
      <c r="J453" s="10" t="n">
        <v>1266113</v>
      </c>
      <c r="L453" s="10" t="n">
        <v>32042643</v>
      </c>
      <c r="M453" s="12" t="s">
        <v>33</v>
      </c>
      <c r="N453" s="12" t="s">
        <v>34</v>
      </c>
      <c r="P453" s="10" t="n">
        <v>128</v>
      </c>
      <c r="Q453" s="12" t="s">
        <v>35</v>
      </c>
      <c r="R453" s="12" t="s">
        <v>36</v>
      </c>
      <c r="S453" s="10" t="n">
        <v>1130101</v>
      </c>
      <c r="T453" s="12" t="s">
        <v>37</v>
      </c>
      <c r="U453" s="13" t="n">
        <v>806.43</v>
      </c>
      <c r="W453" s="13" t="n">
        <v>0</v>
      </c>
      <c r="X453" s="12" t="s">
        <v>581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3</v>
      </c>
      <c r="B454" s="11" t="n">
        <v>46189</v>
      </c>
      <c r="C454" s="11" t="n">
        <v>46220</v>
      </c>
      <c r="D454" s="10" t="n">
        <v>1636</v>
      </c>
      <c r="E454" s="12" t="s">
        <v>195</v>
      </c>
      <c r="F454" s="10" t="n">
        <v>24</v>
      </c>
      <c r="G454" s="12" t="s">
        <v>31</v>
      </c>
      <c r="H454" s="10" t="n">
        <v>2110101</v>
      </c>
      <c r="I454" s="12" t="s">
        <v>32</v>
      </c>
      <c r="J454" s="10" t="n">
        <v>1266138</v>
      </c>
      <c r="L454" s="10" t="n">
        <v>32042693</v>
      </c>
      <c r="M454" s="12" t="s">
        <v>33</v>
      </c>
      <c r="N454" s="12" t="s">
        <v>34</v>
      </c>
      <c r="P454" s="10" t="n">
        <v>128</v>
      </c>
      <c r="Q454" s="12" t="s">
        <v>35</v>
      </c>
      <c r="R454" s="12" t="s">
        <v>36</v>
      </c>
      <c r="S454" s="10" t="n">
        <v>1130101</v>
      </c>
      <c r="T454" s="12" t="s">
        <v>37</v>
      </c>
      <c r="U454" s="13" t="n">
        <v>1138.24</v>
      </c>
      <c r="W454" s="13" t="n">
        <v>0</v>
      </c>
      <c r="X454" s="12" t="s">
        <v>582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0" t="n">
        <v>3</v>
      </c>
      <c r="B455" s="11" t="n">
        <v>46190</v>
      </c>
      <c r="C455" s="11" t="n">
        <v>46220</v>
      </c>
      <c r="D455" s="10" t="n">
        <v>1740</v>
      </c>
      <c r="E455" s="12" t="s">
        <v>273</v>
      </c>
      <c r="F455" s="10" t="n">
        <v>24</v>
      </c>
      <c r="G455" s="12" t="s">
        <v>31</v>
      </c>
      <c r="H455" s="10" t="n">
        <v>2110101</v>
      </c>
      <c r="I455" s="12" t="s">
        <v>32</v>
      </c>
      <c r="J455" s="10" t="n">
        <v>1266193</v>
      </c>
      <c r="L455" s="10" t="n">
        <v>12382023</v>
      </c>
      <c r="M455" s="12" t="s">
        <v>33</v>
      </c>
      <c r="N455" s="12" t="s">
        <v>34</v>
      </c>
      <c r="P455" s="10" t="n">
        <v>128</v>
      </c>
      <c r="Q455" s="12" t="s">
        <v>35</v>
      </c>
      <c r="R455" s="12" t="s">
        <v>36</v>
      </c>
      <c r="S455" s="10" t="n">
        <v>1130101</v>
      </c>
      <c r="T455" s="12" t="s">
        <v>37</v>
      </c>
      <c r="U455" s="13" t="n">
        <v>930.35</v>
      </c>
      <c r="W455" s="13" t="n">
        <v>0</v>
      </c>
      <c r="X455" s="12" t="s">
        <v>583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0" t="n">
        <v>3</v>
      </c>
      <c r="B456" s="11" t="n">
        <v>46189</v>
      </c>
      <c r="C456" s="11" t="n">
        <v>46220</v>
      </c>
      <c r="D456" s="10" t="n">
        <v>1699</v>
      </c>
      <c r="E456" s="12" t="s">
        <v>87</v>
      </c>
      <c r="F456" s="10" t="n">
        <v>24</v>
      </c>
      <c r="G456" s="12" t="s">
        <v>31</v>
      </c>
      <c r="H456" s="10" t="n">
        <v>2110101</v>
      </c>
      <c r="I456" s="12" t="s">
        <v>32</v>
      </c>
      <c r="J456" s="10" t="n">
        <v>1266332</v>
      </c>
      <c r="L456" s="10" t="n">
        <v>3047923</v>
      </c>
      <c r="M456" s="12" t="s">
        <v>33</v>
      </c>
      <c r="N456" s="12" t="s">
        <v>34</v>
      </c>
      <c r="P456" s="10" t="n">
        <v>128</v>
      </c>
      <c r="Q456" s="12" t="s">
        <v>35</v>
      </c>
      <c r="R456" s="12" t="s">
        <v>36</v>
      </c>
      <c r="S456" s="10" t="n">
        <v>1130101</v>
      </c>
      <c r="T456" s="12" t="s">
        <v>37</v>
      </c>
      <c r="U456" s="13" t="n">
        <v>391.4</v>
      </c>
      <c r="W456" s="13" t="n">
        <v>0</v>
      </c>
      <c r="X456" s="12" t="s">
        <v>584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3</v>
      </c>
      <c r="B457" s="11" t="n">
        <v>46191</v>
      </c>
      <c r="C457" s="11" t="n">
        <v>46220</v>
      </c>
      <c r="D457" s="10" t="n">
        <v>1266</v>
      </c>
      <c r="E457" s="12" t="s">
        <v>328</v>
      </c>
      <c r="F457" s="10" t="n">
        <v>24</v>
      </c>
      <c r="G457" s="12" t="s">
        <v>31</v>
      </c>
      <c r="H457" s="10" t="n">
        <v>2110101</v>
      </c>
      <c r="I457" s="12" t="s">
        <v>32</v>
      </c>
      <c r="J457" s="10" t="n">
        <v>1269306</v>
      </c>
      <c r="L457" s="10" t="n">
        <v>24383</v>
      </c>
      <c r="M457" s="12" t="s">
        <v>33</v>
      </c>
      <c r="N457" s="12" t="s">
        <v>34</v>
      </c>
      <c r="P457" s="10" t="n">
        <v>128</v>
      </c>
      <c r="Q457" s="12" t="s">
        <v>35</v>
      </c>
      <c r="R457" s="12" t="s">
        <v>64</v>
      </c>
      <c r="S457" s="10" t="n">
        <v>4210227</v>
      </c>
      <c r="T457" s="12" t="s">
        <v>65</v>
      </c>
      <c r="U457" s="13" t="n">
        <v>506.01</v>
      </c>
      <c r="W457" s="13" t="n">
        <v>0</v>
      </c>
      <c r="X457" s="12" t="s">
        <v>585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3</v>
      </c>
      <c r="B458" s="11" t="n">
        <v>46190</v>
      </c>
      <c r="C458" s="11" t="n">
        <v>46220</v>
      </c>
      <c r="D458" s="10" t="n">
        <v>10012</v>
      </c>
      <c r="E458" s="12" t="s">
        <v>121</v>
      </c>
      <c r="F458" s="10" t="n">
        <v>24</v>
      </c>
      <c r="G458" s="12" t="s">
        <v>31</v>
      </c>
      <c r="H458" s="10" t="n">
        <v>2110101</v>
      </c>
      <c r="I458" s="12" t="s">
        <v>32</v>
      </c>
      <c r="J458" s="10" t="n">
        <v>1269320</v>
      </c>
      <c r="L458" s="10" t="n">
        <v>1959198</v>
      </c>
      <c r="M458" s="12" t="s">
        <v>33</v>
      </c>
      <c r="N458" s="12" t="s">
        <v>34</v>
      </c>
      <c r="P458" s="10" t="n">
        <v>128</v>
      </c>
      <c r="Q458" s="12" t="s">
        <v>35</v>
      </c>
      <c r="R458" s="12" t="s">
        <v>36</v>
      </c>
      <c r="S458" s="10" t="n">
        <v>1130101</v>
      </c>
      <c r="T458" s="12" t="s">
        <v>37</v>
      </c>
      <c r="U458" s="13" t="n">
        <v>595.62</v>
      </c>
      <c r="W458" s="13" t="n">
        <v>0</v>
      </c>
      <c r="X458" s="12" t="s">
        <v>586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3</v>
      </c>
      <c r="B459" s="11" t="n">
        <v>46191</v>
      </c>
      <c r="C459" s="11" t="n">
        <v>46220</v>
      </c>
      <c r="D459" s="10" t="n">
        <v>1656</v>
      </c>
      <c r="E459" s="12" t="s">
        <v>330</v>
      </c>
      <c r="F459" s="10" t="n">
        <v>24</v>
      </c>
      <c r="G459" s="12" t="s">
        <v>31</v>
      </c>
      <c r="H459" s="10" t="n">
        <v>2110101</v>
      </c>
      <c r="I459" s="12" t="s">
        <v>32</v>
      </c>
      <c r="J459" s="10" t="n">
        <v>1272613</v>
      </c>
      <c r="L459" s="10" t="n">
        <v>2222633</v>
      </c>
      <c r="M459" s="12" t="s">
        <v>33</v>
      </c>
      <c r="N459" s="12" t="s">
        <v>34</v>
      </c>
      <c r="P459" s="10" t="n">
        <v>128</v>
      </c>
      <c r="Q459" s="12" t="s">
        <v>35</v>
      </c>
      <c r="R459" s="12" t="s">
        <v>36</v>
      </c>
      <c r="S459" s="10" t="n">
        <v>1130101</v>
      </c>
      <c r="T459" s="12" t="s">
        <v>37</v>
      </c>
      <c r="U459" s="13" t="n">
        <v>782.56</v>
      </c>
      <c r="W459" s="13" t="n">
        <v>0</v>
      </c>
      <c r="X459" s="12" t="s">
        <v>587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3</v>
      </c>
      <c r="B460" s="11" t="n">
        <v>46190</v>
      </c>
      <c r="C460" s="11" t="n">
        <v>46220</v>
      </c>
      <c r="D460" s="10" t="n">
        <v>1611</v>
      </c>
      <c r="E460" s="12" t="s">
        <v>199</v>
      </c>
      <c r="F460" s="10" t="n">
        <v>24</v>
      </c>
      <c r="G460" s="12" t="s">
        <v>31</v>
      </c>
      <c r="H460" s="10" t="n">
        <v>2110101</v>
      </c>
      <c r="I460" s="12" t="s">
        <v>32</v>
      </c>
      <c r="J460" s="10" t="n">
        <v>1272632</v>
      </c>
      <c r="L460" s="10" t="n">
        <v>17732563</v>
      </c>
      <c r="M460" s="12" t="s">
        <v>33</v>
      </c>
      <c r="N460" s="12" t="s">
        <v>34</v>
      </c>
      <c r="P460" s="10" t="n">
        <v>128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393.5</v>
      </c>
      <c r="W460" s="13" t="n">
        <v>0</v>
      </c>
      <c r="X460" s="12" t="s">
        <v>588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3</v>
      </c>
      <c r="B461" s="11" t="n">
        <v>46192</v>
      </c>
      <c r="C461" s="11" t="n">
        <v>46220</v>
      </c>
      <c r="D461" s="10" t="n">
        <v>33</v>
      </c>
      <c r="E461" s="12" t="s">
        <v>297</v>
      </c>
      <c r="F461" s="10" t="n">
        <v>34</v>
      </c>
      <c r="G461" s="12" t="s">
        <v>58</v>
      </c>
      <c r="H461" s="10" t="n">
        <v>2110405</v>
      </c>
      <c r="I461" s="12" t="s">
        <v>63</v>
      </c>
      <c r="J461" s="10" t="n">
        <v>1273760</v>
      </c>
      <c r="L461" s="10" t="n">
        <v>199258</v>
      </c>
      <c r="M461" s="12" t="s">
        <v>559</v>
      </c>
      <c r="N461" s="12" t="s">
        <v>34</v>
      </c>
      <c r="P461" s="10" t="n">
        <v>101</v>
      </c>
      <c r="Q461" s="12" t="s">
        <v>136</v>
      </c>
      <c r="R461" s="12" t="s">
        <v>337</v>
      </c>
      <c r="S461" s="10" t="n">
        <v>1240203</v>
      </c>
      <c r="T461" s="12" t="s">
        <v>338</v>
      </c>
      <c r="U461" s="13" t="n">
        <v>666.66</v>
      </c>
      <c r="W461" s="13" t="n">
        <v>0</v>
      </c>
      <c r="X461" s="12" t="s">
        <v>589</v>
      </c>
      <c r="Z461" s="1" t="str">
        <f aca="false">IF($T461="","",IFERROR(INDEX('Resumo Grupos'!$AC$3:$AC$200,MATCH($T461,'Resumo Grupos'!$AB$3:$AB$200,0)),"n/d"))</f>
        <v>Despesa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3</v>
      </c>
      <c r="B462" s="11" t="n">
        <v>46191</v>
      </c>
      <c r="C462" s="11" t="n">
        <v>46220</v>
      </c>
      <c r="D462" s="10" t="n">
        <v>1657</v>
      </c>
      <c r="E462" s="12" t="s">
        <v>333</v>
      </c>
      <c r="F462" s="10" t="n">
        <v>24</v>
      </c>
      <c r="G462" s="12" t="s">
        <v>31</v>
      </c>
      <c r="H462" s="10" t="n">
        <v>2110101</v>
      </c>
      <c r="I462" s="12" t="s">
        <v>32</v>
      </c>
      <c r="J462" s="10" t="n">
        <v>1279236</v>
      </c>
      <c r="L462" s="10" t="n">
        <v>3747573</v>
      </c>
      <c r="M462" s="12" t="s">
        <v>33</v>
      </c>
      <c r="N462" s="12" t="s">
        <v>34</v>
      </c>
      <c r="P462" s="10" t="n">
        <v>128</v>
      </c>
      <c r="Q462" s="12" t="s">
        <v>35</v>
      </c>
      <c r="R462" s="12" t="s">
        <v>36</v>
      </c>
      <c r="S462" s="10" t="n">
        <v>1130101</v>
      </c>
      <c r="T462" s="12" t="s">
        <v>37</v>
      </c>
      <c r="U462" s="13" t="n">
        <v>977.07</v>
      </c>
      <c r="W462" s="13" t="n">
        <v>0</v>
      </c>
      <c r="X462" s="12" t="s">
        <v>590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36.75" hidden="false" customHeight="true" outlineLevel="0" collapsed="false">
      <c r="A463" s="10" t="n">
        <v>3</v>
      </c>
      <c r="B463" s="11" t="n">
        <v>46195</v>
      </c>
      <c r="C463" s="11" t="n">
        <v>46220</v>
      </c>
      <c r="D463" s="10" t="n">
        <v>1608</v>
      </c>
      <c r="E463" s="12" t="s">
        <v>69</v>
      </c>
      <c r="F463" s="10" t="n">
        <v>24</v>
      </c>
      <c r="G463" s="12" t="s">
        <v>31</v>
      </c>
      <c r="H463" s="10" t="n">
        <v>2110101</v>
      </c>
      <c r="I463" s="12" t="s">
        <v>32</v>
      </c>
      <c r="J463" s="10" t="n">
        <v>1293854</v>
      </c>
      <c r="L463" s="10" t="n">
        <v>16785002</v>
      </c>
      <c r="M463" s="12" t="s">
        <v>33</v>
      </c>
      <c r="N463" s="12" t="s">
        <v>34</v>
      </c>
      <c r="P463" s="10" t="n">
        <v>128</v>
      </c>
      <c r="Q463" s="12" t="s">
        <v>35</v>
      </c>
      <c r="R463" s="12" t="s">
        <v>36</v>
      </c>
      <c r="S463" s="10" t="n">
        <v>1130101</v>
      </c>
      <c r="T463" s="12" t="s">
        <v>37</v>
      </c>
      <c r="U463" s="13" t="n">
        <v>1189.33</v>
      </c>
      <c r="W463" s="13" t="n">
        <v>0</v>
      </c>
      <c r="X463" s="12" t="s">
        <v>591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27.75" hidden="false" customHeight="true" outlineLevel="0" collapsed="false">
      <c r="A464" s="10" t="n">
        <v>3</v>
      </c>
      <c r="B464" s="11" t="n">
        <v>46196</v>
      </c>
      <c r="C464" s="11" t="n">
        <v>46220</v>
      </c>
      <c r="D464" s="10" t="n">
        <v>1608</v>
      </c>
      <c r="E464" s="12" t="s">
        <v>69</v>
      </c>
      <c r="F464" s="10" t="n">
        <v>24</v>
      </c>
      <c r="G464" s="12" t="s">
        <v>31</v>
      </c>
      <c r="H464" s="10" t="n">
        <v>2110101</v>
      </c>
      <c r="I464" s="12" t="s">
        <v>32</v>
      </c>
      <c r="J464" s="10" t="n">
        <v>1293872</v>
      </c>
      <c r="L464" s="10" t="n">
        <v>16788402</v>
      </c>
      <c r="M464" s="12" t="s">
        <v>33</v>
      </c>
      <c r="N464" s="12" t="s">
        <v>34</v>
      </c>
      <c r="P464" s="10" t="n">
        <v>128</v>
      </c>
      <c r="Q464" s="12" t="s">
        <v>35</v>
      </c>
      <c r="R464" s="12" t="s">
        <v>36</v>
      </c>
      <c r="S464" s="10" t="n">
        <v>1130101</v>
      </c>
      <c r="T464" s="12" t="s">
        <v>37</v>
      </c>
      <c r="U464" s="13" t="n">
        <v>338.67</v>
      </c>
      <c r="W464" s="13" t="n">
        <v>0</v>
      </c>
      <c r="X464" s="12" t="s">
        <v>592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3</v>
      </c>
      <c r="B465" s="11" t="n">
        <v>46197</v>
      </c>
      <c r="C465" s="11" t="n">
        <v>46220</v>
      </c>
      <c r="D465" s="10" t="n">
        <v>1605</v>
      </c>
      <c r="E465" s="12" t="s">
        <v>114</v>
      </c>
      <c r="F465" s="10" t="n">
        <v>24</v>
      </c>
      <c r="G465" s="12" t="s">
        <v>31</v>
      </c>
      <c r="H465" s="10" t="n">
        <v>2110101</v>
      </c>
      <c r="I465" s="12" t="s">
        <v>32</v>
      </c>
      <c r="J465" s="10" t="n">
        <v>1299213</v>
      </c>
      <c r="L465" s="10" t="n">
        <v>215700</v>
      </c>
      <c r="M465" s="12" t="s">
        <v>559</v>
      </c>
      <c r="N465" s="12" t="s">
        <v>40</v>
      </c>
      <c r="P465" s="10" t="n">
        <v>128</v>
      </c>
      <c r="Q465" s="12" t="s">
        <v>35</v>
      </c>
      <c r="R465" s="12" t="s">
        <v>36</v>
      </c>
      <c r="S465" s="10" t="n">
        <v>1130101</v>
      </c>
      <c r="T465" s="12" t="s">
        <v>37</v>
      </c>
      <c r="U465" s="13" t="n">
        <v>675.92</v>
      </c>
      <c r="W465" s="13" t="n">
        <v>0</v>
      </c>
      <c r="X465" s="12" t="s">
        <v>593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3</v>
      </c>
      <c r="B466" s="11" t="n">
        <v>46198</v>
      </c>
      <c r="C466" s="11" t="n">
        <v>46220</v>
      </c>
      <c r="D466" s="10" t="n">
        <v>1734</v>
      </c>
      <c r="E466" s="12" t="s">
        <v>214</v>
      </c>
      <c r="F466" s="10" t="n">
        <v>24</v>
      </c>
      <c r="G466" s="12" t="s">
        <v>31</v>
      </c>
      <c r="H466" s="10" t="n">
        <v>2110101</v>
      </c>
      <c r="I466" s="12" t="s">
        <v>32</v>
      </c>
      <c r="J466" s="10" t="n">
        <v>1304360</v>
      </c>
      <c r="L466" s="10" t="n">
        <v>254082</v>
      </c>
      <c r="M466" s="12" t="s">
        <v>33</v>
      </c>
      <c r="N466" s="12" t="s">
        <v>40</v>
      </c>
      <c r="P466" s="10" t="n">
        <v>128</v>
      </c>
      <c r="Q466" s="12" t="s">
        <v>35</v>
      </c>
      <c r="R466" s="12" t="s">
        <v>36</v>
      </c>
      <c r="S466" s="10" t="n">
        <v>1130101</v>
      </c>
      <c r="T466" s="12" t="s">
        <v>37</v>
      </c>
      <c r="U466" s="13" t="n">
        <v>469.93</v>
      </c>
      <c r="W466" s="13" t="n">
        <v>0</v>
      </c>
      <c r="X466" s="12" t="s">
        <v>594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3</v>
      </c>
      <c r="B467" s="11" t="n">
        <v>46196</v>
      </c>
      <c r="C467" s="11" t="n">
        <v>46220</v>
      </c>
      <c r="D467" s="10" t="n">
        <v>1196</v>
      </c>
      <c r="E467" s="12" t="s">
        <v>293</v>
      </c>
      <c r="F467" s="10" t="n">
        <v>24</v>
      </c>
      <c r="G467" s="12" t="s">
        <v>31</v>
      </c>
      <c r="H467" s="10" t="n">
        <v>2110101</v>
      </c>
      <c r="I467" s="12" t="s">
        <v>32</v>
      </c>
      <c r="J467" s="10" t="n">
        <v>1304408</v>
      </c>
      <c r="L467" s="10" t="n">
        <v>125433</v>
      </c>
      <c r="M467" s="12" t="s">
        <v>33</v>
      </c>
      <c r="N467" s="12" t="s">
        <v>34</v>
      </c>
      <c r="P467" s="10" t="n">
        <v>128</v>
      </c>
      <c r="Q467" s="12" t="s">
        <v>35</v>
      </c>
      <c r="R467" s="12" t="s">
        <v>36</v>
      </c>
      <c r="S467" s="10" t="n">
        <v>1130101</v>
      </c>
      <c r="T467" s="12" t="s">
        <v>37</v>
      </c>
      <c r="U467" s="13" t="n">
        <v>431.88</v>
      </c>
      <c r="W467" s="13" t="n">
        <v>0</v>
      </c>
      <c r="X467" s="12" t="s">
        <v>595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54.75" hidden="false" customHeight="true" outlineLevel="0" collapsed="false">
      <c r="A468" s="10" t="n">
        <v>3</v>
      </c>
      <c r="B468" s="11" t="n">
        <v>46197</v>
      </c>
      <c r="C468" s="11" t="n">
        <v>46220</v>
      </c>
      <c r="D468" s="10" t="n">
        <v>1740</v>
      </c>
      <c r="E468" s="12" t="s">
        <v>273</v>
      </c>
      <c r="F468" s="10" t="n">
        <v>24</v>
      </c>
      <c r="G468" s="12" t="s">
        <v>31</v>
      </c>
      <c r="H468" s="10" t="n">
        <v>2110101</v>
      </c>
      <c r="I468" s="12" t="s">
        <v>32</v>
      </c>
      <c r="J468" s="10" t="n">
        <v>1304457</v>
      </c>
      <c r="L468" s="10" t="n">
        <v>12404732</v>
      </c>
      <c r="M468" s="12" t="s">
        <v>33</v>
      </c>
      <c r="N468" s="12" t="s">
        <v>34</v>
      </c>
      <c r="P468" s="10" t="n">
        <v>128</v>
      </c>
      <c r="Q468" s="12" t="s">
        <v>35</v>
      </c>
      <c r="R468" s="12" t="s">
        <v>36</v>
      </c>
      <c r="S468" s="10" t="n">
        <v>1130101</v>
      </c>
      <c r="T468" s="12" t="s">
        <v>37</v>
      </c>
      <c r="U468" s="13" t="n">
        <v>742.53</v>
      </c>
      <c r="W468" s="13" t="n">
        <v>0</v>
      </c>
      <c r="X468" s="12" t="s">
        <v>596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54.75" hidden="false" customHeight="true" outlineLevel="0" collapsed="false">
      <c r="A469" s="10" t="n">
        <v>3</v>
      </c>
      <c r="B469" s="11" t="n">
        <v>46196</v>
      </c>
      <c r="C469" s="11" t="n">
        <v>46220</v>
      </c>
      <c r="D469" s="10" t="n">
        <v>1659</v>
      </c>
      <c r="E469" s="12" t="s">
        <v>30</v>
      </c>
      <c r="F469" s="10" t="n">
        <v>24</v>
      </c>
      <c r="G469" s="12" t="s">
        <v>31</v>
      </c>
      <c r="H469" s="10" t="n">
        <v>2110101</v>
      </c>
      <c r="I469" s="12" t="s">
        <v>32</v>
      </c>
      <c r="J469" s="10" t="n">
        <v>1305093</v>
      </c>
      <c r="L469" s="10" t="n">
        <v>8812242</v>
      </c>
      <c r="M469" s="12" t="s">
        <v>33</v>
      </c>
      <c r="N469" s="12" t="s">
        <v>34</v>
      </c>
      <c r="P469" s="10" t="n">
        <v>128</v>
      </c>
      <c r="Q469" s="12" t="s">
        <v>35</v>
      </c>
      <c r="R469" s="12" t="s">
        <v>36</v>
      </c>
      <c r="S469" s="10" t="n">
        <v>1130101</v>
      </c>
      <c r="T469" s="12" t="s">
        <v>37</v>
      </c>
      <c r="U469" s="13" t="n">
        <v>764.33</v>
      </c>
      <c r="W469" s="13" t="n">
        <v>0</v>
      </c>
      <c r="X469" s="12" t="s">
        <v>597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54.75" hidden="false" customHeight="true" outlineLevel="0" collapsed="false">
      <c r="A470" s="10" t="n">
        <v>3</v>
      </c>
      <c r="B470" s="11" t="n">
        <v>46195</v>
      </c>
      <c r="C470" s="11" t="n">
        <v>46220</v>
      </c>
      <c r="D470" s="10" t="n">
        <v>1604</v>
      </c>
      <c r="E470" s="12" t="s">
        <v>466</v>
      </c>
      <c r="F470" s="10" t="n">
        <v>24</v>
      </c>
      <c r="G470" s="12" t="s">
        <v>31</v>
      </c>
      <c r="H470" s="10" t="n">
        <v>2110101</v>
      </c>
      <c r="I470" s="12" t="s">
        <v>32</v>
      </c>
      <c r="J470" s="10" t="n">
        <v>1305151</v>
      </c>
      <c r="L470" s="10" t="n">
        <v>3327592</v>
      </c>
      <c r="M470" s="12" t="s">
        <v>33</v>
      </c>
      <c r="N470" s="12" t="s">
        <v>34</v>
      </c>
      <c r="P470" s="10" t="n">
        <v>128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637.31</v>
      </c>
      <c r="W470" s="13" t="n">
        <v>0</v>
      </c>
      <c r="X470" s="12" t="s">
        <v>598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3</v>
      </c>
      <c r="B471" s="11" t="n">
        <v>46197</v>
      </c>
      <c r="C471" s="11" t="n">
        <v>46220</v>
      </c>
      <c r="D471" s="10" t="n">
        <v>1815</v>
      </c>
      <c r="E471" s="12" t="s">
        <v>157</v>
      </c>
      <c r="F471" s="10" t="n">
        <v>24</v>
      </c>
      <c r="G471" s="12" t="s">
        <v>31</v>
      </c>
      <c r="H471" s="10" t="n">
        <v>2110101</v>
      </c>
      <c r="I471" s="12" t="s">
        <v>32</v>
      </c>
      <c r="J471" s="10" t="n">
        <v>1305182</v>
      </c>
      <c r="L471" s="10" t="n">
        <v>4526722</v>
      </c>
      <c r="M471" s="12" t="s">
        <v>33</v>
      </c>
      <c r="N471" s="12" t="s">
        <v>34</v>
      </c>
      <c r="P471" s="10" t="n">
        <v>128</v>
      </c>
      <c r="Q471" s="12" t="s">
        <v>35</v>
      </c>
      <c r="R471" s="12" t="s">
        <v>36</v>
      </c>
      <c r="S471" s="10" t="n">
        <v>1130101</v>
      </c>
      <c r="T471" s="12" t="s">
        <v>37</v>
      </c>
      <c r="U471" s="13" t="n">
        <v>1235.12</v>
      </c>
      <c r="W471" s="13" t="n">
        <v>0</v>
      </c>
      <c r="X471" s="12" t="s">
        <v>599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3</v>
      </c>
      <c r="B472" s="11" t="n">
        <v>46198</v>
      </c>
      <c r="C472" s="11" t="n">
        <v>46220</v>
      </c>
      <c r="D472" s="10" t="n">
        <v>1672</v>
      </c>
      <c r="E472" s="12" t="s">
        <v>93</v>
      </c>
      <c r="F472" s="10" t="n">
        <v>24</v>
      </c>
      <c r="G472" s="12" t="s">
        <v>31</v>
      </c>
      <c r="H472" s="10" t="n">
        <v>2110101</v>
      </c>
      <c r="I472" s="12" t="s">
        <v>32</v>
      </c>
      <c r="J472" s="10" t="n">
        <v>1312285</v>
      </c>
      <c r="L472" s="10" t="n">
        <v>13798332</v>
      </c>
      <c r="M472" s="12" t="s">
        <v>33</v>
      </c>
      <c r="N472" s="12" t="s">
        <v>34</v>
      </c>
      <c r="P472" s="10" t="n">
        <v>128</v>
      </c>
      <c r="Q472" s="12" t="s">
        <v>35</v>
      </c>
      <c r="R472" s="12" t="s">
        <v>36</v>
      </c>
      <c r="S472" s="10" t="n">
        <v>1130101</v>
      </c>
      <c r="T472" s="12" t="s">
        <v>37</v>
      </c>
      <c r="U472" s="13" t="n">
        <v>956.15</v>
      </c>
      <c r="W472" s="13" t="n">
        <v>0</v>
      </c>
      <c r="X472" s="12" t="s">
        <v>600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3</v>
      </c>
      <c r="B473" s="11" t="n">
        <v>46197</v>
      </c>
      <c r="C473" s="11" t="n">
        <v>46220</v>
      </c>
      <c r="D473" s="10" t="n">
        <v>1107</v>
      </c>
      <c r="E473" s="12" t="s">
        <v>103</v>
      </c>
      <c r="F473" s="10" t="n">
        <v>24</v>
      </c>
      <c r="G473" s="12" t="s">
        <v>31</v>
      </c>
      <c r="H473" s="10" t="n">
        <v>2110101</v>
      </c>
      <c r="I473" s="12" t="s">
        <v>32</v>
      </c>
      <c r="J473" s="10" t="n">
        <v>1312361</v>
      </c>
      <c r="L473" s="10" t="n">
        <v>4217652</v>
      </c>
      <c r="M473" s="12" t="s">
        <v>33</v>
      </c>
      <c r="N473" s="12" t="s">
        <v>34</v>
      </c>
      <c r="P473" s="10" t="n">
        <v>128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709.48</v>
      </c>
      <c r="W473" s="13" t="n">
        <v>0</v>
      </c>
      <c r="X473" s="12" t="s">
        <v>601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3</v>
      </c>
      <c r="B474" s="11" t="n">
        <v>46198</v>
      </c>
      <c r="C474" s="11" t="n">
        <v>46220</v>
      </c>
      <c r="D474" s="10" t="n">
        <v>1616</v>
      </c>
      <c r="E474" s="12" t="s">
        <v>72</v>
      </c>
      <c r="F474" s="10" t="n">
        <v>24</v>
      </c>
      <c r="G474" s="12" t="s">
        <v>31</v>
      </c>
      <c r="H474" s="10" t="n">
        <v>2110101</v>
      </c>
      <c r="I474" s="12" t="s">
        <v>32</v>
      </c>
      <c r="J474" s="10" t="n">
        <v>1321505</v>
      </c>
      <c r="L474" s="10" t="n">
        <v>6474032</v>
      </c>
      <c r="M474" s="12" t="s">
        <v>33</v>
      </c>
      <c r="N474" s="12" t="s">
        <v>34</v>
      </c>
      <c r="P474" s="10" t="n">
        <v>128</v>
      </c>
      <c r="Q474" s="12" t="s">
        <v>35</v>
      </c>
      <c r="R474" s="12" t="s">
        <v>36</v>
      </c>
      <c r="S474" s="10" t="n">
        <v>1130101</v>
      </c>
      <c r="T474" s="12" t="s">
        <v>37</v>
      </c>
      <c r="U474" s="13" t="n">
        <v>553.36</v>
      </c>
      <c r="W474" s="13" t="n">
        <v>0</v>
      </c>
      <c r="X474" s="12" t="s">
        <v>602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3</v>
      </c>
      <c r="B475" s="11" t="n">
        <v>46203</v>
      </c>
      <c r="C475" s="11" t="n">
        <v>46220</v>
      </c>
      <c r="D475" s="10" t="n">
        <v>42</v>
      </c>
      <c r="E475" s="12" t="s">
        <v>106</v>
      </c>
      <c r="F475" s="10" t="n">
        <v>34</v>
      </c>
      <c r="G475" s="12" t="s">
        <v>58</v>
      </c>
      <c r="H475" s="10" t="n">
        <v>2110101</v>
      </c>
      <c r="I475" s="12" t="s">
        <v>32</v>
      </c>
      <c r="J475" s="10" t="n">
        <v>1328808</v>
      </c>
      <c r="L475" s="10" t="n">
        <v>4326</v>
      </c>
      <c r="M475" s="12" t="s">
        <v>33</v>
      </c>
      <c r="N475" s="12" t="s">
        <v>40</v>
      </c>
      <c r="P475" s="10" t="n">
        <v>128</v>
      </c>
      <c r="Q475" s="12" t="s">
        <v>35</v>
      </c>
      <c r="R475" s="12" t="s">
        <v>36</v>
      </c>
      <c r="S475" s="10" t="n">
        <v>1130101</v>
      </c>
      <c r="T475" s="12" t="s">
        <v>37</v>
      </c>
      <c r="U475" s="13" t="n">
        <v>250</v>
      </c>
      <c r="W475" s="13" t="n">
        <v>0</v>
      </c>
      <c r="X475" s="12" t="s">
        <v>603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3</v>
      </c>
      <c r="B476" s="11" t="n">
        <v>46199</v>
      </c>
      <c r="C476" s="11" t="n">
        <v>46220</v>
      </c>
      <c r="D476" s="10" t="n">
        <v>1634</v>
      </c>
      <c r="E476" s="12" t="s">
        <v>604</v>
      </c>
      <c r="F476" s="10" t="n">
        <v>24</v>
      </c>
      <c r="G476" s="12" t="s">
        <v>31</v>
      </c>
      <c r="H476" s="10" t="n">
        <v>2110101</v>
      </c>
      <c r="I476" s="12" t="s">
        <v>32</v>
      </c>
      <c r="J476" s="10" t="n">
        <v>1334057</v>
      </c>
      <c r="L476" s="10" t="n">
        <v>3274641</v>
      </c>
      <c r="M476" s="12" t="s">
        <v>33</v>
      </c>
      <c r="N476" s="12" t="s">
        <v>34</v>
      </c>
      <c r="P476" s="10" t="n">
        <v>167</v>
      </c>
      <c r="Q476" s="12" t="s">
        <v>220</v>
      </c>
      <c r="R476" s="12" t="s">
        <v>36</v>
      </c>
      <c r="S476" s="10" t="n">
        <v>1130101</v>
      </c>
      <c r="T476" s="12" t="s">
        <v>37</v>
      </c>
      <c r="U476" s="13" t="n">
        <v>288.36</v>
      </c>
      <c r="W476" s="13" t="n">
        <v>0</v>
      </c>
      <c r="X476" s="12" t="s">
        <v>605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3</v>
      </c>
      <c r="B477" s="11" t="n">
        <v>46204</v>
      </c>
      <c r="C477" s="11" t="n">
        <v>46220</v>
      </c>
      <c r="D477" s="10" t="n">
        <v>1734</v>
      </c>
      <c r="E477" s="12" t="s">
        <v>214</v>
      </c>
      <c r="F477" s="10" t="n">
        <v>24</v>
      </c>
      <c r="G477" s="12" t="s">
        <v>31</v>
      </c>
      <c r="H477" s="10" t="n">
        <v>2110101</v>
      </c>
      <c r="I477" s="12" t="s">
        <v>32</v>
      </c>
      <c r="J477" s="10" t="n">
        <v>1334403</v>
      </c>
      <c r="L477" s="10" t="n">
        <v>2545122</v>
      </c>
      <c r="M477" s="12" t="s">
        <v>33</v>
      </c>
      <c r="N477" s="12" t="s">
        <v>34</v>
      </c>
      <c r="P477" s="10" t="n">
        <v>167</v>
      </c>
      <c r="Q477" s="12" t="s">
        <v>220</v>
      </c>
      <c r="R477" s="12" t="s">
        <v>36</v>
      </c>
      <c r="S477" s="10" t="n">
        <v>1130101</v>
      </c>
      <c r="T477" s="12" t="s">
        <v>37</v>
      </c>
      <c r="U477" s="13" t="n">
        <v>325.35</v>
      </c>
      <c r="W477" s="13" t="n">
        <v>0</v>
      </c>
      <c r="X477" s="12" t="s">
        <v>606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3</v>
      </c>
      <c r="B478" s="11" t="n">
        <v>46204</v>
      </c>
      <c r="C478" s="11" t="n">
        <v>46220</v>
      </c>
      <c r="D478" s="10" t="n">
        <v>1740</v>
      </c>
      <c r="E478" s="12" t="s">
        <v>273</v>
      </c>
      <c r="F478" s="10" t="n">
        <v>24</v>
      </c>
      <c r="G478" s="12" t="s">
        <v>31</v>
      </c>
      <c r="H478" s="10" t="n">
        <v>2110101</v>
      </c>
      <c r="I478" s="12" t="s">
        <v>32</v>
      </c>
      <c r="J478" s="10" t="n">
        <v>1335355</v>
      </c>
      <c r="L478" s="10" t="n">
        <v>12428241</v>
      </c>
      <c r="M478" s="12" t="s">
        <v>33</v>
      </c>
      <c r="N478" s="12" t="s">
        <v>34</v>
      </c>
      <c r="P478" s="10" t="n">
        <v>167</v>
      </c>
      <c r="Q478" s="12" t="s">
        <v>220</v>
      </c>
      <c r="R478" s="12" t="s">
        <v>36</v>
      </c>
      <c r="S478" s="10" t="n">
        <v>1130101</v>
      </c>
      <c r="T478" s="12" t="s">
        <v>37</v>
      </c>
      <c r="U478" s="13" t="n">
        <v>683</v>
      </c>
      <c r="W478" s="13" t="n">
        <v>0</v>
      </c>
      <c r="X478" s="12" t="s">
        <v>607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3</v>
      </c>
      <c r="B479" s="11" t="n">
        <v>46204</v>
      </c>
      <c r="C479" s="11" t="n">
        <v>46220</v>
      </c>
      <c r="D479" s="10" t="n">
        <v>1740</v>
      </c>
      <c r="E479" s="12" t="s">
        <v>273</v>
      </c>
      <c r="F479" s="10" t="n">
        <v>24</v>
      </c>
      <c r="G479" s="12" t="s">
        <v>31</v>
      </c>
      <c r="H479" s="10" t="n">
        <v>2110101</v>
      </c>
      <c r="I479" s="12" t="s">
        <v>32</v>
      </c>
      <c r="J479" s="10" t="n">
        <v>1335368</v>
      </c>
      <c r="L479" s="10" t="n">
        <v>12428251</v>
      </c>
      <c r="M479" s="12" t="s">
        <v>33</v>
      </c>
      <c r="N479" s="12" t="s">
        <v>34</v>
      </c>
      <c r="P479" s="10" t="n">
        <v>167</v>
      </c>
      <c r="Q479" s="12" t="s">
        <v>220</v>
      </c>
      <c r="R479" s="12" t="s">
        <v>36</v>
      </c>
      <c r="S479" s="10" t="n">
        <v>1130101</v>
      </c>
      <c r="T479" s="12" t="s">
        <v>37</v>
      </c>
      <c r="U479" s="13" t="n">
        <v>764</v>
      </c>
      <c r="W479" s="13" t="n">
        <v>0</v>
      </c>
      <c r="X479" s="12" t="s">
        <v>608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0" t="n">
        <v>3</v>
      </c>
      <c r="B480" s="11" t="n">
        <v>46204</v>
      </c>
      <c r="C480" s="11" t="n">
        <v>46220</v>
      </c>
      <c r="D480" s="10" t="n">
        <v>1740</v>
      </c>
      <c r="E480" s="12" t="s">
        <v>273</v>
      </c>
      <c r="F480" s="10" t="n">
        <v>24</v>
      </c>
      <c r="G480" s="12" t="s">
        <v>31</v>
      </c>
      <c r="H480" s="10" t="n">
        <v>2110101</v>
      </c>
      <c r="I480" s="12" t="s">
        <v>32</v>
      </c>
      <c r="J480" s="10" t="n">
        <v>1335379</v>
      </c>
      <c r="L480" s="10" t="n">
        <v>12428231</v>
      </c>
      <c r="M480" s="12" t="s">
        <v>33</v>
      </c>
      <c r="N480" s="12" t="s">
        <v>34</v>
      </c>
      <c r="P480" s="10" t="n">
        <v>167</v>
      </c>
      <c r="Q480" s="12" t="s">
        <v>220</v>
      </c>
      <c r="R480" s="12" t="s">
        <v>36</v>
      </c>
      <c r="S480" s="10" t="n">
        <v>1130101</v>
      </c>
      <c r="T480" s="12" t="s">
        <v>37</v>
      </c>
      <c r="U480" s="13" t="n">
        <v>502.2</v>
      </c>
      <c r="W480" s="13" t="n">
        <v>0</v>
      </c>
      <c r="X480" s="12" t="s">
        <v>609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0" t="n">
        <v>3</v>
      </c>
      <c r="B481" s="11" t="n">
        <v>46205</v>
      </c>
      <c r="C481" s="11" t="n">
        <v>46220</v>
      </c>
      <c r="D481" s="10" t="n">
        <v>49</v>
      </c>
      <c r="E481" s="12" t="s">
        <v>610</v>
      </c>
      <c r="F481" s="10" t="n">
        <v>34</v>
      </c>
      <c r="G481" s="12" t="s">
        <v>58</v>
      </c>
      <c r="H481" s="10" t="n">
        <v>1110204</v>
      </c>
      <c r="I481" s="12" t="s">
        <v>177</v>
      </c>
      <c r="J481" s="10" t="n">
        <v>1339049</v>
      </c>
      <c r="L481" s="10" t="n">
        <v>209092</v>
      </c>
      <c r="M481" s="12" t="s">
        <v>33</v>
      </c>
      <c r="N481" s="12" t="s">
        <v>34</v>
      </c>
      <c r="P481" s="10" t="n">
        <v>101</v>
      </c>
      <c r="Q481" s="12" t="s">
        <v>136</v>
      </c>
      <c r="R481" s="12" t="s">
        <v>411</v>
      </c>
      <c r="S481" s="10" t="n">
        <v>2110901</v>
      </c>
      <c r="T481" s="12" t="s">
        <v>412</v>
      </c>
      <c r="U481" s="13" t="n">
        <v>4073.22</v>
      </c>
      <c r="W481" s="13" t="n">
        <v>0</v>
      </c>
      <c r="X481" s="12" t="s">
        <v>611</v>
      </c>
      <c r="Z481" s="1" t="str">
        <f aca="false">IF($T481="","",IFERROR(INDEX('Resumo Grupos'!$AC$3:$AC$200,MATCH($T481,'Resumo Grupos'!$AB$3:$AB$200,0)),"n/d"))</f>
        <v>Empréstimo</v>
      </c>
      <c r="AA481" s="1" t="str">
        <f aca="false">IF($T481="","",IF(COUNTIF('Resumo Grupos'!$AE$3:$AE$40,$T481)&gt;0,"NAO","SIM"))</f>
        <v>SIM</v>
      </c>
    </row>
    <row r="482" customFormat="false" ht="45.75" hidden="false" customHeight="true" outlineLevel="0" collapsed="false">
      <c r="A482" s="10" t="n">
        <v>3</v>
      </c>
      <c r="B482" s="11" t="n">
        <v>46204</v>
      </c>
      <c r="C482" s="11" t="n">
        <v>46220</v>
      </c>
      <c r="D482" s="10" t="n">
        <v>10088</v>
      </c>
      <c r="E482" s="12" t="s">
        <v>612</v>
      </c>
      <c r="F482" s="10" t="n">
        <v>34</v>
      </c>
      <c r="G482" s="12" t="s">
        <v>58</v>
      </c>
      <c r="H482" s="10" t="n">
        <v>2110101</v>
      </c>
      <c r="I482" s="12" t="s">
        <v>32</v>
      </c>
      <c r="J482" s="10" t="n">
        <v>1339200</v>
      </c>
      <c r="L482" s="10" t="n">
        <v>209116</v>
      </c>
      <c r="M482" s="12" t="s">
        <v>33</v>
      </c>
      <c r="N482" s="12" t="s">
        <v>34</v>
      </c>
      <c r="P482" s="10" t="n">
        <v>167</v>
      </c>
      <c r="Q482" s="12" t="s">
        <v>220</v>
      </c>
      <c r="R482" s="12" t="s">
        <v>36</v>
      </c>
      <c r="S482" s="10" t="n">
        <v>1130101</v>
      </c>
      <c r="T482" s="12" t="s">
        <v>37</v>
      </c>
      <c r="U482" s="13" t="n">
        <v>450</v>
      </c>
      <c r="W482" s="13" t="n">
        <v>0</v>
      </c>
      <c r="X482" s="12" t="s">
        <v>613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36.75" hidden="false" customHeight="true" outlineLevel="0" collapsed="false">
      <c r="A483" s="10" t="n">
        <v>3</v>
      </c>
      <c r="B483" s="11" t="n">
        <v>46204</v>
      </c>
      <c r="C483" s="11" t="n">
        <v>46220</v>
      </c>
      <c r="D483" s="10" t="n">
        <v>1749</v>
      </c>
      <c r="E483" s="12" t="s">
        <v>110</v>
      </c>
      <c r="F483" s="10" t="n">
        <v>24</v>
      </c>
      <c r="G483" s="12" t="s">
        <v>31</v>
      </c>
      <c r="H483" s="10" t="n">
        <v>2110101</v>
      </c>
      <c r="I483" s="12" t="s">
        <v>32</v>
      </c>
      <c r="J483" s="10" t="n">
        <v>1340209</v>
      </c>
      <c r="L483" s="10" t="n">
        <v>25452</v>
      </c>
      <c r="M483" s="12" t="s">
        <v>33</v>
      </c>
      <c r="N483" s="12" t="s">
        <v>34</v>
      </c>
      <c r="P483" s="10" t="n">
        <v>167</v>
      </c>
      <c r="Q483" s="12" t="s">
        <v>220</v>
      </c>
      <c r="R483" s="12" t="s">
        <v>36</v>
      </c>
      <c r="S483" s="10" t="n">
        <v>1130101</v>
      </c>
      <c r="T483" s="12" t="s">
        <v>37</v>
      </c>
      <c r="U483" s="13" t="n">
        <v>1598.87</v>
      </c>
      <c r="W483" s="13" t="n">
        <v>0</v>
      </c>
      <c r="X483" s="12" t="s">
        <v>614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36.75" hidden="false" customHeight="true" outlineLevel="0" collapsed="false">
      <c r="A484" s="10" t="n">
        <v>3</v>
      </c>
      <c r="B484" s="11" t="n">
        <v>46205</v>
      </c>
      <c r="C484" s="11" t="n">
        <v>46220</v>
      </c>
      <c r="D484" s="10" t="n">
        <v>794</v>
      </c>
      <c r="E484" s="12" t="s">
        <v>74</v>
      </c>
      <c r="F484" s="10" t="n">
        <v>24</v>
      </c>
      <c r="G484" s="12" t="s">
        <v>31</v>
      </c>
      <c r="H484" s="10" t="n">
        <v>2110405</v>
      </c>
      <c r="I484" s="12" t="s">
        <v>63</v>
      </c>
      <c r="J484" s="10" t="n">
        <v>1340236</v>
      </c>
      <c r="L484" s="10" t="n">
        <v>52011</v>
      </c>
      <c r="M484" s="12" t="s">
        <v>33</v>
      </c>
      <c r="N484" s="12" t="s">
        <v>34</v>
      </c>
      <c r="P484" s="10" t="n">
        <v>167</v>
      </c>
      <c r="Q484" s="12" t="s">
        <v>220</v>
      </c>
      <c r="R484" s="12" t="s">
        <v>64</v>
      </c>
      <c r="S484" s="10" t="n">
        <v>4210299</v>
      </c>
      <c r="T484" s="12" t="s">
        <v>615</v>
      </c>
      <c r="U484" s="13" t="n">
        <v>475.95</v>
      </c>
      <c r="W484" s="13" t="n">
        <v>0</v>
      </c>
      <c r="X484" s="12" t="s">
        <v>616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3</v>
      </c>
      <c r="B485" s="11" t="n">
        <v>46205</v>
      </c>
      <c r="C485" s="11" t="n">
        <v>46220</v>
      </c>
      <c r="D485" s="10" t="n">
        <v>1666</v>
      </c>
      <c r="E485" s="12" t="s">
        <v>179</v>
      </c>
      <c r="F485" s="10" t="n">
        <v>24</v>
      </c>
      <c r="G485" s="12" t="s">
        <v>31</v>
      </c>
      <c r="H485" s="10" t="n">
        <v>2110101</v>
      </c>
      <c r="I485" s="12" t="s">
        <v>32</v>
      </c>
      <c r="J485" s="10" t="n">
        <v>1340271</v>
      </c>
      <c r="L485" s="10" t="n">
        <v>5656262</v>
      </c>
      <c r="M485" s="12" t="s">
        <v>33</v>
      </c>
      <c r="N485" s="12" t="s">
        <v>34</v>
      </c>
      <c r="P485" s="10" t="n">
        <v>167</v>
      </c>
      <c r="Q485" s="12" t="s">
        <v>220</v>
      </c>
      <c r="R485" s="12" t="s">
        <v>36</v>
      </c>
      <c r="S485" s="10" t="n">
        <v>1130101</v>
      </c>
      <c r="T485" s="12" t="s">
        <v>37</v>
      </c>
      <c r="U485" s="13" t="n">
        <v>1891.66</v>
      </c>
      <c r="W485" s="13" t="n">
        <v>0</v>
      </c>
      <c r="X485" s="12" t="s">
        <v>617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0" t="n">
        <v>3</v>
      </c>
      <c r="B486" s="11" t="n">
        <v>46205</v>
      </c>
      <c r="C486" s="11" t="n">
        <v>46220</v>
      </c>
      <c r="D486" s="10" t="n">
        <v>42</v>
      </c>
      <c r="E486" s="12" t="s">
        <v>106</v>
      </c>
      <c r="F486" s="10" t="n">
        <v>34</v>
      </c>
      <c r="G486" s="12" t="s">
        <v>58</v>
      </c>
      <c r="H486" s="10" t="n">
        <v>2110101</v>
      </c>
      <c r="I486" s="12" t="s">
        <v>32</v>
      </c>
      <c r="J486" s="10" t="n">
        <v>1340380</v>
      </c>
      <c r="L486" s="10" t="n">
        <v>4346</v>
      </c>
      <c r="M486" s="12" t="s">
        <v>33</v>
      </c>
      <c r="N486" s="12" t="s">
        <v>40</v>
      </c>
      <c r="P486" s="10" t="n">
        <v>167</v>
      </c>
      <c r="Q486" s="12" t="s">
        <v>220</v>
      </c>
      <c r="R486" s="12" t="s">
        <v>36</v>
      </c>
      <c r="S486" s="10" t="n">
        <v>1130101</v>
      </c>
      <c r="T486" s="12" t="s">
        <v>37</v>
      </c>
      <c r="U486" s="13" t="n">
        <v>280</v>
      </c>
      <c r="W486" s="13" t="n">
        <v>0</v>
      </c>
      <c r="X486" s="12" t="s">
        <v>396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45.75" hidden="false" customHeight="true" outlineLevel="0" collapsed="false">
      <c r="A487" s="10" t="n">
        <v>3</v>
      </c>
      <c r="B487" s="11" t="n">
        <v>46204</v>
      </c>
      <c r="C487" s="11" t="n">
        <v>46220</v>
      </c>
      <c r="D487" s="10" t="n">
        <v>1664</v>
      </c>
      <c r="E487" s="12" t="s">
        <v>618</v>
      </c>
      <c r="F487" s="10" t="n">
        <v>24</v>
      </c>
      <c r="G487" s="12" t="s">
        <v>31</v>
      </c>
      <c r="H487" s="10" t="n">
        <v>2110101</v>
      </c>
      <c r="I487" s="12" t="s">
        <v>32</v>
      </c>
      <c r="J487" s="10" t="n">
        <v>1340449</v>
      </c>
      <c r="L487" s="10" t="n">
        <v>784221</v>
      </c>
      <c r="M487" s="12" t="s">
        <v>33</v>
      </c>
      <c r="N487" s="12" t="s">
        <v>34</v>
      </c>
      <c r="P487" s="10" t="n">
        <v>167</v>
      </c>
      <c r="Q487" s="12" t="s">
        <v>220</v>
      </c>
      <c r="R487" s="12" t="s">
        <v>36</v>
      </c>
      <c r="S487" s="10" t="n">
        <v>1130101</v>
      </c>
      <c r="T487" s="12" t="s">
        <v>37</v>
      </c>
      <c r="U487" s="13" t="n">
        <v>323.78</v>
      </c>
      <c r="W487" s="13" t="n">
        <v>0</v>
      </c>
      <c r="X487" s="12" t="s">
        <v>619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3</v>
      </c>
      <c r="B488" s="11" t="n">
        <v>46206</v>
      </c>
      <c r="C488" s="11" t="n">
        <v>46220</v>
      </c>
      <c r="D488" s="10" t="n">
        <v>1916</v>
      </c>
      <c r="E488" s="12" t="s">
        <v>384</v>
      </c>
      <c r="F488" s="10" t="n">
        <v>24</v>
      </c>
      <c r="G488" s="12" t="s">
        <v>31</v>
      </c>
      <c r="H488" s="10" t="n">
        <v>2110101</v>
      </c>
      <c r="I488" s="12" t="s">
        <v>32</v>
      </c>
      <c r="J488" s="10" t="n">
        <v>1345367</v>
      </c>
      <c r="L488" s="10" t="n">
        <v>39618</v>
      </c>
      <c r="M488" s="12" t="s">
        <v>33</v>
      </c>
      <c r="N488" s="12" t="s">
        <v>40</v>
      </c>
      <c r="P488" s="10" t="n">
        <v>167</v>
      </c>
      <c r="Q488" s="12" t="s">
        <v>220</v>
      </c>
      <c r="R488" s="12" t="s">
        <v>36</v>
      </c>
      <c r="S488" s="10" t="n">
        <v>1130101</v>
      </c>
      <c r="T488" s="12" t="s">
        <v>37</v>
      </c>
      <c r="U488" s="13" t="n">
        <v>1440</v>
      </c>
      <c r="W488" s="13" t="n">
        <v>0</v>
      </c>
      <c r="X488" s="12" t="s">
        <v>620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54.75" hidden="false" customHeight="true" outlineLevel="0" collapsed="false">
      <c r="A489" s="10" t="n">
        <v>3</v>
      </c>
      <c r="B489" s="11" t="n">
        <v>46206</v>
      </c>
      <c r="C489" s="11" t="n">
        <v>46220</v>
      </c>
      <c r="D489" s="10" t="n">
        <v>1916</v>
      </c>
      <c r="E489" s="12" t="s">
        <v>384</v>
      </c>
      <c r="F489" s="10" t="n">
        <v>24</v>
      </c>
      <c r="G489" s="12" t="s">
        <v>31</v>
      </c>
      <c r="H489" s="10" t="n">
        <v>2110101</v>
      </c>
      <c r="I489" s="12" t="s">
        <v>32</v>
      </c>
      <c r="J489" s="10" t="n">
        <v>1345375</v>
      </c>
      <c r="L489" s="10" t="n">
        <v>2477</v>
      </c>
      <c r="M489" s="12" t="s">
        <v>33</v>
      </c>
      <c r="N489" s="12" t="s">
        <v>40</v>
      </c>
      <c r="P489" s="10" t="n">
        <v>167</v>
      </c>
      <c r="Q489" s="12" t="s">
        <v>220</v>
      </c>
      <c r="R489" s="12" t="s">
        <v>36</v>
      </c>
      <c r="S489" s="10" t="n">
        <v>1130101</v>
      </c>
      <c r="T489" s="12" t="s">
        <v>37</v>
      </c>
      <c r="U489" s="13" t="n">
        <v>105</v>
      </c>
      <c r="W489" s="13" t="n">
        <v>0</v>
      </c>
      <c r="X489" s="12" t="s">
        <v>621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3</v>
      </c>
      <c r="B490" s="11" t="n">
        <v>46206</v>
      </c>
      <c r="C490" s="11" t="n">
        <v>46220</v>
      </c>
      <c r="D490" s="10" t="n">
        <v>1916</v>
      </c>
      <c r="E490" s="12" t="s">
        <v>384</v>
      </c>
      <c r="F490" s="10" t="n">
        <v>24</v>
      </c>
      <c r="G490" s="12" t="s">
        <v>31</v>
      </c>
      <c r="H490" s="10" t="n">
        <v>2110101</v>
      </c>
      <c r="I490" s="12" t="s">
        <v>32</v>
      </c>
      <c r="J490" s="10" t="n">
        <v>1345381</v>
      </c>
      <c r="L490" s="10" t="n">
        <v>39615</v>
      </c>
      <c r="M490" s="12" t="s">
        <v>33</v>
      </c>
      <c r="N490" s="12" t="s">
        <v>40</v>
      </c>
      <c r="P490" s="10" t="n">
        <v>167</v>
      </c>
      <c r="Q490" s="12" t="s">
        <v>220</v>
      </c>
      <c r="R490" s="12" t="s">
        <v>36</v>
      </c>
      <c r="S490" s="10" t="n">
        <v>1130101</v>
      </c>
      <c r="T490" s="12" t="s">
        <v>37</v>
      </c>
      <c r="U490" s="13" t="n">
        <v>249.5</v>
      </c>
      <c r="W490" s="13" t="n">
        <v>0</v>
      </c>
      <c r="X490" s="12" t="s">
        <v>622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54.75" hidden="false" customHeight="true" outlineLevel="0" collapsed="false">
      <c r="A491" s="10" t="n">
        <v>3</v>
      </c>
      <c r="B491" s="11" t="n">
        <v>46206</v>
      </c>
      <c r="C491" s="11" t="n">
        <v>46220</v>
      </c>
      <c r="D491" s="10" t="n">
        <v>1815</v>
      </c>
      <c r="E491" s="12" t="s">
        <v>157</v>
      </c>
      <c r="F491" s="10" t="n">
        <v>24</v>
      </c>
      <c r="G491" s="12" t="s">
        <v>31</v>
      </c>
      <c r="H491" s="10" t="n">
        <v>2110101</v>
      </c>
      <c r="I491" s="12" t="s">
        <v>32</v>
      </c>
      <c r="J491" s="10" t="n">
        <v>1345433</v>
      </c>
      <c r="L491" s="10" t="n">
        <v>454484</v>
      </c>
      <c r="M491" s="12" t="s">
        <v>33</v>
      </c>
      <c r="N491" s="12" t="s">
        <v>34</v>
      </c>
      <c r="P491" s="10" t="n">
        <v>167</v>
      </c>
      <c r="Q491" s="12" t="s">
        <v>220</v>
      </c>
      <c r="R491" s="12" t="s">
        <v>36</v>
      </c>
      <c r="S491" s="10" t="n">
        <v>1130101</v>
      </c>
      <c r="T491" s="12" t="s">
        <v>37</v>
      </c>
      <c r="U491" s="13" t="n">
        <v>2508.91</v>
      </c>
      <c r="W491" s="13" t="n">
        <v>0</v>
      </c>
      <c r="X491" s="12" t="s">
        <v>623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3</v>
      </c>
      <c r="B492" s="11" t="n">
        <v>46206</v>
      </c>
      <c r="C492" s="11" t="n">
        <v>46220</v>
      </c>
      <c r="D492" s="10" t="n">
        <v>10009</v>
      </c>
      <c r="E492" s="12" t="s">
        <v>99</v>
      </c>
      <c r="F492" s="10" t="n">
        <v>24</v>
      </c>
      <c r="G492" s="12" t="s">
        <v>31</v>
      </c>
      <c r="H492" s="10" t="n">
        <v>2110101</v>
      </c>
      <c r="I492" s="12" t="s">
        <v>32</v>
      </c>
      <c r="J492" s="10" t="n">
        <v>1348400</v>
      </c>
      <c r="L492" s="10" t="n">
        <v>1424293</v>
      </c>
      <c r="M492" s="12" t="s">
        <v>33</v>
      </c>
      <c r="N492" s="12" t="s">
        <v>34</v>
      </c>
      <c r="P492" s="10" t="n">
        <v>167</v>
      </c>
      <c r="Q492" s="12" t="s">
        <v>220</v>
      </c>
      <c r="R492" s="12" t="s">
        <v>36</v>
      </c>
      <c r="S492" s="10" t="n">
        <v>1130101</v>
      </c>
      <c r="T492" s="12" t="s">
        <v>37</v>
      </c>
      <c r="U492" s="13" t="n">
        <v>914.42</v>
      </c>
      <c r="W492" s="13" t="n">
        <v>0</v>
      </c>
      <c r="X492" s="12" t="s">
        <v>624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0" t="n">
        <v>3</v>
      </c>
      <c r="B493" s="11" t="n">
        <v>46207</v>
      </c>
      <c r="C493" s="11" t="n">
        <v>46220</v>
      </c>
      <c r="D493" s="10" t="n">
        <v>1723</v>
      </c>
      <c r="E493" s="12" t="s">
        <v>54</v>
      </c>
      <c r="F493" s="10" t="n">
        <v>24</v>
      </c>
      <c r="G493" s="12" t="s">
        <v>31</v>
      </c>
      <c r="H493" s="10" t="n">
        <v>2110101</v>
      </c>
      <c r="I493" s="12" t="s">
        <v>32</v>
      </c>
      <c r="J493" s="10" t="n">
        <v>1361191</v>
      </c>
      <c r="L493" s="10" t="n">
        <v>55480</v>
      </c>
      <c r="M493" s="12" t="s">
        <v>33</v>
      </c>
      <c r="N493" s="12" t="s">
        <v>34</v>
      </c>
      <c r="P493" s="10" t="n">
        <v>167</v>
      </c>
      <c r="Q493" s="12" t="s">
        <v>220</v>
      </c>
      <c r="R493" s="12" t="s">
        <v>36</v>
      </c>
      <c r="S493" s="10" t="n">
        <v>1130101</v>
      </c>
      <c r="T493" s="12" t="s">
        <v>37</v>
      </c>
      <c r="U493" s="13" t="n">
        <v>5232.9</v>
      </c>
      <c r="W493" s="13" t="n">
        <v>0</v>
      </c>
      <c r="X493" s="12" t="s">
        <v>625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0" t="n">
        <v>3</v>
      </c>
      <c r="B494" s="11" t="n">
        <v>46207</v>
      </c>
      <c r="C494" s="11" t="n">
        <v>46220</v>
      </c>
      <c r="D494" s="10" t="n">
        <v>1723</v>
      </c>
      <c r="E494" s="12" t="s">
        <v>54</v>
      </c>
      <c r="F494" s="10" t="n">
        <v>24</v>
      </c>
      <c r="G494" s="12" t="s">
        <v>31</v>
      </c>
      <c r="H494" s="10" t="n">
        <v>2110101</v>
      </c>
      <c r="I494" s="12" t="s">
        <v>32</v>
      </c>
      <c r="J494" s="10" t="n">
        <v>1361355</v>
      </c>
      <c r="L494" s="10" t="n">
        <v>55581</v>
      </c>
      <c r="M494" s="12" t="s">
        <v>33</v>
      </c>
      <c r="N494" s="12" t="s">
        <v>34</v>
      </c>
      <c r="P494" s="10" t="n">
        <v>167</v>
      </c>
      <c r="Q494" s="12" t="s">
        <v>220</v>
      </c>
      <c r="R494" s="12" t="s">
        <v>36</v>
      </c>
      <c r="S494" s="10" t="n">
        <v>1130101</v>
      </c>
      <c r="T494" s="12" t="s">
        <v>37</v>
      </c>
      <c r="U494" s="13" t="n">
        <v>1151.7</v>
      </c>
      <c r="W494" s="13" t="n">
        <v>0</v>
      </c>
      <c r="X494" s="12" t="s">
        <v>626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27.75" hidden="false" customHeight="true" outlineLevel="0" collapsed="false">
      <c r="A495" s="10" t="n">
        <v>3</v>
      </c>
      <c r="B495" s="11" t="n">
        <v>46210</v>
      </c>
      <c r="C495" s="11" t="n">
        <v>46220</v>
      </c>
      <c r="D495" s="10" t="n">
        <v>1024</v>
      </c>
      <c r="E495" s="12" t="s">
        <v>278</v>
      </c>
      <c r="F495" s="10" t="n">
        <v>24</v>
      </c>
      <c r="G495" s="12" t="s">
        <v>31</v>
      </c>
      <c r="H495" s="10" t="n">
        <v>2110101</v>
      </c>
      <c r="I495" s="12" t="s">
        <v>32</v>
      </c>
      <c r="J495" s="10" t="n">
        <v>1364926</v>
      </c>
      <c r="L495" s="10" t="n">
        <v>598141</v>
      </c>
      <c r="M495" s="12" t="s">
        <v>33</v>
      </c>
      <c r="N495" s="12" t="s">
        <v>40</v>
      </c>
      <c r="P495" s="10" t="n">
        <v>167</v>
      </c>
      <c r="Q495" s="12" t="s">
        <v>220</v>
      </c>
      <c r="R495" s="12" t="s">
        <v>36</v>
      </c>
      <c r="S495" s="10" t="n">
        <v>1130101</v>
      </c>
      <c r="T495" s="12" t="s">
        <v>37</v>
      </c>
      <c r="U495" s="13" t="n">
        <v>309.25</v>
      </c>
      <c r="W495" s="13" t="n">
        <v>0</v>
      </c>
      <c r="X495" s="12" t="s">
        <v>627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27.75" hidden="false" customHeight="true" outlineLevel="0" collapsed="false">
      <c r="A496" s="10" t="n">
        <v>3</v>
      </c>
      <c r="B496" s="11" t="n">
        <v>46211</v>
      </c>
      <c r="C496" s="11" t="n">
        <v>46220</v>
      </c>
      <c r="D496" s="10" t="n">
        <v>42</v>
      </c>
      <c r="E496" s="12" t="s">
        <v>106</v>
      </c>
      <c r="F496" s="10" t="n">
        <v>34</v>
      </c>
      <c r="G496" s="12" t="s">
        <v>58</v>
      </c>
      <c r="H496" s="10" t="n">
        <v>2110101</v>
      </c>
      <c r="I496" s="12" t="s">
        <v>32</v>
      </c>
      <c r="J496" s="10" t="n">
        <v>1369076</v>
      </c>
      <c r="L496" s="10" t="n">
        <v>4362</v>
      </c>
      <c r="M496" s="12" t="s">
        <v>33</v>
      </c>
      <c r="N496" s="12" t="s">
        <v>40</v>
      </c>
      <c r="P496" s="10" t="n">
        <v>167</v>
      </c>
      <c r="Q496" s="12" t="s">
        <v>220</v>
      </c>
      <c r="R496" s="12" t="s">
        <v>36</v>
      </c>
      <c r="S496" s="10" t="n">
        <v>1130101</v>
      </c>
      <c r="T496" s="12" t="s">
        <v>37</v>
      </c>
      <c r="U496" s="13" t="n">
        <v>600</v>
      </c>
      <c r="W496" s="13" t="n">
        <v>0</v>
      </c>
      <c r="X496" s="12" t="s">
        <v>628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</row>
    <row r="497" customFormat="false" ht="27.75" hidden="false" customHeight="true" outlineLevel="0" collapsed="false">
      <c r="A497" s="10" t="n">
        <v>3</v>
      </c>
      <c r="B497" s="11" t="n">
        <v>46211</v>
      </c>
      <c r="C497" s="11" t="n">
        <v>46220</v>
      </c>
      <c r="D497" s="10" t="n">
        <v>1378</v>
      </c>
      <c r="E497" s="12" t="s">
        <v>119</v>
      </c>
      <c r="F497" s="10" t="n">
        <v>24</v>
      </c>
      <c r="G497" s="12" t="s">
        <v>31</v>
      </c>
      <c r="H497" s="10" t="n">
        <v>2110101</v>
      </c>
      <c r="I497" s="12" t="s">
        <v>32</v>
      </c>
      <c r="J497" s="10" t="n">
        <v>1369267</v>
      </c>
      <c r="L497" s="10" t="n">
        <v>18119</v>
      </c>
      <c r="M497" s="12" t="s">
        <v>33</v>
      </c>
      <c r="N497" s="12" t="s">
        <v>40</v>
      </c>
      <c r="P497" s="10" t="n">
        <v>167</v>
      </c>
      <c r="Q497" s="12" t="s">
        <v>220</v>
      </c>
      <c r="R497" s="12" t="s">
        <v>36</v>
      </c>
      <c r="S497" s="10" t="n">
        <v>1130101</v>
      </c>
      <c r="T497" s="12" t="s">
        <v>37</v>
      </c>
      <c r="U497" s="13" t="n">
        <v>259</v>
      </c>
      <c r="W497" s="13" t="n">
        <v>0</v>
      </c>
      <c r="X497" s="12" t="s">
        <v>629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0" t="n">
        <v>3</v>
      </c>
      <c r="B498" s="11" t="n">
        <v>46211</v>
      </c>
      <c r="C498" s="11" t="n">
        <v>46220</v>
      </c>
      <c r="D498" s="10" t="n">
        <v>447</v>
      </c>
      <c r="E498" s="12" t="s">
        <v>630</v>
      </c>
      <c r="F498" s="10" t="n">
        <v>24</v>
      </c>
      <c r="G498" s="12" t="s">
        <v>31</v>
      </c>
      <c r="H498" s="10" t="n">
        <v>1110204</v>
      </c>
      <c r="I498" s="12" t="s">
        <v>177</v>
      </c>
      <c r="J498" s="10" t="n">
        <v>1370645</v>
      </c>
      <c r="L498" s="10" t="n">
        <v>213881</v>
      </c>
      <c r="M498" s="12" t="s">
        <v>33</v>
      </c>
      <c r="N498" s="12" t="s">
        <v>34</v>
      </c>
      <c r="P498" s="10" t="n">
        <v>101</v>
      </c>
      <c r="Q498" s="12" t="s">
        <v>136</v>
      </c>
      <c r="R498" s="12" t="s">
        <v>137</v>
      </c>
      <c r="S498" s="10" t="n">
        <v>4210315</v>
      </c>
      <c r="T498" s="12" t="s">
        <v>182</v>
      </c>
      <c r="U498" s="13" t="n">
        <v>163.16</v>
      </c>
      <c r="W498" s="13" t="n">
        <v>0</v>
      </c>
      <c r="X498" s="12" t="s">
        <v>631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27.75" hidden="false" customHeight="true" outlineLevel="0" collapsed="false">
      <c r="A499" s="10" t="n">
        <v>3</v>
      </c>
      <c r="B499" s="11" t="n">
        <v>46211</v>
      </c>
      <c r="C499" s="11" t="n">
        <v>46220</v>
      </c>
      <c r="D499" s="10" t="n">
        <v>33</v>
      </c>
      <c r="E499" s="12" t="s">
        <v>297</v>
      </c>
      <c r="F499" s="10" t="n">
        <v>34</v>
      </c>
      <c r="G499" s="12" t="s">
        <v>58</v>
      </c>
      <c r="H499" s="10" t="n">
        <v>2110405</v>
      </c>
      <c r="I499" s="12" t="s">
        <v>63</v>
      </c>
      <c r="J499" s="10" t="n">
        <v>1370731</v>
      </c>
      <c r="L499" s="10" t="n">
        <v>213889</v>
      </c>
      <c r="M499" s="12" t="s">
        <v>33</v>
      </c>
      <c r="N499" s="12" t="s">
        <v>34</v>
      </c>
      <c r="P499" s="10" t="n">
        <v>101</v>
      </c>
      <c r="Q499" s="12" t="s">
        <v>136</v>
      </c>
      <c r="R499" s="12" t="s">
        <v>64</v>
      </c>
      <c r="S499" s="10" t="n">
        <v>4210222</v>
      </c>
      <c r="T499" s="12" t="s">
        <v>632</v>
      </c>
      <c r="U499" s="13" t="n">
        <v>666.67</v>
      </c>
      <c r="W499" s="13" t="n">
        <v>0</v>
      </c>
      <c r="X499" s="12" t="s">
        <v>633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</row>
    <row r="500" customFormat="false" ht="27.75" hidden="false" customHeight="true" outlineLevel="0" collapsed="false">
      <c r="A500" s="10" t="n">
        <v>3</v>
      </c>
      <c r="B500" s="11" t="n">
        <v>46211</v>
      </c>
      <c r="C500" s="11" t="n">
        <v>46220</v>
      </c>
      <c r="D500" s="10" t="n">
        <v>1705</v>
      </c>
      <c r="E500" s="12" t="s">
        <v>252</v>
      </c>
      <c r="F500" s="10" t="n">
        <v>24</v>
      </c>
      <c r="G500" s="12" t="s">
        <v>31</v>
      </c>
      <c r="H500" s="10" t="n">
        <v>2110101</v>
      </c>
      <c r="I500" s="12" t="s">
        <v>32</v>
      </c>
      <c r="J500" s="10" t="n">
        <v>1373677</v>
      </c>
      <c r="L500" s="10" t="n">
        <v>11931787</v>
      </c>
      <c r="M500" s="12" t="s">
        <v>33</v>
      </c>
      <c r="N500" s="12" t="s">
        <v>34</v>
      </c>
      <c r="P500" s="10" t="n">
        <v>167</v>
      </c>
      <c r="Q500" s="12" t="s">
        <v>220</v>
      </c>
      <c r="R500" s="12" t="s">
        <v>36</v>
      </c>
      <c r="S500" s="10" t="n">
        <v>1130101</v>
      </c>
      <c r="T500" s="12" t="s">
        <v>37</v>
      </c>
      <c r="U500" s="13" t="n">
        <v>806.21</v>
      </c>
      <c r="W500" s="13" t="n">
        <v>0</v>
      </c>
      <c r="X500" s="12" t="s">
        <v>634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3</v>
      </c>
      <c r="B501" s="11" t="n">
        <v>46211</v>
      </c>
      <c r="C501" s="11" t="n">
        <v>46220</v>
      </c>
      <c r="D501" s="10" t="n">
        <v>1705</v>
      </c>
      <c r="E501" s="12" t="s">
        <v>252</v>
      </c>
      <c r="F501" s="10" t="n">
        <v>24</v>
      </c>
      <c r="G501" s="12" t="s">
        <v>31</v>
      </c>
      <c r="H501" s="10" t="n">
        <v>2110101</v>
      </c>
      <c r="I501" s="12" t="s">
        <v>32</v>
      </c>
      <c r="J501" s="10" t="n">
        <v>1373681</v>
      </c>
      <c r="L501" s="10" t="n">
        <v>11931537</v>
      </c>
      <c r="M501" s="12" t="s">
        <v>33</v>
      </c>
      <c r="N501" s="12" t="s">
        <v>34</v>
      </c>
      <c r="P501" s="10" t="n">
        <v>167</v>
      </c>
      <c r="Q501" s="12" t="s">
        <v>220</v>
      </c>
      <c r="R501" s="12" t="s">
        <v>36</v>
      </c>
      <c r="S501" s="10" t="n">
        <v>1130101</v>
      </c>
      <c r="T501" s="12" t="s">
        <v>37</v>
      </c>
      <c r="U501" s="13" t="n">
        <v>82.27</v>
      </c>
      <c r="W501" s="13" t="n">
        <v>0</v>
      </c>
      <c r="X501" s="12" t="s">
        <v>635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3</v>
      </c>
      <c r="B502" s="11" t="n">
        <v>46211</v>
      </c>
      <c r="C502" s="11" t="n">
        <v>46220</v>
      </c>
      <c r="D502" s="10" t="n">
        <v>1705</v>
      </c>
      <c r="E502" s="12" t="s">
        <v>252</v>
      </c>
      <c r="F502" s="10" t="n">
        <v>24</v>
      </c>
      <c r="G502" s="12" t="s">
        <v>31</v>
      </c>
      <c r="H502" s="10" t="n">
        <v>2110101</v>
      </c>
      <c r="I502" s="12" t="s">
        <v>32</v>
      </c>
      <c r="J502" s="10" t="n">
        <v>1373691</v>
      </c>
      <c r="L502" s="10" t="n">
        <v>11931797</v>
      </c>
      <c r="M502" s="12" t="s">
        <v>33</v>
      </c>
      <c r="N502" s="12" t="s">
        <v>34</v>
      </c>
      <c r="P502" s="10" t="n">
        <v>167</v>
      </c>
      <c r="Q502" s="12" t="s">
        <v>220</v>
      </c>
      <c r="R502" s="12" t="s">
        <v>36</v>
      </c>
      <c r="S502" s="10" t="n">
        <v>1130101</v>
      </c>
      <c r="T502" s="12" t="s">
        <v>37</v>
      </c>
      <c r="U502" s="13" t="n">
        <v>510.87</v>
      </c>
      <c r="W502" s="13" t="n">
        <v>0</v>
      </c>
      <c r="X502" s="12" t="s">
        <v>636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3</v>
      </c>
      <c r="B503" s="11" t="n">
        <v>46211</v>
      </c>
      <c r="C503" s="11" t="n">
        <v>46220</v>
      </c>
      <c r="D503" s="10" t="n">
        <v>1705</v>
      </c>
      <c r="E503" s="12" t="s">
        <v>252</v>
      </c>
      <c r="F503" s="10" t="n">
        <v>24</v>
      </c>
      <c r="G503" s="12" t="s">
        <v>31</v>
      </c>
      <c r="H503" s="10" t="n">
        <v>2110101</v>
      </c>
      <c r="I503" s="12" t="s">
        <v>32</v>
      </c>
      <c r="J503" s="10" t="n">
        <v>1373699</v>
      </c>
      <c r="L503" s="10" t="n">
        <v>1924041</v>
      </c>
      <c r="M503" s="12" t="s">
        <v>33</v>
      </c>
      <c r="N503" s="12" t="s">
        <v>34</v>
      </c>
      <c r="P503" s="10" t="n">
        <v>167</v>
      </c>
      <c r="Q503" s="12" t="s">
        <v>220</v>
      </c>
      <c r="R503" s="12" t="s">
        <v>36</v>
      </c>
      <c r="S503" s="10" t="n">
        <v>1130101</v>
      </c>
      <c r="T503" s="12" t="s">
        <v>37</v>
      </c>
      <c r="U503" s="13" t="n">
        <v>4501.19</v>
      </c>
      <c r="W503" s="13" t="n">
        <v>0</v>
      </c>
      <c r="X503" s="12" t="s">
        <v>637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54.75" hidden="false" customHeight="true" outlineLevel="0" collapsed="false">
      <c r="A504" s="10" t="n">
        <v>3</v>
      </c>
      <c r="B504" s="11" t="n">
        <v>46211</v>
      </c>
      <c r="C504" s="11" t="n">
        <v>46220</v>
      </c>
      <c r="D504" s="10" t="n">
        <v>1705</v>
      </c>
      <c r="E504" s="12" t="s">
        <v>252</v>
      </c>
      <c r="F504" s="10" t="n">
        <v>24</v>
      </c>
      <c r="G504" s="12" t="s">
        <v>31</v>
      </c>
      <c r="H504" s="10" t="n">
        <v>2110101</v>
      </c>
      <c r="I504" s="12" t="s">
        <v>32</v>
      </c>
      <c r="J504" s="10" t="n">
        <v>1373702</v>
      </c>
      <c r="L504" s="10" t="n">
        <v>11931757</v>
      </c>
      <c r="M504" s="12" t="s">
        <v>33</v>
      </c>
      <c r="N504" s="12" t="s">
        <v>34</v>
      </c>
      <c r="P504" s="10" t="n">
        <v>167</v>
      </c>
      <c r="Q504" s="12" t="s">
        <v>220</v>
      </c>
      <c r="R504" s="12" t="s">
        <v>36</v>
      </c>
      <c r="S504" s="10" t="n">
        <v>1130101</v>
      </c>
      <c r="T504" s="12" t="s">
        <v>37</v>
      </c>
      <c r="U504" s="13" t="n">
        <v>653.29</v>
      </c>
      <c r="W504" s="13" t="n">
        <v>0</v>
      </c>
      <c r="X504" s="12" t="s">
        <v>638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54.75" hidden="false" customHeight="true" outlineLevel="0" collapsed="false">
      <c r="A505" s="10" t="n">
        <v>3</v>
      </c>
      <c r="B505" s="11" t="n">
        <v>46212</v>
      </c>
      <c r="C505" s="11" t="n">
        <v>46220</v>
      </c>
      <c r="D505" s="10" t="n">
        <v>1722</v>
      </c>
      <c r="E505" s="12" t="s">
        <v>469</v>
      </c>
      <c r="F505" s="10" t="n">
        <v>24</v>
      </c>
      <c r="G505" s="12" t="s">
        <v>31</v>
      </c>
      <c r="H505" s="10" t="n">
        <v>2110101</v>
      </c>
      <c r="I505" s="12" t="s">
        <v>32</v>
      </c>
      <c r="J505" s="10" t="n">
        <v>1373711</v>
      </c>
      <c r="L505" s="10" t="n">
        <v>6756</v>
      </c>
      <c r="M505" s="12" t="s">
        <v>33</v>
      </c>
      <c r="N505" s="12" t="s">
        <v>40</v>
      </c>
      <c r="P505" s="10" t="n">
        <v>167</v>
      </c>
      <c r="Q505" s="12" t="s">
        <v>220</v>
      </c>
      <c r="R505" s="12" t="s">
        <v>36</v>
      </c>
      <c r="S505" s="10" t="n">
        <v>1130101</v>
      </c>
      <c r="T505" s="12" t="s">
        <v>37</v>
      </c>
      <c r="U505" s="13" t="n">
        <v>199</v>
      </c>
      <c r="W505" s="13" t="n">
        <v>0</v>
      </c>
      <c r="X505" s="12" t="s">
        <v>639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3</v>
      </c>
      <c r="B506" s="11" t="n">
        <v>46210</v>
      </c>
      <c r="C506" s="11" t="n">
        <v>46220</v>
      </c>
      <c r="D506" s="10" t="n">
        <v>1734</v>
      </c>
      <c r="E506" s="12" t="s">
        <v>214</v>
      </c>
      <c r="F506" s="10" t="n">
        <v>24</v>
      </c>
      <c r="G506" s="12" t="s">
        <v>31</v>
      </c>
      <c r="H506" s="10" t="n">
        <v>2110101</v>
      </c>
      <c r="I506" s="12" t="s">
        <v>32</v>
      </c>
      <c r="J506" s="10" t="n">
        <v>1373718</v>
      </c>
      <c r="L506" s="10" t="n">
        <v>2550091</v>
      </c>
      <c r="M506" s="12" t="s">
        <v>33</v>
      </c>
      <c r="N506" s="12" t="s">
        <v>34</v>
      </c>
      <c r="P506" s="10" t="n">
        <v>167</v>
      </c>
      <c r="Q506" s="12" t="s">
        <v>220</v>
      </c>
      <c r="R506" s="12" t="s">
        <v>36</v>
      </c>
      <c r="S506" s="10" t="n">
        <v>1130101</v>
      </c>
      <c r="T506" s="12" t="s">
        <v>37</v>
      </c>
      <c r="U506" s="13" t="n">
        <v>439</v>
      </c>
      <c r="W506" s="13" t="n">
        <v>0</v>
      </c>
      <c r="X506" s="12" t="s">
        <v>640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3</v>
      </c>
      <c r="B507" s="11" t="n">
        <v>46212</v>
      </c>
      <c r="C507" s="11" t="n">
        <v>46220</v>
      </c>
      <c r="D507" s="10" t="n">
        <v>1642</v>
      </c>
      <c r="E507" s="12" t="s">
        <v>48</v>
      </c>
      <c r="F507" s="10" t="n">
        <v>24</v>
      </c>
      <c r="G507" s="12" t="s">
        <v>31</v>
      </c>
      <c r="H507" s="10" t="n">
        <v>2110101</v>
      </c>
      <c r="I507" s="12" t="s">
        <v>32</v>
      </c>
      <c r="J507" s="10" t="n">
        <v>1373741</v>
      </c>
      <c r="L507" s="10" t="n">
        <v>1031024</v>
      </c>
      <c r="M507" s="12" t="s">
        <v>33</v>
      </c>
      <c r="N507" s="12" t="s">
        <v>40</v>
      </c>
      <c r="P507" s="10" t="n">
        <v>167</v>
      </c>
      <c r="Q507" s="12" t="s">
        <v>220</v>
      </c>
      <c r="R507" s="12" t="s">
        <v>36</v>
      </c>
      <c r="S507" s="10" t="n">
        <v>1130101</v>
      </c>
      <c r="T507" s="12" t="s">
        <v>37</v>
      </c>
      <c r="U507" s="13" t="n">
        <v>501.3</v>
      </c>
      <c r="W507" s="13" t="n">
        <v>0</v>
      </c>
      <c r="X507" s="12" t="s">
        <v>641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3</v>
      </c>
      <c r="B508" s="11" t="n">
        <v>46211</v>
      </c>
      <c r="C508" s="11" t="n">
        <v>46220</v>
      </c>
      <c r="D508" s="10" t="n">
        <v>1916</v>
      </c>
      <c r="E508" s="12" t="s">
        <v>384</v>
      </c>
      <c r="F508" s="10" t="n">
        <v>24</v>
      </c>
      <c r="G508" s="12" t="s">
        <v>31</v>
      </c>
      <c r="H508" s="10" t="n">
        <v>2110101</v>
      </c>
      <c r="I508" s="12" t="s">
        <v>32</v>
      </c>
      <c r="J508" s="10" t="n">
        <v>1373762</v>
      </c>
      <c r="L508" s="10" t="n">
        <v>397131</v>
      </c>
      <c r="M508" s="12" t="s">
        <v>33</v>
      </c>
      <c r="N508" s="12" t="s">
        <v>34</v>
      </c>
      <c r="P508" s="10" t="n">
        <v>167</v>
      </c>
      <c r="Q508" s="12" t="s">
        <v>220</v>
      </c>
      <c r="R508" s="12" t="s">
        <v>36</v>
      </c>
      <c r="S508" s="10" t="n">
        <v>1130101</v>
      </c>
      <c r="T508" s="12" t="s">
        <v>37</v>
      </c>
      <c r="U508" s="13" t="n">
        <v>1100</v>
      </c>
      <c r="W508" s="13" t="n">
        <v>0</v>
      </c>
      <c r="X508" s="12" t="s">
        <v>642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36.75" hidden="false" customHeight="true" outlineLevel="0" collapsed="false">
      <c r="A509" s="10" t="n">
        <v>3</v>
      </c>
      <c r="B509" s="11" t="n">
        <v>46210</v>
      </c>
      <c r="C509" s="11" t="n">
        <v>46220</v>
      </c>
      <c r="D509" s="10" t="n">
        <v>1723</v>
      </c>
      <c r="E509" s="12" t="s">
        <v>54</v>
      </c>
      <c r="F509" s="10" t="n">
        <v>24</v>
      </c>
      <c r="G509" s="12" t="s">
        <v>31</v>
      </c>
      <c r="H509" s="10" t="n">
        <v>2110101</v>
      </c>
      <c r="I509" s="12" t="s">
        <v>32</v>
      </c>
      <c r="J509" s="10" t="n">
        <v>1374696</v>
      </c>
      <c r="L509" s="10" t="n">
        <v>55725</v>
      </c>
      <c r="M509" s="12" t="s">
        <v>33</v>
      </c>
      <c r="N509" s="12" t="s">
        <v>34</v>
      </c>
      <c r="P509" s="10" t="n">
        <v>167</v>
      </c>
      <c r="Q509" s="12" t="s">
        <v>220</v>
      </c>
      <c r="R509" s="12" t="s">
        <v>36</v>
      </c>
      <c r="S509" s="10" t="n">
        <v>1130101</v>
      </c>
      <c r="T509" s="12" t="s">
        <v>37</v>
      </c>
      <c r="U509" s="13" t="n">
        <v>2772</v>
      </c>
      <c r="W509" s="13" t="n">
        <v>0</v>
      </c>
      <c r="X509" s="12" t="s">
        <v>643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45.75" hidden="false" customHeight="true" outlineLevel="0" collapsed="false">
      <c r="A510" s="10" t="n">
        <v>3</v>
      </c>
      <c r="B510" s="11" t="n">
        <v>46211</v>
      </c>
      <c r="C510" s="11" t="n">
        <v>46220</v>
      </c>
      <c r="D510" s="10" t="n">
        <v>489</v>
      </c>
      <c r="E510" s="12" t="s">
        <v>393</v>
      </c>
      <c r="F510" s="10" t="n">
        <v>34</v>
      </c>
      <c r="G510" s="12" t="s">
        <v>58</v>
      </c>
      <c r="H510" s="10" t="n">
        <v>2110101</v>
      </c>
      <c r="I510" s="12" t="s">
        <v>32</v>
      </c>
      <c r="J510" s="10" t="n">
        <v>1374755</v>
      </c>
      <c r="L510" s="10" t="n">
        <v>214466</v>
      </c>
      <c r="M510" s="12" t="s">
        <v>33</v>
      </c>
      <c r="N510" s="12" t="s">
        <v>34</v>
      </c>
      <c r="P510" s="10" t="n">
        <v>167</v>
      </c>
      <c r="Q510" s="12" t="s">
        <v>220</v>
      </c>
      <c r="R510" s="12" t="s">
        <v>36</v>
      </c>
      <c r="S510" s="10" t="n">
        <v>1130101</v>
      </c>
      <c r="T510" s="12" t="s">
        <v>37</v>
      </c>
      <c r="U510" s="13" t="n">
        <v>440</v>
      </c>
      <c r="W510" s="13" t="n">
        <v>0</v>
      </c>
      <c r="X510" s="12" t="s">
        <v>644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54.75" hidden="false" customHeight="true" outlineLevel="0" collapsed="false">
      <c r="A511" s="10" t="n">
        <v>3</v>
      </c>
      <c r="B511" s="11" t="n">
        <v>46212</v>
      </c>
      <c r="C511" s="11" t="n">
        <v>46220</v>
      </c>
      <c r="D511" s="10" t="n">
        <v>1457</v>
      </c>
      <c r="E511" s="12" t="s">
        <v>39</v>
      </c>
      <c r="F511" s="10" t="n">
        <v>24</v>
      </c>
      <c r="G511" s="12" t="s">
        <v>31</v>
      </c>
      <c r="H511" s="10" t="n">
        <v>2110101</v>
      </c>
      <c r="I511" s="12" t="s">
        <v>32</v>
      </c>
      <c r="J511" s="10" t="n">
        <v>1374789</v>
      </c>
      <c r="L511" s="10" t="n">
        <v>12783</v>
      </c>
      <c r="M511" s="12" t="s">
        <v>33</v>
      </c>
      <c r="N511" s="12" t="s">
        <v>40</v>
      </c>
      <c r="P511" s="10" t="n">
        <v>167</v>
      </c>
      <c r="Q511" s="12" t="s">
        <v>220</v>
      </c>
      <c r="R511" s="12" t="s">
        <v>36</v>
      </c>
      <c r="S511" s="10" t="n">
        <v>1130101</v>
      </c>
      <c r="T511" s="12" t="s">
        <v>37</v>
      </c>
      <c r="U511" s="13" t="n">
        <v>173.66</v>
      </c>
      <c r="W511" s="13" t="n">
        <v>0</v>
      </c>
      <c r="X511" s="12" t="s">
        <v>645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3</v>
      </c>
      <c r="B512" s="11" t="n">
        <v>46211</v>
      </c>
      <c r="C512" s="11" t="n">
        <v>46220</v>
      </c>
      <c r="D512" s="10" t="n">
        <v>1605</v>
      </c>
      <c r="E512" s="12" t="s">
        <v>114</v>
      </c>
      <c r="F512" s="10" t="n">
        <v>24</v>
      </c>
      <c r="G512" s="12" t="s">
        <v>31</v>
      </c>
      <c r="H512" s="10" t="n">
        <v>2110101</v>
      </c>
      <c r="I512" s="12" t="s">
        <v>32</v>
      </c>
      <c r="J512" s="10" t="n">
        <v>1374947</v>
      </c>
      <c r="L512" s="10" t="n">
        <v>2178641</v>
      </c>
      <c r="M512" s="12" t="s">
        <v>33</v>
      </c>
      <c r="N512" s="12" t="s">
        <v>34</v>
      </c>
      <c r="P512" s="10" t="n">
        <v>167</v>
      </c>
      <c r="Q512" s="12" t="s">
        <v>220</v>
      </c>
      <c r="R512" s="12" t="s">
        <v>36</v>
      </c>
      <c r="S512" s="10" t="n">
        <v>1130101</v>
      </c>
      <c r="T512" s="12" t="s">
        <v>37</v>
      </c>
      <c r="U512" s="13" t="n">
        <v>357.27</v>
      </c>
      <c r="W512" s="13" t="n">
        <v>0</v>
      </c>
      <c r="X512" s="12" t="s">
        <v>646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3</v>
      </c>
      <c r="B513" s="11" t="n">
        <v>46212</v>
      </c>
      <c r="C513" s="11" t="n">
        <v>46220</v>
      </c>
      <c r="D513" s="10" t="n">
        <v>10038</v>
      </c>
      <c r="E513" s="12" t="s">
        <v>44</v>
      </c>
      <c r="F513" s="10" t="n">
        <v>24</v>
      </c>
      <c r="G513" s="12" t="s">
        <v>31</v>
      </c>
      <c r="H513" s="10" t="n">
        <v>2110101</v>
      </c>
      <c r="I513" s="12" t="s">
        <v>32</v>
      </c>
      <c r="J513" s="10" t="n">
        <v>1375284</v>
      </c>
      <c r="L513" s="10" t="n">
        <v>214515</v>
      </c>
      <c r="M513" s="12" t="s">
        <v>33</v>
      </c>
      <c r="N513" s="12" t="s">
        <v>34</v>
      </c>
      <c r="P513" s="10" t="n">
        <v>167</v>
      </c>
      <c r="Q513" s="12" t="s">
        <v>220</v>
      </c>
      <c r="R513" s="12" t="s">
        <v>36</v>
      </c>
      <c r="S513" s="10" t="n">
        <v>1130101</v>
      </c>
      <c r="T513" s="12" t="s">
        <v>37</v>
      </c>
      <c r="U513" s="13" t="n">
        <v>368</v>
      </c>
      <c r="W513" s="13" t="n">
        <v>0</v>
      </c>
      <c r="X513" s="12" t="s">
        <v>647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3</v>
      </c>
      <c r="B514" s="11" t="n">
        <v>46213</v>
      </c>
      <c r="C514" s="11" t="n">
        <v>46220</v>
      </c>
      <c r="D514" s="10" t="n">
        <v>10063</v>
      </c>
      <c r="E514" s="12" t="s">
        <v>76</v>
      </c>
      <c r="F514" s="10" t="n">
        <v>24</v>
      </c>
      <c r="G514" s="12" t="s">
        <v>31</v>
      </c>
      <c r="H514" s="10" t="n">
        <v>2110101</v>
      </c>
      <c r="I514" s="12" t="s">
        <v>32</v>
      </c>
      <c r="J514" s="10" t="n">
        <v>1376524</v>
      </c>
      <c r="L514" s="10" t="n">
        <v>2459</v>
      </c>
      <c r="M514" s="12" t="s">
        <v>33</v>
      </c>
      <c r="N514" s="12" t="s">
        <v>40</v>
      </c>
      <c r="P514" s="10" t="n">
        <v>167</v>
      </c>
      <c r="Q514" s="12" t="s">
        <v>220</v>
      </c>
      <c r="R514" s="12" t="s">
        <v>36</v>
      </c>
      <c r="S514" s="10" t="n">
        <v>1130101</v>
      </c>
      <c r="T514" s="12" t="s">
        <v>37</v>
      </c>
      <c r="U514" s="13" t="n">
        <v>1815</v>
      </c>
      <c r="W514" s="13" t="n">
        <v>0</v>
      </c>
      <c r="X514" s="12" t="s">
        <v>648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3</v>
      </c>
      <c r="B515" s="11" t="n">
        <v>46213</v>
      </c>
      <c r="C515" s="11" t="n">
        <v>46220</v>
      </c>
      <c r="D515" s="10" t="n">
        <v>1828</v>
      </c>
      <c r="E515" s="12" t="s">
        <v>52</v>
      </c>
      <c r="F515" s="10" t="n">
        <v>24</v>
      </c>
      <c r="G515" s="12" t="s">
        <v>31</v>
      </c>
      <c r="H515" s="10" t="n">
        <v>2110101</v>
      </c>
      <c r="I515" s="12" t="s">
        <v>32</v>
      </c>
      <c r="J515" s="10" t="n">
        <v>1376572</v>
      </c>
      <c r="L515" s="10" t="n">
        <v>1378</v>
      </c>
      <c r="M515" s="12" t="s">
        <v>33</v>
      </c>
      <c r="N515" s="12" t="s">
        <v>40</v>
      </c>
      <c r="P515" s="10" t="n">
        <v>167</v>
      </c>
      <c r="Q515" s="12" t="s">
        <v>220</v>
      </c>
      <c r="R515" s="12" t="s">
        <v>36</v>
      </c>
      <c r="S515" s="10" t="n">
        <v>1130101</v>
      </c>
      <c r="T515" s="12" t="s">
        <v>37</v>
      </c>
      <c r="U515" s="13" t="n">
        <v>700.4</v>
      </c>
      <c r="W515" s="13" t="n">
        <v>0</v>
      </c>
      <c r="X515" s="12" t="s">
        <v>649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45.75" hidden="false" customHeight="true" outlineLevel="0" collapsed="false">
      <c r="A516" s="10" t="n">
        <v>3</v>
      </c>
      <c r="B516" s="11" t="n">
        <v>46213</v>
      </c>
      <c r="C516" s="11" t="n">
        <v>46220</v>
      </c>
      <c r="D516" s="10" t="n">
        <v>1609</v>
      </c>
      <c r="E516" s="12" t="s">
        <v>85</v>
      </c>
      <c r="F516" s="10" t="n">
        <v>24</v>
      </c>
      <c r="G516" s="12" t="s">
        <v>31</v>
      </c>
      <c r="H516" s="10" t="n">
        <v>2110101</v>
      </c>
      <c r="I516" s="12" t="s">
        <v>32</v>
      </c>
      <c r="J516" s="10" t="n">
        <v>1377144</v>
      </c>
      <c r="L516" s="10" t="n">
        <v>5789</v>
      </c>
      <c r="M516" s="12" t="s">
        <v>33</v>
      </c>
      <c r="N516" s="12" t="s">
        <v>40</v>
      </c>
      <c r="P516" s="10" t="n">
        <v>167</v>
      </c>
      <c r="Q516" s="12" t="s">
        <v>220</v>
      </c>
      <c r="R516" s="12" t="s">
        <v>36</v>
      </c>
      <c r="S516" s="10" t="n">
        <v>1130101</v>
      </c>
      <c r="T516" s="12" t="s">
        <v>37</v>
      </c>
      <c r="U516" s="13" t="n">
        <v>859</v>
      </c>
      <c r="W516" s="13" t="n">
        <v>0</v>
      </c>
      <c r="X516" s="12" t="s">
        <v>650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3</v>
      </c>
      <c r="B517" s="11" t="n">
        <v>46212</v>
      </c>
      <c r="C517" s="11" t="n">
        <v>46220</v>
      </c>
      <c r="D517" s="10" t="n">
        <v>1666</v>
      </c>
      <c r="E517" s="12" t="s">
        <v>179</v>
      </c>
      <c r="F517" s="10" t="n">
        <v>24</v>
      </c>
      <c r="G517" s="12" t="s">
        <v>31</v>
      </c>
      <c r="H517" s="10" t="n">
        <v>2110101</v>
      </c>
      <c r="I517" s="12" t="s">
        <v>32</v>
      </c>
      <c r="J517" s="10" t="n">
        <v>1377200</v>
      </c>
      <c r="L517" s="10" t="n">
        <v>5667171</v>
      </c>
      <c r="M517" s="12" t="s">
        <v>33</v>
      </c>
      <c r="N517" s="12" t="s">
        <v>34</v>
      </c>
      <c r="P517" s="10" t="n">
        <v>167</v>
      </c>
      <c r="Q517" s="12" t="s">
        <v>220</v>
      </c>
      <c r="R517" s="12" t="s">
        <v>36</v>
      </c>
      <c r="S517" s="10" t="n">
        <v>1130101</v>
      </c>
      <c r="T517" s="12" t="s">
        <v>37</v>
      </c>
      <c r="U517" s="13" t="n">
        <v>1901.93</v>
      </c>
      <c r="W517" s="13" t="n">
        <v>0</v>
      </c>
      <c r="X517" s="12" t="s">
        <v>651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3</v>
      </c>
      <c r="B518" s="11" t="n">
        <v>46212</v>
      </c>
      <c r="C518" s="11" t="n">
        <v>46220</v>
      </c>
      <c r="D518" s="10" t="n">
        <v>10095</v>
      </c>
      <c r="E518" s="12" t="s">
        <v>652</v>
      </c>
      <c r="F518" s="10" t="n">
        <v>24</v>
      </c>
      <c r="G518" s="12" t="s">
        <v>31</v>
      </c>
      <c r="H518" s="10" t="n">
        <v>2110101</v>
      </c>
      <c r="I518" s="12" t="s">
        <v>32</v>
      </c>
      <c r="J518" s="10" t="n">
        <v>1377332</v>
      </c>
      <c r="L518" s="10" t="n">
        <v>861</v>
      </c>
      <c r="M518" s="12" t="s">
        <v>33</v>
      </c>
      <c r="N518" s="12" t="s">
        <v>34</v>
      </c>
      <c r="P518" s="10" t="n">
        <v>167</v>
      </c>
      <c r="Q518" s="12" t="s">
        <v>220</v>
      </c>
      <c r="R518" s="12" t="s">
        <v>36</v>
      </c>
      <c r="S518" s="10" t="n">
        <v>1130101</v>
      </c>
      <c r="T518" s="12" t="s">
        <v>37</v>
      </c>
      <c r="U518" s="13" t="n">
        <v>210</v>
      </c>
      <c r="W518" s="13" t="n">
        <v>0</v>
      </c>
      <c r="X518" s="12" t="s">
        <v>653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27.75" hidden="false" customHeight="true" outlineLevel="0" collapsed="false">
      <c r="A519" s="10" t="n">
        <v>3</v>
      </c>
      <c r="B519" s="11" t="n">
        <v>46214</v>
      </c>
      <c r="C519" s="11" t="n">
        <v>46220</v>
      </c>
      <c r="D519" s="10" t="n">
        <v>1378</v>
      </c>
      <c r="E519" s="12" t="s">
        <v>119</v>
      </c>
      <c r="F519" s="10" t="n">
        <v>24</v>
      </c>
      <c r="G519" s="12" t="s">
        <v>31</v>
      </c>
      <c r="H519" s="10" t="n">
        <v>2110101</v>
      </c>
      <c r="I519" s="12" t="s">
        <v>32</v>
      </c>
      <c r="J519" s="10" t="n">
        <v>1382154</v>
      </c>
      <c r="L519" s="10" t="n">
        <v>18164</v>
      </c>
      <c r="M519" s="12" t="s">
        <v>33</v>
      </c>
      <c r="N519" s="12" t="s">
        <v>40</v>
      </c>
      <c r="P519" s="10" t="n">
        <v>167</v>
      </c>
      <c r="Q519" s="12" t="s">
        <v>220</v>
      </c>
      <c r="R519" s="12" t="s">
        <v>36</v>
      </c>
      <c r="S519" s="10" t="n">
        <v>1130101</v>
      </c>
      <c r="T519" s="12" t="s">
        <v>37</v>
      </c>
      <c r="U519" s="13" t="n">
        <v>202.4</v>
      </c>
      <c r="W519" s="13" t="n">
        <v>0</v>
      </c>
      <c r="X519" s="12" t="s">
        <v>654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0" t="n">
        <v>3</v>
      </c>
      <c r="B520" s="11" t="n">
        <v>46216</v>
      </c>
      <c r="C520" s="11" t="n">
        <v>46220</v>
      </c>
      <c r="D520" s="10" t="n">
        <v>642</v>
      </c>
      <c r="E520" s="12" t="s">
        <v>343</v>
      </c>
      <c r="F520" s="10" t="n">
        <v>24</v>
      </c>
      <c r="G520" s="12" t="s">
        <v>31</v>
      </c>
      <c r="H520" s="10" t="n">
        <v>2110101</v>
      </c>
      <c r="I520" s="12" t="s">
        <v>32</v>
      </c>
      <c r="J520" s="10" t="n">
        <v>1392368</v>
      </c>
      <c r="L520" s="10" t="n">
        <v>528</v>
      </c>
      <c r="M520" s="12" t="s">
        <v>33</v>
      </c>
      <c r="N520" s="12" t="s">
        <v>40</v>
      </c>
      <c r="P520" s="10" t="n">
        <v>167</v>
      </c>
      <c r="Q520" s="12" t="s">
        <v>220</v>
      </c>
      <c r="R520" s="12" t="s">
        <v>36</v>
      </c>
      <c r="S520" s="10" t="n">
        <v>1130101</v>
      </c>
      <c r="T520" s="12" t="s">
        <v>37</v>
      </c>
      <c r="U520" s="13" t="n">
        <v>300</v>
      </c>
      <c r="W520" s="13" t="n">
        <v>0</v>
      </c>
      <c r="X520" s="12" t="s">
        <v>655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27.75" hidden="false" customHeight="true" outlineLevel="0" collapsed="false">
      <c r="A521" s="10" t="n">
        <v>3</v>
      </c>
      <c r="B521" s="11" t="n">
        <v>46213</v>
      </c>
      <c r="C521" s="11" t="n">
        <v>46220</v>
      </c>
      <c r="D521" s="10" t="n">
        <v>1705</v>
      </c>
      <c r="E521" s="12" t="s">
        <v>252</v>
      </c>
      <c r="F521" s="10" t="n">
        <v>24</v>
      </c>
      <c r="G521" s="12" t="s">
        <v>31</v>
      </c>
      <c r="H521" s="10" t="n">
        <v>1110204</v>
      </c>
      <c r="I521" s="12" t="s">
        <v>177</v>
      </c>
      <c r="J521" s="10" t="n">
        <v>1392401</v>
      </c>
      <c r="L521" s="10" t="n">
        <v>19299855</v>
      </c>
      <c r="M521" s="12" t="s">
        <v>33</v>
      </c>
      <c r="N521" s="12" t="s">
        <v>34</v>
      </c>
      <c r="P521" s="10" t="n">
        <v>167</v>
      </c>
      <c r="Q521" s="12" t="s">
        <v>220</v>
      </c>
      <c r="R521" s="12" t="s">
        <v>36</v>
      </c>
      <c r="S521" s="10" t="n">
        <v>1130101</v>
      </c>
      <c r="T521" s="12" t="s">
        <v>37</v>
      </c>
      <c r="U521" s="13" t="n">
        <v>2686.59</v>
      </c>
      <c r="W521" s="13" t="n">
        <v>0</v>
      </c>
      <c r="X521" s="12" t="s">
        <v>656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27.75" hidden="false" customHeight="true" outlineLevel="0" collapsed="false">
      <c r="A522" s="10" t="n">
        <v>3</v>
      </c>
      <c r="B522" s="11" t="n">
        <v>46217</v>
      </c>
      <c r="C522" s="11" t="n">
        <v>46220</v>
      </c>
      <c r="D522" s="10" t="n">
        <v>42</v>
      </c>
      <c r="E522" s="12" t="s">
        <v>106</v>
      </c>
      <c r="F522" s="10" t="n">
        <v>34</v>
      </c>
      <c r="G522" s="12" t="s">
        <v>58</v>
      </c>
      <c r="H522" s="10" t="n">
        <v>2110101</v>
      </c>
      <c r="I522" s="12" t="s">
        <v>32</v>
      </c>
      <c r="J522" s="10" t="n">
        <v>1397726</v>
      </c>
      <c r="L522" s="10" t="n">
        <v>4383</v>
      </c>
      <c r="M522" s="12" t="s">
        <v>33</v>
      </c>
      <c r="N522" s="12" t="s">
        <v>40</v>
      </c>
      <c r="P522" s="10" t="n">
        <v>167</v>
      </c>
      <c r="Q522" s="12" t="s">
        <v>220</v>
      </c>
      <c r="R522" s="12" t="s">
        <v>36</v>
      </c>
      <c r="S522" s="10" t="n">
        <v>1130101</v>
      </c>
      <c r="T522" s="12" t="s">
        <v>37</v>
      </c>
      <c r="U522" s="13" t="n">
        <v>1738.5</v>
      </c>
      <c r="W522" s="13" t="n">
        <v>0</v>
      </c>
      <c r="X522" s="12" t="s">
        <v>561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27.75" hidden="false" customHeight="true" outlineLevel="0" collapsed="false">
      <c r="A523" s="10" t="n">
        <v>3</v>
      </c>
      <c r="B523" s="11" t="n">
        <v>46217</v>
      </c>
      <c r="C523" s="11" t="n">
        <v>46220</v>
      </c>
      <c r="D523" s="10" t="n">
        <v>1615</v>
      </c>
      <c r="E523" s="12" t="s">
        <v>57</v>
      </c>
      <c r="F523" s="10" t="n">
        <v>34</v>
      </c>
      <c r="G523" s="12" t="s">
        <v>58</v>
      </c>
      <c r="H523" s="10" t="n">
        <v>1110204</v>
      </c>
      <c r="I523" s="12" t="s">
        <v>177</v>
      </c>
      <c r="J523" s="10" t="n">
        <v>1397747</v>
      </c>
      <c r="L523" s="10" t="n">
        <v>14863</v>
      </c>
      <c r="M523" s="12" t="s">
        <v>33</v>
      </c>
      <c r="N523" s="12" t="s">
        <v>34</v>
      </c>
      <c r="P523" s="10" t="n">
        <v>167</v>
      </c>
      <c r="Q523" s="12" t="s">
        <v>220</v>
      </c>
      <c r="R523" s="12" t="s">
        <v>36</v>
      </c>
      <c r="S523" s="10" t="n">
        <v>1130101</v>
      </c>
      <c r="T523" s="12" t="s">
        <v>37</v>
      </c>
      <c r="U523" s="13" t="n">
        <v>540</v>
      </c>
      <c r="W523" s="13" t="n">
        <v>0</v>
      </c>
      <c r="X523" s="12" t="s">
        <v>657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27.75" hidden="false" customHeight="true" outlineLevel="0" collapsed="false">
      <c r="A524" s="10" t="n">
        <v>3</v>
      </c>
      <c r="B524" s="11" t="n">
        <v>46217</v>
      </c>
      <c r="C524" s="11" t="n">
        <v>46220</v>
      </c>
      <c r="D524" s="10" t="n">
        <v>1615</v>
      </c>
      <c r="E524" s="12" t="s">
        <v>57</v>
      </c>
      <c r="F524" s="10" t="n">
        <v>34</v>
      </c>
      <c r="G524" s="12" t="s">
        <v>58</v>
      </c>
      <c r="H524" s="10" t="n">
        <v>1110204</v>
      </c>
      <c r="I524" s="12" t="s">
        <v>177</v>
      </c>
      <c r="J524" s="10" t="n">
        <v>1397751</v>
      </c>
      <c r="L524" s="10" t="n">
        <v>218003</v>
      </c>
      <c r="M524" s="12" t="s">
        <v>33</v>
      </c>
      <c r="N524" s="12" t="s">
        <v>34</v>
      </c>
      <c r="P524" s="10" t="n">
        <v>167</v>
      </c>
      <c r="Q524" s="12" t="s">
        <v>220</v>
      </c>
      <c r="R524" s="12" t="s">
        <v>36</v>
      </c>
      <c r="S524" s="10" t="n">
        <v>1130101</v>
      </c>
      <c r="T524" s="12" t="s">
        <v>37</v>
      </c>
      <c r="U524" s="13" t="n">
        <v>140</v>
      </c>
      <c r="W524" s="13" t="n">
        <v>0</v>
      </c>
      <c r="X524" s="12" t="s">
        <v>658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0" t="n">
        <v>3</v>
      </c>
      <c r="B525" s="11" t="n">
        <v>46195</v>
      </c>
      <c r="C525" s="11" t="n">
        <v>46220</v>
      </c>
      <c r="D525" s="10" t="n">
        <v>1608</v>
      </c>
      <c r="E525" s="12" t="s">
        <v>69</v>
      </c>
      <c r="F525" s="10" t="n">
        <v>24</v>
      </c>
      <c r="G525" s="12" t="s">
        <v>31</v>
      </c>
      <c r="H525" s="10" t="n">
        <v>1110204</v>
      </c>
      <c r="I525" s="12" t="s">
        <v>177</v>
      </c>
      <c r="J525" s="10" t="n">
        <v>1398219</v>
      </c>
      <c r="L525" s="10" t="n">
        <v>16785391</v>
      </c>
      <c r="M525" s="12" t="s">
        <v>33</v>
      </c>
      <c r="N525" s="12" t="s">
        <v>34</v>
      </c>
      <c r="P525" s="10" t="n">
        <v>167</v>
      </c>
      <c r="Q525" s="12" t="s">
        <v>220</v>
      </c>
      <c r="R525" s="12" t="s">
        <v>36</v>
      </c>
      <c r="S525" s="10" t="n">
        <v>1130101</v>
      </c>
      <c r="T525" s="12" t="s">
        <v>37</v>
      </c>
      <c r="U525" s="13" t="n">
        <v>654.97</v>
      </c>
      <c r="W525" s="13" t="n">
        <v>0</v>
      </c>
      <c r="X525" s="12" t="s">
        <v>659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27.75" hidden="false" customHeight="true" outlineLevel="0" collapsed="false">
      <c r="A526" s="10" t="n">
        <v>3</v>
      </c>
      <c r="B526" s="11" t="n">
        <v>46195</v>
      </c>
      <c r="C526" s="11" t="n">
        <v>46220</v>
      </c>
      <c r="D526" s="10" t="n">
        <v>1608</v>
      </c>
      <c r="E526" s="12" t="s">
        <v>69</v>
      </c>
      <c r="F526" s="10" t="n">
        <v>24</v>
      </c>
      <c r="G526" s="12" t="s">
        <v>31</v>
      </c>
      <c r="H526" s="10" t="n">
        <v>1110204</v>
      </c>
      <c r="I526" s="12" t="s">
        <v>177</v>
      </c>
      <c r="J526" s="10" t="n">
        <v>1398245</v>
      </c>
      <c r="L526" s="10" t="n">
        <v>16785392</v>
      </c>
      <c r="M526" s="12" t="s">
        <v>33</v>
      </c>
      <c r="N526" s="12" t="s">
        <v>34</v>
      </c>
      <c r="P526" s="10" t="n">
        <v>167</v>
      </c>
      <c r="Q526" s="12" t="s">
        <v>220</v>
      </c>
      <c r="R526" s="12" t="s">
        <v>36</v>
      </c>
      <c r="S526" s="10" t="n">
        <v>1130101</v>
      </c>
      <c r="T526" s="12" t="s">
        <v>37</v>
      </c>
      <c r="U526" s="13" t="n">
        <v>654.96</v>
      </c>
      <c r="W526" s="13" t="n">
        <v>0</v>
      </c>
      <c r="X526" s="12" t="s">
        <v>660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27.75" hidden="false" customHeight="true" outlineLevel="0" collapsed="false">
      <c r="A527" s="10" t="n">
        <v>3</v>
      </c>
      <c r="B527" s="11" t="n">
        <v>46219</v>
      </c>
      <c r="C527" s="11" t="n">
        <v>46220</v>
      </c>
      <c r="D527" s="10" t="n">
        <v>42</v>
      </c>
      <c r="E527" s="12" t="s">
        <v>106</v>
      </c>
      <c r="F527" s="10" t="n">
        <v>13</v>
      </c>
      <c r="G527" s="12" t="s">
        <v>91</v>
      </c>
      <c r="H527" s="10" t="n">
        <v>2110101</v>
      </c>
      <c r="I527" s="12" t="s">
        <v>32</v>
      </c>
      <c r="J527" s="10" t="n">
        <v>1406334</v>
      </c>
      <c r="L527" s="10" t="n">
        <v>4387</v>
      </c>
      <c r="M527" s="12" t="s">
        <v>33</v>
      </c>
      <c r="N527" s="12" t="s">
        <v>40</v>
      </c>
      <c r="P527" s="10" t="n">
        <v>167</v>
      </c>
      <c r="Q527" s="12" t="s">
        <v>220</v>
      </c>
      <c r="R527" s="12" t="s">
        <v>36</v>
      </c>
      <c r="S527" s="10" t="n">
        <v>1130101</v>
      </c>
      <c r="T527" s="12" t="s">
        <v>37</v>
      </c>
      <c r="U527" s="13" t="n">
        <v>240</v>
      </c>
      <c r="W527" s="13" t="n">
        <v>240</v>
      </c>
      <c r="X527" s="12" t="s">
        <v>661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0" t="n">
        <v>3</v>
      </c>
      <c r="B528" s="11" t="n">
        <v>46220</v>
      </c>
      <c r="C528" s="11" t="n">
        <v>46220</v>
      </c>
      <c r="D528" s="10" t="n">
        <v>42</v>
      </c>
      <c r="E528" s="12" t="s">
        <v>106</v>
      </c>
      <c r="F528" s="10" t="n">
        <v>13</v>
      </c>
      <c r="G528" s="12" t="s">
        <v>91</v>
      </c>
      <c r="H528" s="10" t="n">
        <v>2110101</v>
      </c>
      <c r="I528" s="12" t="s">
        <v>32</v>
      </c>
      <c r="J528" s="10" t="n">
        <v>1410416</v>
      </c>
      <c r="L528" s="10" t="n">
        <v>4390</v>
      </c>
      <c r="M528" s="12" t="s">
        <v>33</v>
      </c>
      <c r="N528" s="12" t="s">
        <v>40</v>
      </c>
      <c r="P528" s="10" t="n">
        <v>167</v>
      </c>
      <c r="Q528" s="12" t="s">
        <v>220</v>
      </c>
      <c r="R528" s="12" t="s">
        <v>36</v>
      </c>
      <c r="S528" s="10" t="n">
        <v>1130101</v>
      </c>
      <c r="T528" s="12" t="s">
        <v>37</v>
      </c>
      <c r="U528" s="13" t="n">
        <v>140</v>
      </c>
      <c r="W528" s="13" t="n">
        <v>140</v>
      </c>
      <c r="X528" s="12" t="s">
        <v>662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0" t="n">
        <v>3</v>
      </c>
      <c r="B529" s="11" t="n">
        <v>46220</v>
      </c>
      <c r="C529" s="11" t="n">
        <v>46220</v>
      </c>
      <c r="D529" s="10" t="n">
        <v>10047</v>
      </c>
      <c r="E529" s="12" t="s">
        <v>140</v>
      </c>
      <c r="F529" s="10" t="n">
        <v>24</v>
      </c>
      <c r="G529" s="12" t="s">
        <v>31</v>
      </c>
      <c r="H529" s="10" t="n">
        <v>1110204</v>
      </c>
      <c r="I529" s="12" t="s">
        <v>177</v>
      </c>
      <c r="J529" s="10" t="n">
        <v>1411668</v>
      </c>
      <c r="L529" s="10" t="n">
        <v>220016</v>
      </c>
      <c r="M529" s="12" t="s">
        <v>33</v>
      </c>
      <c r="N529" s="12" t="s">
        <v>34</v>
      </c>
      <c r="P529" s="10" t="n">
        <v>101</v>
      </c>
      <c r="Q529" s="12" t="s">
        <v>136</v>
      </c>
      <c r="R529" s="12" t="s">
        <v>36</v>
      </c>
      <c r="S529" s="10" t="n">
        <v>1130101</v>
      </c>
      <c r="T529" s="12" t="s">
        <v>37</v>
      </c>
      <c r="U529" s="13" t="n">
        <v>419.47</v>
      </c>
      <c r="W529" s="13" t="n">
        <v>0</v>
      </c>
      <c r="X529" s="12" t="s">
        <v>663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3</v>
      </c>
      <c r="B530" s="11" t="n">
        <v>46220</v>
      </c>
      <c r="C530" s="11" t="n">
        <v>46220</v>
      </c>
      <c r="D530" s="10" t="n">
        <v>10047</v>
      </c>
      <c r="E530" s="12" t="s">
        <v>140</v>
      </c>
      <c r="F530" s="10" t="n">
        <v>24</v>
      </c>
      <c r="G530" s="12" t="s">
        <v>31</v>
      </c>
      <c r="H530" s="10" t="n">
        <v>1110204</v>
      </c>
      <c r="I530" s="12" t="s">
        <v>177</v>
      </c>
      <c r="J530" s="10" t="n">
        <v>1411920</v>
      </c>
      <c r="L530" s="10" t="n">
        <v>220043</v>
      </c>
      <c r="M530" s="12" t="s">
        <v>33</v>
      </c>
      <c r="N530" s="12" t="s">
        <v>34</v>
      </c>
      <c r="P530" s="10" t="n">
        <v>101</v>
      </c>
      <c r="Q530" s="12" t="s">
        <v>136</v>
      </c>
      <c r="R530" s="12" t="s">
        <v>36</v>
      </c>
      <c r="S530" s="10" t="n">
        <v>1130101</v>
      </c>
      <c r="T530" s="12" t="s">
        <v>37</v>
      </c>
      <c r="U530" s="13" t="n">
        <v>140.92</v>
      </c>
      <c r="W530" s="13" t="n">
        <v>0</v>
      </c>
      <c r="X530" s="12" t="s">
        <v>664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3</v>
      </c>
      <c r="B531" s="11" t="n">
        <v>46220</v>
      </c>
      <c r="C531" s="11" t="n">
        <v>46220</v>
      </c>
      <c r="D531" s="10" t="n">
        <v>10047</v>
      </c>
      <c r="E531" s="12" t="s">
        <v>140</v>
      </c>
      <c r="F531" s="10" t="n">
        <v>24</v>
      </c>
      <c r="G531" s="12" t="s">
        <v>31</v>
      </c>
      <c r="H531" s="10" t="n">
        <v>1110204</v>
      </c>
      <c r="I531" s="12" t="s">
        <v>177</v>
      </c>
      <c r="J531" s="10" t="n">
        <v>1411937</v>
      </c>
      <c r="L531" s="10" t="n">
        <v>220046</v>
      </c>
      <c r="M531" s="12" t="s">
        <v>33</v>
      </c>
      <c r="N531" s="12" t="s">
        <v>34</v>
      </c>
      <c r="P531" s="10" t="n">
        <v>101</v>
      </c>
      <c r="Q531" s="12" t="s">
        <v>136</v>
      </c>
      <c r="R531" s="12" t="s">
        <v>36</v>
      </c>
      <c r="S531" s="10" t="n">
        <v>1130101</v>
      </c>
      <c r="T531" s="12" t="s">
        <v>37</v>
      </c>
      <c r="U531" s="13" t="n">
        <v>345.2</v>
      </c>
      <c r="W531" s="13" t="n">
        <v>0</v>
      </c>
      <c r="X531" s="12" t="s">
        <v>665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0" t="n">
        <v>3</v>
      </c>
      <c r="B532" s="11" t="n">
        <v>46220</v>
      </c>
      <c r="C532" s="11" t="n">
        <v>46220</v>
      </c>
      <c r="D532" s="10" t="n">
        <v>10035</v>
      </c>
      <c r="E532" s="12" t="s">
        <v>300</v>
      </c>
      <c r="F532" s="10" t="n">
        <v>13</v>
      </c>
      <c r="G532" s="12" t="s">
        <v>91</v>
      </c>
      <c r="H532" s="10" t="n">
        <v>2110101</v>
      </c>
      <c r="I532" s="12" t="s">
        <v>32</v>
      </c>
      <c r="J532" s="10" t="n">
        <v>1424243</v>
      </c>
      <c r="L532" s="10" t="n">
        <v>362</v>
      </c>
      <c r="M532" s="12" t="s">
        <v>33</v>
      </c>
      <c r="N532" s="12" t="s">
        <v>40</v>
      </c>
      <c r="P532" s="10" t="n">
        <v>167</v>
      </c>
      <c r="Q532" s="12" t="s">
        <v>220</v>
      </c>
      <c r="R532" s="12" t="s">
        <v>36</v>
      </c>
      <c r="S532" s="10" t="n">
        <v>1130101</v>
      </c>
      <c r="T532" s="12" t="s">
        <v>37</v>
      </c>
      <c r="U532" s="13" t="n">
        <v>504</v>
      </c>
      <c r="W532" s="13" t="n">
        <v>504</v>
      </c>
      <c r="X532" s="12" t="s">
        <v>666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3</v>
      </c>
      <c r="B533" s="11" t="n">
        <v>46220</v>
      </c>
      <c r="C533" s="11" t="n">
        <v>46220</v>
      </c>
      <c r="D533" s="10" t="n">
        <v>515</v>
      </c>
      <c r="E533" s="12" t="s">
        <v>240</v>
      </c>
      <c r="F533" s="10" t="n">
        <v>34</v>
      </c>
      <c r="G533" s="12" t="s">
        <v>58</v>
      </c>
      <c r="H533" s="10" t="n">
        <v>1110204</v>
      </c>
      <c r="I533" s="12" t="s">
        <v>177</v>
      </c>
      <c r="J533" s="10" t="n">
        <v>1435403</v>
      </c>
      <c r="L533" s="10" t="n">
        <v>223628</v>
      </c>
      <c r="M533" s="12" t="s">
        <v>33</v>
      </c>
      <c r="N533" s="12" t="s">
        <v>34</v>
      </c>
      <c r="P533" s="10" t="n">
        <v>102</v>
      </c>
      <c r="Q533" s="12" t="s">
        <v>141</v>
      </c>
      <c r="R533" s="12" t="s">
        <v>667</v>
      </c>
      <c r="S533" s="10" t="n">
        <v>22103</v>
      </c>
      <c r="T533" s="12" t="s">
        <v>667</v>
      </c>
      <c r="U533" s="13" t="n">
        <v>23900</v>
      </c>
      <c r="W533" s="13" t="n">
        <v>0</v>
      </c>
      <c r="X533" s="12" t="s">
        <v>668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</row>
    <row r="534" customFormat="false" ht="27.75" hidden="false" customHeight="true" outlineLevel="0" collapsed="false">
      <c r="A534" s="10" t="n">
        <v>3</v>
      </c>
      <c r="B534" s="11" t="n">
        <v>46220</v>
      </c>
      <c r="C534" s="11" t="n">
        <v>46220</v>
      </c>
      <c r="D534" s="10" t="n">
        <v>515</v>
      </c>
      <c r="E534" s="12" t="s">
        <v>240</v>
      </c>
      <c r="F534" s="10" t="n">
        <v>34</v>
      </c>
      <c r="G534" s="12" t="s">
        <v>58</v>
      </c>
      <c r="H534" s="10" t="n">
        <v>1110204</v>
      </c>
      <c r="I534" s="12" t="s">
        <v>177</v>
      </c>
      <c r="J534" s="10" t="n">
        <v>1435757</v>
      </c>
      <c r="L534" s="10" t="n">
        <v>223660</v>
      </c>
      <c r="M534" s="12" t="s">
        <v>33</v>
      </c>
      <c r="N534" s="12" t="s">
        <v>34</v>
      </c>
      <c r="P534" s="10" t="n">
        <v>102</v>
      </c>
      <c r="Q534" s="12" t="s">
        <v>141</v>
      </c>
      <c r="R534" s="12" t="s">
        <v>165</v>
      </c>
      <c r="S534" s="10" t="n">
        <v>4210502</v>
      </c>
      <c r="T534" s="12" t="s">
        <v>260</v>
      </c>
      <c r="U534" s="13" t="n">
        <v>3364.46</v>
      </c>
      <c r="W534" s="13" t="n">
        <v>0</v>
      </c>
      <c r="X534" s="12" t="s">
        <v>669</v>
      </c>
      <c r="Z534" s="1" t="str">
        <f aca="false">IF($T534="","",IFERROR(INDEX('Resumo Grupos'!$AC$3:$AC$200,MATCH($T534,'Resumo Grupos'!$AB$3:$AB$200,0)),"n/d"))</f>
        <v>Empréstimo</v>
      </c>
      <c r="AA534" s="1" t="str">
        <f aca="false">IF($T534="","",IF(COUNTIF('Resumo Grupos'!$AE$3:$AE$40,$T534)&gt;0,"NAO","SIM"))</f>
        <v>SIM</v>
      </c>
    </row>
    <row r="535" customFormat="false" ht="27.75" hidden="false" customHeight="true" outlineLevel="0" collapsed="false">
      <c r="A535" s="10" t="n">
        <v>3</v>
      </c>
      <c r="B535" s="11" t="n">
        <v>46220</v>
      </c>
      <c r="C535" s="11" t="n">
        <v>46220</v>
      </c>
      <c r="D535" s="10" t="n">
        <v>515</v>
      </c>
      <c r="E535" s="12" t="s">
        <v>240</v>
      </c>
      <c r="F535" s="10" t="n">
        <v>2</v>
      </c>
      <c r="G535" s="12" t="s">
        <v>573</v>
      </c>
      <c r="H535" s="10" t="n">
        <v>3110102</v>
      </c>
      <c r="I535" s="12" t="s">
        <v>670</v>
      </c>
      <c r="J535" s="10" t="n">
        <v>1448141</v>
      </c>
      <c r="L535" s="10" t="n">
        <v>225395</v>
      </c>
      <c r="M535" s="12" t="s">
        <v>33</v>
      </c>
      <c r="N535" s="12" t="s">
        <v>34</v>
      </c>
      <c r="P535" s="10" t="n">
        <v>102</v>
      </c>
      <c r="Q535" s="12" t="s">
        <v>141</v>
      </c>
      <c r="R535" s="12" t="s">
        <v>64</v>
      </c>
      <c r="S535" s="10" t="n">
        <v>4210227</v>
      </c>
      <c r="T535" s="12" t="s">
        <v>65</v>
      </c>
      <c r="U535" s="13" t="n">
        <v>142.04</v>
      </c>
      <c r="W535" s="13" t="n">
        <v>0</v>
      </c>
      <c r="X535" s="12" t="s">
        <v>671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</row>
    <row r="536" customFormat="false" ht="27.75" hidden="false" customHeight="true" outlineLevel="0" collapsed="false">
      <c r="A536" s="10" t="n">
        <v>3</v>
      </c>
      <c r="B536" s="11" t="n">
        <v>46220</v>
      </c>
      <c r="C536" s="11" t="n">
        <v>46220</v>
      </c>
      <c r="D536" s="10" t="n">
        <v>515</v>
      </c>
      <c r="E536" s="12" t="s">
        <v>240</v>
      </c>
      <c r="F536" s="10" t="n">
        <v>2</v>
      </c>
      <c r="G536" s="12" t="s">
        <v>573</v>
      </c>
      <c r="H536" s="10" t="n">
        <v>1110204</v>
      </c>
      <c r="I536" s="12" t="s">
        <v>177</v>
      </c>
      <c r="J536" s="10" t="n">
        <v>1448169</v>
      </c>
      <c r="L536" s="10" t="n">
        <v>225397</v>
      </c>
      <c r="M536" s="12" t="s">
        <v>33</v>
      </c>
      <c r="N536" s="12" t="s">
        <v>34</v>
      </c>
      <c r="P536" s="10" t="n">
        <v>102</v>
      </c>
      <c r="Q536" s="12" t="s">
        <v>141</v>
      </c>
      <c r="R536" s="12" t="s">
        <v>672</v>
      </c>
      <c r="S536" s="10" t="n">
        <v>1140104</v>
      </c>
      <c r="T536" s="12" t="s">
        <v>673</v>
      </c>
      <c r="U536" s="13" t="n">
        <v>18.75</v>
      </c>
      <c r="W536" s="13" t="n">
        <v>0</v>
      </c>
      <c r="X536" s="12" t="s">
        <v>674</v>
      </c>
      <c r="Z536" s="1" t="str">
        <f aca="false">IF($T536="","",IFERROR(INDEX('Resumo Grupos'!$AC$3:$AC$200,MATCH($T536,'Resumo Grupos'!$AB$3:$AB$200,0)),"n/d"))</f>
        <v>Despesa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3</v>
      </c>
      <c r="B537" s="11" t="n">
        <v>45950</v>
      </c>
      <c r="C537" s="11" t="n">
        <v>46221</v>
      </c>
      <c r="D537" s="10" t="n">
        <v>515</v>
      </c>
      <c r="E537" s="12" t="s">
        <v>240</v>
      </c>
      <c r="F537" s="10" t="n">
        <v>34</v>
      </c>
      <c r="G537" s="12" t="s">
        <v>58</v>
      </c>
      <c r="H537" s="10" t="n">
        <v>2110405</v>
      </c>
      <c r="I537" s="12" t="s">
        <v>63</v>
      </c>
      <c r="J537" s="10" t="n">
        <v>546000</v>
      </c>
      <c r="L537" s="10" t="n">
        <v>85577</v>
      </c>
      <c r="M537" s="12" t="s">
        <v>675</v>
      </c>
      <c r="N537" s="12" t="s">
        <v>34</v>
      </c>
      <c r="P537" s="10" t="n">
        <v>101</v>
      </c>
      <c r="Q537" s="12" t="s">
        <v>136</v>
      </c>
      <c r="R537" s="12" t="s">
        <v>64</v>
      </c>
      <c r="S537" s="10" t="n">
        <v>4210210</v>
      </c>
      <c r="T537" s="12" t="s">
        <v>676</v>
      </c>
      <c r="U537" s="13" t="n">
        <v>45.73</v>
      </c>
      <c r="W537" s="13" t="n">
        <v>0</v>
      </c>
      <c r="X537" s="12" t="s">
        <v>677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0" t="n">
        <v>3</v>
      </c>
      <c r="B538" s="11" t="n">
        <v>46009</v>
      </c>
      <c r="C538" s="11" t="n">
        <v>46221</v>
      </c>
      <c r="D538" s="10" t="n">
        <v>515</v>
      </c>
      <c r="E538" s="12" t="s">
        <v>240</v>
      </c>
      <c r="F538" s="10" t="n">
        <v>34</v>
      </c>
      <c r="G538" s="12" t="s">
        <v>58</v>
      </c>
      <c r="H538" s="10" t="n">
        <v>2110405</v>
      </c>
      <c r="I538" s="12" t="s">
        <v>63</v>
      </c>
      <c r="J538" s="10" t="n">
        <v>818253</v>
      </c>
      <c r="L538" s="10" t="n">
        <v>129421</v>
      </c>
      <c r="M538" s="12" t="s">
        <v>367</v>
      </c>
      <c r="N538" s="12" t="s">
        <v>34</v>
      </c>
      <c r="P538" s="10" t="n">
        <v>102</v>
      </c>
      <c r="Q538" s="12" t="s">
        <v>141</v>
      </c>
      <c r="R538" s="12" t="s">
        <v>411</v>
      </c>
      <c r="S538" s="10" t="n">
        <v>2110901</v>
      </c>
      <c r="T538" s="12" t="s">
        <v>412</v>
      </c>
      <c r="U538" s="13" t="n">
        <v>2090.82</v>
      </c>
      <c r="W538" s="13" t="n">
        <v>0</v>
      </c>
      <c r="X538" s="12" t="s">
        <v>678</v>
      </c>
      <c r="Z538" s="1" t="str">
        <f aca="false">IF($T538="","",IFERROR(INDEX('Resumo Grupos'!$AC$3:$AC$200,MATCH($T538,'Resumo Grupos'!$AB$3:$AB$200,0)),"n/d"))</f>
        <v>Empréstimo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0" t="n">
        <v>3</v>
      </c>
      <c r="B539" s="11" t="n">
        <v>46195</v>
      </c>
      <c r="C539" s="11" t="n">
        <v>46221</v>
      </c>
      <c r="D539" s="10" t="n">
        <v>1671</v>
      </c>
      <c r="E539" s="12" t="s">
        <v>679</v>
      </c>
      <c r="F539" s="10" t="n">
        <v>24</v>
      </c>
      <c r="G539" s="12" t="s">
        <v>31</v>
      </c>
      <c r="H539" s="10" t="n">
        <v>2110101</v>
      </c>
      <c r="I539" s="12" t="s">
        <v>32</v>
      </c>
      <c r="J539" s="10" t="n">
        <v>1335143</v>
      </c>
      <c r="L539" s="10" t="n">
        <v>5766071</v>
      </c>
      <c r="M539" s="12" t="s">
        <v>33</v>
      </c>
      <c r="N539" s="12" t="s">
        <v>34</v>
      </c>
      <c r="P539" s="10" t="n">
        <v>167</v>
      </c>
      <c r="Q539" s="12" t="s">
        <v>220</v>
      </c>
      <c r="R539" s="12" t="s">
        <v>36</v>
      </c>
      <c r="S539" s="10" t="n">
        <v>1130101</v>
      </c>
      <c r="T539" s="12" t="s">
        <v>37</v>
      </c>
      <c r="U539" s="13" t="n">
        <v>343.38</v>
      </c>
      <c r="W539" s="13" t="n">
        <v>0</v>
      </c>
      <c r="X539" s="12" t="s">
        <v>680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0" t="n">
        <v>3</v>
      </c>
      <c r="B540" s="11" t="n">
        <v>46206</v>
      </c>
      <c r="C540" s="11" t="n">
        <v>46221</v>
      </c>
      <c r="D540" s="10" t="n">
        <v>33</v>
      </c>
      <c r="E540" s="12" t="s">
        <v>297</v>
      </c>
      <c r="F540" s="10" t="n">
        <v>34</v>
      </c>
      <c r="G540" s="12" t="s">
        <v>58</v>
      </c>
      <c r="H540" s="10" t="n">
        <v>2110405</v>
      </c>
      <c r="I540" s="12" t="s">
        <v>63</v>
      </c>
      <c r="J540" s="10" t="n">
        <v>1345342</v>
      </c>
      <c r="L540" s="10" t="n">
        <v>210000</v>
      </c>
      <c r="M540" s="12" t="s">
        <v>33</v>
      </c>
      <c r="N540" s="12" t="s">
        <v>34</v>
      </c>
      <c r="P540" s="10" t="n">
        <v>101</v>
      </c>
      <c r="Q540" s="12" t="s">
        <v>136</v>
      </c>
      <c r="R540" s="12" t="s">
        <v>64</v>
      </c>
      <c r="S540" s="10" t="n">
        <v>4210203</v>
      </c>
      <c r="T540" s="12" t="s">
        <v>298</v>
      </c>
      <c r="U540" s="13" t="n">
        <v>405.24</v>
      </c>
      <c r="W540" s="13" t="n">
        <v>0</v>
      </c>
      <c r="X540" s="12" t="s">
        <v>681</v>
      </c>
      <c r="Z540" s="1" t="str">
        <f aca="false">IF($T540="","",IFERROR(INDEX('Resumo Grupos'!$AC$3:$AC$200,MATCH($T540,'Resumo Grupos'!$AB$3:$AB$200,0)),"n/d"))</f>
        <v>Despesa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0" t="n">
        <v>3</v>
      </c>
      <c r="B541" s="11" t="n">
        <v>46211</v>
      </c>
      <c r="C541" s="11" t="n">
        <v>46221</v>
      </c>
      <c r="D541" s="10" t="n">
        <v>1672</v>
      </c>
      <c r="E541" s="12" t="s">
        <v>93</v>
      </c>
      <c r="F541" s="10" t="n">
        <v>24</v>
      </c>
      <c r="G541" s="12" t="s">
        <v>31</v>
      </c>
      <c r="H541" s="10" t="n">
        <v>2110101</v>
      </c>
      <c r="I541" s="12" t="s">
        <v>32</v>
      </c>
      <c r="J541" s="10" t="n">
        <v>1369286</v>
      </c>
      <c r="L541" s="10" t="n">
        <v>1388539</v>
      </c>
      <c r="M541" s="12" t="s">
        <v>33</v>
      </c>
      <c r="N541" s="12" t="s">
        <v>40</v>
      </c>
      <c r="P541" s="10" t="n">
        <v>167</v>
      </c>
      <c r="Q541" s="12" t="s">
        <v>220</v>
      </c>
      <c r="R541" s="12" t="s">
        <v>36</v>
      </c>
      <c r="S541" s="10" t="n">
        <v>1130101</v>
      </c>
      <c r="T541" s="12" t="s">
        <v>37</v>
      </c>
      <c r="U541" s="13" t="n">
        <v>887.5</v>
      </c>
      <c r="W541" s="13" t="n">
        <v>0</v>
      </c>
      <c r="X541" s="12" t="s">
        <v>682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0" t="n">
        <v>3</v>
      </c>
      <c r="B542" s="11" t="n">
        <v>46221</v>
      </c>
      <c r="C542" s="11" t="n">
        <v>46221</v>
      </c>
      <c r="D542" s="10" t="n">
        <v>42</v>
      </c>
      <c r="E542" s="12" t="s">
        <v>106</v>
      </c>
      <c r="F542" s="10" t="n">
        <v>13</v>
      </c>
      <c r="G542" s="12" t="s">
        <v>91</v>
      </c>
      <c r="H542" s="10" t="n">
        <v>2110101</v>
      </c>
      <c r="I542" s="12" t="s">
        <v>32</v>
      </c>
      <c r="J542" s="10" t="n">
        <v>1414511</v>
      </c>
      <c r="L542" s="10" t="n">
        <v>4392</v>
      </c>
      <c r="M542" s="12" t="s">
        <v>33</v>
      </c>
      <c r="N542" s="12" t="s">
        <v>40</v>
      </c>
      <c r="P542" s="10" t="n">
        <v>167</v>
      </c>
      <c r="Q542" s="12" t="s">
        <v>220</v>
      </c>
      <c r="R542" s="12" t="s">
        <v>36</v>
      </c>
      <c r="S542" s="10" t="n">
        <v>1130101</v>
      </c>
      <c r="T542" s="12" t="s">
        <v>37</v>
      </c>
      <c r="U542" s="13" t="n">
        <v>120</v>
      </c>
      <c r="W542" s="13" t="n">
        <v>120</v>
      </c>
      <c r="X542" s="12" t="s">
        <v>683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0" t="n">
        <v>3</v>
      </c>
      <c r="B543" s="11" t="n">
        <v>46211</v>
      </c>
      <c r="C543" s="11" t="n">
        <v>46221</v>
      </c>
      <c r="D543" s="10" t="n">
        <v>1723</v>
      </c>
      <c r="E543" s="12" t="s">
        <v>54</v>
      </c>
      <c r="F543" s="10" t="n">
        <v>24</v>
      </c>
      <c r="G543" s="12" t="s">
        <v>31</v>
      </c>
      <c r="H543" s="10" t="n">
        <v>2110101</v>
      </c>
      <c r="I543" s="12" t="s">
        <v>32</v>
      </c>
      <c r="J543" s="10" t="n">
        <v>1374615</v>
      </c>
      <c r="L543" s="10" t="n">
        <v>55834</v>
      </c>
      <c r="M543" s="12" t="s">
        <v>33</v>
      </c>
      <c r="N543" s="12" t="s">
        <v>34</v>
      </c>
      <c r="P543" s="10" t="n">
        <v>167</v>
      </c>
      <c r="Q543" s="12" t="s">
        <v>220</v>
      </c>
      <c r="R543" s="12" t="s">
        <v>36</v>
      </c>
      <c r="S543" s="10" t="n">
        <v>1130101</v>
      </c>
      <c r="T543" s="12" t="s">
        <v>37</v>
      </c>
      <c r="U543" s="13" t="n">
        <v>5267.2</v>
      </c>
      <c r="W543" s="13" t="n">
        <v>0</v>
      </c>
      <c r="X543" s="12" t="s">
        <v>684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27.75" hidden="false" customHeight="true" outlineLevel="0" collapsed="false">
      <c r="A544" s="10" t="n">
        <v>3</v>
      </c>
      <c r="B544" s="11" t="n">
        <v>46221</v>
      </c>
      <c r="C544" s="11" t="n">
        <v>46221</v>
      </c>
      <c r="D544" s="10" t="n">
        <v>42</v>
      </c>
      <c r="E544" s="12" t="s">
        <v>106</v>
      </c>
      <c r="F544" s="10" t="n">
        <v>13</v>
      </c>
      <c r="G544" s="12" t="s">
        <v>91</v>
      </c>
      <c r="H544" s="10" t="n">
        <v>2110101</v>
      </c>
      <c r="I544" s="12" t="s">
        <v>32</v>
      </c>
      <c r="J544" s="10" t="n">
        <v>1414758</v>
      </c>
      <c r="L544" s="10" t="n">
        <v>4397</v>
      </c>
      <c r="M544" s="12" t="s">
        <v>33</v>
      </c>
      <c r="N544" s="12" t="s">
        <v>40</v>
      </c>
      <c r="P544" s="10" t="n">
        <v>167</v>
      </c>
      <c r="Q544" s="12" t="s">
        <v>220</v>
      </c>
      <c r="R544" s="12" t="s">
        <v>36</v>
      </c>
      <c r="S544" s="10" t="n">
        <v>1130101</v>
      </c>
      <c r="T544" s="12" t="s">
        <v>37</v>
      </c>
      <c r="U544" s="13" t="n">
        <v>330</v>
      </c>
      <c r="W544" s="13" t="n">
        <v>330</v>
      </c>
      <c r="X544" s="12" t="s">
        <v>685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27.75" hidden="false" customHeight="true" outlineLevel="0" collapsed="false">
      <c r="A545" s="10" t="n">
        <v>3</v>
      </c>
      <c r="B545" s="11" t="n">
        <v>46221</v>
      </c>
      <c r="C545" s="11" t="n">
        <v>46221</v>
      </c>
      <c r="D545" s="10" t="n">
        <v>10035</v>
      </c>
      <c r="E545" s="12" t="s">
        <v>300</v>
      </c>
      <c r="F545" s="10" t="n">
        <v>13</v>
      </c>
      <c r="G545" s="12" t="s">
        <v>91</v>
      </c>
      <c r="H545" s="10" t="n">
        <v>2110101</v>
      </c>
      <c r="I545" s="12" t="s">
        <v>32</v>
      </c>
      <c r="J545" s="10" t="n">
        <v>1423876</v>
      </c>
      <c r="L545" s="10" t="n">
        <v>368</v>
      </c>
      <c r="M545" s="12" t="s">
        <v>33</v>
      </c>
      <c r="N545" s="12" t="s">
        <v>40</v>
      </c>
      <c r="P545" s="10" t="n">
        <v>167</v>
      </c>
      <c r="Q545" s="12" t="s">
        <v>220</v>
      </c>
      <c r="R545" s="12" t="s">
        <v>36</v>
      </c>
      <c r="S545" s="10" t="n">
        <v>1130101</v>
      </c>
      <c r="T545" s="12" t="s">
        <v>37</v>
      </c>
      <c r="U545" s="13" t="n">
        <v>200</v>
      </c>
      <c r="W545" s="13" t="n">
        <v>200</v>
      </c>
      <c r="X545" s="12" t="s">
        <v>666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3</v>
      </c>
      <c r="B546" s="11" t="n">
        <v>46204</v>
      </c>
      <c r="C546" s="11" t="n">
        <v>46222</v>
      </c>
      <c r="D546" s="10" t="n">
        <v>1613</v>
      </c>
      <c r="E546" s="12" t="s">
        <v>209</v>
      </c>
      <c r="F546" s="10" t="n">
        <v>24</v>
      </c>
      <c r="G546" s="12" t="s">
        <v>31</v>
      </c>
      <c r="H546" s="10" t="n">
        <v>2110101</v>
      </c>
      <c r="I546" s="12" t="s">
        <v>32</v>
      </c>
      <c r="J546" s="10" t="n">
        <v>1335291</v>
      </c>
      <c r="L546" s="10" t="n">
        <v>16023161</v>
      </c>
      <c r="M546" s="12" t="s">
        <v>33</v>
      </c>
      <c r="N546" s="12" t="s">
        <v>34</v>
      </c>
      <c r="P546" s="10" t="n">
        <v>167</v>
      </c>
      <c r="Q546" s="12" t="s">
        <v>220</v>
      </c>
      <c r="R546" s="12" t="s">
        <v>36</v>
      </c>
      <c r="S546" s="10" t="n">
        <v>1130101</v>
      </c>
      <c r="T546" s="12" t="s">
        <v>37</v>
      </c>
      <c r="U546" s="13" t="n">
        <v>1399.24</v>
      </c>
      <c r="W546" s="13" t="n">
        <v>0</v>
      </c>
      <c r="X546" s="12" t="s">
        <v>686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27.75" hidden="false" customHeight="true" outlineLevel="0" collapsed="false">
      <c r="A547" s="10" t="n">
        <v>3</v>
      </c>
      <c r="B547" s="11" t="n">
        <v>46212</v>
      </c>
      <c r="C547" s="11" t="n">
        <v>46222</v>
      </c>
      <c r="D547" s="10" t="n">
        <v>1723</v>
      </c>
      <c r="E547" s="12" t="s">
        <v>54</v>
      </c>
      <c r="F547" s="10" t="n">
        <v>24</v>
      </c>
      <c r="G547" s="12" t="s">
        <v>31</v>
      </c>
      <c r="H547" s="10" t="n">
        <v>1110204</v>
      </c>
      <c r="I547" s="12" t="s">
        <v>177</v>
      </c>
      <c r="J547" s="10" t="n">
        <v>1392569</v>
      </c>
      <c r="L547" s="10" t="n">
        <v>55983</v>
      </c>
      <c r="M547" s="12" t="s">
        <v>33</v>
      </c>
      <c r="N547" s="12" t="s">
        <v>34</v>
      </c>
      <c r="P547" s="10" t="n">
        <v>167</v>
      </c>
      <c r="Q547" s="12" t="s">
        <v>220</v>
      </c>
      <c r="R547" s="12" t="s">
        <v>36</v>
      </c>
      <c r="S547" s="10" t="n">
        <v>1130101</v>
      </c>
      <c r="T547" s="12" t="s">
        <v>37</v>
      </c>
      <c r="U547" s="13" t="n">
        <v>2442</v>
      </c>
      <c r="W547" s="13" t="n">
        <v>0</v>
      </c>
      <c r="X547" s="12" t="s">
        <v>687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27.75" hidden="false" customHeight="true" outlineLevel="0" collapsed="false">
      <c r="A548" s="10" t="n">
        <v>3</v>
      </c>
      <c r="B548" s="11" t="n">
        <v>46011</v>
      </c>
      <c r="C548" s="11" t="n">
        <v>46223</v>
      </c>
      <c r="D548" s="10" t="n">
        <v>514</v>
      </c>
      <c r="E548" s="12" t="s">
        <v>163</v>
      </c>
      <c r="F548" s="10" t="n">
        <v>34</v>
      </c>
      <c r="G548" s="12" t="s">
        <v>58</v>
      </c>
      <c r="H548" s="10" t="n">
        <v>2110405</v>
      </c>
      <c r="I548" s="12" t="s">
        <v>63</v>
      </c>
      <c r="J548" s="10" t="n">
        <v>695960</v>
      </c>
      <c r="L548" s="10" t="n">
        <v>3</v>
      </c>
      <c r="M548" s="12" t="s">
        <v>688</v>
      </c>
      <c r="N548" s="12" t="s">
        <v>34</v>
      </c>
      <c r="P548" s="10" t="n">
        <v>101</v>
      </c>
      <c r="Q548" s="12" t="s">
        <v>136</v>
      </c>
      <c r="R548" s="12" t="s">
        <v>64</v>
      </c>
      <c r="S548" s="10" t="n">
        <v>4210210</v>
      </c>
      <c r="T548" s="12" t="s">
        <v>676</v>
      </c>
      <c r="U548" s="13" t="n">
        <v>807.37</v>
      </c>
      <c r="W548" s="13" t="n">
        <v>0</v>
      </c>
      <c r="X548" s="12" t="s">
        <v>689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</row>
    <row r="549" customFormat="false" ht="27.75" hidden="false" customHeight="true" outlineLevel="0" collapsed="false">
      <c r="A549" s="10" t="n">
        <v>3</v>
      </c>
      <c r="B549" s="11" t="n">
        <v>46197</v>
      </c>
      <c r="C549" s="11" t="n">
        <v>46223</v>
      </c>
      <c r="D549" s="10" t="n">
        <v>1815</v>
      </c>
      <c r="E549" s="12" t="s">
        <v>157</v>
      </c>
      <c r="F549" s="10" t="n">
        <v>24</v>
      </c>
      <c r="G549" s="12" t="s">
        <v>31</v>
      </c>
      <c r="H549" s="10" t="n">
        <v>2110101</v>
      </c>
      <c r="I549" s="12" t="s">
        <v>32</v>
      </c>
      <c r="J549" s="10" t="n">
        <v>1305188</v>
      </c>
      <c r="L549" s="10" t="n">
        <v>4526723</v>
      </c>
      <c r="M549" s="12" t="s">
        <v>33</v>
      </c>
      <c r="N549" s="12" t="s">
        <v>34</v>
      </c>
      <c r="P549" s="10" t="n">
        <v>128</v>
      </c>
      <c r="Q549" s="12" t="s">
        <v>35</v>
      </c>
      <c r="R549" s="12" t="s">
        <v>36</v>
      </c>
      <c r="S549" s="10" t="n">
        <v>1130101</v>
      </c>
      <c r="T549" s="12" t="s">
        <v>37</v>
      </c>
      <c r="U549" s="13" t="n">
        <v>1235.11</v>
      </c>
      <c r="W549" s="13" t="n">
        <v>0</v>
      </c>
      <c r="X549" s="12" t="s">
        <v>690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27.75" hidden="false" customHeight="true" outlineLevel="0" collapsed="false">
      <c r="A550" s="10" t="n">
        <v>3</v>
      </c>
      <c r="B550" s="11" t="n">
        <v>46198</v>
      </c>
      <c r="C550" s="11" t="n">
        <v>46223</v>
      </c>
      <c r="D550" s="10" t="n">
        <v>1699</v>
      </c>
      <c r="E550" s="12" t="s">
        <v>87</v>
      </c>
      <c r="F550" s="10" t="n">
        <v>24</v>
      </c>
      <c r="G550" s="12" t="s">
        <v>31</v>
      </c>
      <c r="H550" s="10" t="n">
        <v>2110101</v>
      </c>
      <c r="I550" s="12" t="s">
        <v>32</v>
      </c>
      <c r="J550" s="10" t="n">
        <v>1312323</v>
      </c>
      <c r="L550" s="10" t="n">
        <v>3059182</v>
      </c>
      <c r="M550" s="12" t="s">
        <v>33</v>
      </c>
      <c r="N550" s="12" t="s">
        <v>34</v>
      </c>
      <c r="P550" s="10" t="n">
        <v>128</v>
      </c>
      <c r="Q550" s="12" t="s">
        <v>35</v>
      </c>
      <c r="R550" s="12" t="s">
        <v>36</v>
      </c>
      <c r="S550" s="10" t="n">
        <v>1130101</v>
      </c>
      <c r="T550" s="12" t="s">
        <v>37</v>
      </c>
      <c r="U550" s="13" t="n">
        <v>649.18</v>
      </c>
      <c r="W550" s="13" t="n">
        <v>0</v>
      </c>
      <c r="X550" s="12" t="s">
        <v>691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27.75" hidden="false" customHeight="true" outlineLevel="0" collapsed="false">
      <c r="A551" s="10" t="n">
        <v>3</v>
      </c>
      <c r="B551" s="11" t="n">
        <v>46202</v>
      </c>
      <c r="C551" s="11" t="n">
        <v>46223</v>
      </c>
      <c r="D551" s="10" t="n">
        <v>1668</v>
      </c>
      <c r="E551" s="12" t="s">
        <v>276</v>
      </c>
      <c r="F551" s="10" t="n">
        <v>24</v>
      </c>
      <c r="G551" s="12" t="s">
        <v>31</v>
      </c>
      <c r="H551" s="10" t="n">
        <v>2110405</v>
      </c>
      <c r="I551" s="12" t="s">
        <v>63</v>
      </c>
      <c r="J551" s="10" t="n">
        <v>1333930</v>
      </c>
      <c r="L551" s="10" t="n">
        <v>733416</v>
      </c>
      <c r="M551" s="12" t="s">
        <v>33</v>
      </c>
      <c r="N551" s="12" t="s">
        <v>34</v>
      </c>
      <c r="P551" s="10" t="n">
        <v>128</v>
      </c>
      <c r="Q551" s="12" t="s">
        <v>35</v>
      </c>
      <c r="R551" s="12" t="s">
        <v>64</v>
      </c>
      <c r="S551" s="10" t="n">
        <v>4210227</v>
      </c>
      <c r="T551" s="12" t="s">
        <v>65</v>
      </c>
      <c r="U551" s="13" t="n">
        <v>423.71</v>
      </c>
      <c r="W551" s="13" t="n">
        <v>0</v>
      </c>
      <c r="X551" s="12" t="s">
        <v>692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3</v>
      </c>
      <c r="B552" s="11" t="n">
        <v>46205</v>
      </c>
      <c r="C552" s="11" t="n">
        <v>46223</v>
      </c>
      <c r="D552" s="10" t="n">
        <v>10017</v>
      </c>
      <c r="E552" s="12" t="s">
        <v>693</v>
      </c>
      <c r="F552" s="10" t="n">
        <v>24</v>
      </c>
      <c r="G552" s="12" t="s">
        <v>31</v>
      </c>
      <c r="H552" s="10" t="n">
        <v>2110101</v>
      </c>
      <c r="I552" s="12" t="s">
        <v>32</v>
      </c>
      <c r="J552" s="10" t="n">
        <v>1359821</v>
      </c>
      <c r="L552" s="10" t="n">
        <v>1941141</v>
      </c>
      <c r="M552" s="12" t="s">
        <v>33</v>
      </c>
      <c r="N552" s="12" t="s">
        <v>34</v>
      </c>
      <c r="P552" s="10" t="n">
        <v>167</v>
      </c>
      <c r="Q552" s="12" t="s">
        <v>220</v>
      </c>
      <c r="R552" s="12" t="s">
        <v>36</v>
      </c>
      <c r="S552" s="10" t="n">
        <v>1130101</v>
      </c>
      <c r="T552" s="12" t="s">
        <v>37</v>
      </c>
      <c r="U552" s="13" t="n">
        <v>1819.31</v>
      </c>
      <c r="W552" s="13" t="n">
        <v>0</v>
      </c>
      <c r="X552" s="12" t="s">
        <v>694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3</v>
      </c>
      <c r="B553" s="11" t="n">
        <v>46211</v>
      </c>
      <c r="C553" s="11" t="n">
        <v>46223</v>
      </c>
      <c r="D553" s="10" t="n">
        <v>10028</v>
      </c>
      <c r="E553" s="12" t="s">
        <v>695</v>
      </c>
      <c r="F553" s="10" t="n">
        <v>24</v>
      </c>
      <c r="G553" s="12" t="s">
        <v>31</v>
      </c>
      <c r="H553" s="10" t="n">
        <v>1110204</v>
      </c>
      <c r="I553" s="12" t="s">
        <v>177</v>
      </c>
      <c r="J553" s="10" t="n">
        <v>1370650</v>
      </c>
      <c r="L553" s="10" t="n">
        <v>3906</v>
      </c>
      <c r="M553" s="12" t="s">
        <v>33</v>
      </c>
      <c r="N553" s="12" t="s">
        <v>34</v>
      </c>
      <c r="P553" s="10" t="n">
        <v>101</v>
      </c>
      <c r="Q553" s="12" t="s">
        <v>136</v>
      </c>
      <c r="R553" s="12" t="s">
        <v>137</v>
      </c>
      <c r="S553" s="10" t="n">
        <v>4210315</v>
      </c>
      <c r="T553" s="12" t="s">
        <v>182</v>
      </c>
      <c r="U553" s="13" t="n">
        <v>595.9</v>
      </c>
      <c r="W553" s="13" t="n">
        <v>0</v>
      </c>
      <c r="X553" s="12" t="s">
        <v>696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3</v>
      </c>
      <c r="B554" s="11" t="n">
        <v>46213</v>
      </c>
      <c r="C554" s="11" t="n">
        <v>46223</v>
      </c>
      <c r="D554" s="10" t="n">
        <v>10061</v>
      </c>
      <c r="E554" s="12" t="s">
        <v>697</v>
      </c>
      <c r="F554" s="10" t="n">
        <v>24</v>
      </c>
      <c r="G554" s="12" t="s">
        <v>31</v>
      </c>
      <c r="H554" s="10" t="n">
        <v>1110204</v>
      </c>
      <c r="I554" s="12" t="s">
        <v>177</v>
      </c>
      <c r="J554" s="10" t="n">
        <v>1392678</v>
      </c>
      <c r="L554" s="10" t="n">
        <v>2776</v>
      </c>
      <c r="M554" s="12" t="s">
        <v>33</v>
      </c>
      <c r="N554" s="12" t="s">
        <v>34</v>
      </c>
      <c r="P554" s="10" t="n">
        <v>167</v>
      </c>
      <c r="Q554" s="12" t="s">
        <v>220</v>
      </c>
      <c r="R554" s="12" t="s">
        <v>36</v>
      </c>
      <c r="S554" s="10" t="n">
        <v>1130101</v>
      </c>
      <c r="T554" s="12" t="s">
        <v>37</v>
      </c>
      <c r="U554" s="13" t="n">
        <v>572.5</v>
      </c>
      <c r="W554" s="13" t="n">
        <v>0</v>
      </c>
      <c r="X554" s="12" t="s">
        <v>698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3</v>
      </c>
      <c r="B555" s="11" t="n">
        <v>46217</v>
      </c>
      <c r="C555" s="11" t="n">
        <v>46223</v>
      </c>
      <c r="D555" s="10" t="n">
        <v>1947</v>
      </c>
      <c r="E555" s="12" t="s">
        <v>699</v>
      </c>
      <c r="F555" s="10" t="n">
        <v>34</v>
      </c>
      <c r="G555" s="12" t="s">
        <v>58</v>
      </c>
      <c r="H555" s="10" t="n">
        <v>1110204</v>
      </c>
      <c r="I555" s="12" t="s">
        <v>177</v>
      </c>
      <c r="J555" s="10" t="n">
        <v>1397927</v>
      </c>
      <c r="L555" s="10" t="n">
        <v>218027</v>
      </c>
      <c r="M555" s="12" t="s">
        <v>33</v>
      </c>
      <c r="N555" s="12" t="s">
        <v>34</v>
      </c>
      <c r="P555" s="10" t="n">
        <v>101</v>
      </c>
      <c r="Q555" s="12" t="s">
        <v>136</v>
      </c>
      <c r="R555" s="12" t="s">
        <v>137</v>
      </c>
      <c r="S555" s="10" t="n">
        <v>4210302</v>
      </c>
      <c r="T555" s="12" t="s">
        <v>700</v>
      </c>
      <c r="U555" s="13" t="n">
        <v>4431.94</v>
      </c>
      <c r="W555" s="13" t="n">
        <v>0</v>
      </c>
      <c r="X555" s="12" t="s">
        <v>701</v>
      </c>
      <c r="Z555" s="1" t="str">
        <f aca="false">IF($T555="","",IFERROR(INDEX('Resumo Grupos'!$AC$3:$AC$200,MATCH($T555,'Resumo Grupos'!$AB$3:$AB$200,0)),"n/d"))</f>
        <v>Impostos</v>
      </c>
      <c r="AA555" s="1" t="str">
        <f aca="false">IF($T555="","",IF(COUNTIF('Resumo Grupos'!$AE$3:$AE$40,$T555)&gt;0,"NAO","SIM"))</f>
        <v>SIM</v>
      </c>
    </row>
    <row r="556" customFormat="false" ht="27.75" hidden="false" customHeight="true" outlineLevel="0" collapsed="false">
      <c r="A556" s="10" t="n">
        <v>3</v>
      </c>
      <c r="B556" s="11" t="n">
        <v>46217</v>
      </c>
      <c r="C556" s="11" t="n">
        <v>46223</v>
      </c>
      <c r="D556" s="10" t="n">
        <v>1947</v>
      </c>
      <c r="E556" s="12" t="s">
        <v>699</v>
      </c>
      <c r="F556" s="10" t="n">
        <v>34</v>
      </c>
      <c r="G556" s="12" t="s">
        <v>58</v>
      </c>
      <c r="H556" s="10" t="n">
        <v>1110204</v>
      </c>
      <c r="I556" s="12" t="s">
        <v>177</v>
      </c>
      <c r="J556" s="10" t="n">
        <v>1397930</v>
      </c>
      <c r="L556" s="10" t="n">
        <v>218029</v>
      </c>
      <c r="M556" s="12" t="s">
        <v>33</v>
      </c>
      <c r="N556" s="12" t="s">
        <v>34</v>
      </c>
      <c r="P556" s="10" t="n">
        <v>101</v>
      </c>
      <c r="Q556" s="12" t="s">
        <v>136</v>
      </c>
      <c r="R556" s="12" t="s">
        <v>137</v>
      </c>
      <c r="S556" s="10" t="n">
        <v>4210303</v>
      </c>
      <c r="T556" s="12" t="s">
        <v>702</v>
      </c>
      <c r="U556" s="13" t="n">
        <v>1540.55</v>
      </c>
      <c r="W556" s="13" t="n">
        <v>0</v>
      </c>
      <c r="X556" s="12" t="s">
        <v>703</v>
      </c>
      <c r="Z556" s="1" t="str">
        <f aca="false">IF($T556="","",IFERROR(INDEX('Resumo Grupos'!$AC$3:$AC$200,MATCH($T556,'Resumo Grupos'!$AB$3:$AB$200,0)),"n/d"))</f>
        <v>Impostos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3</v>
      </c>
      <c r="B557" s="11" t="n">
        <v>46217</v>
      </c>
      <c r="C557" s="11" t="n">
        <v>46223</v>
      </c>
      <c r="D557" s="10" t="n">
        <v>1947</v>
      </c>
      <c r="E557" s="12" t="s">
        <v>699</v>
      </c>
      <c r="F557" s="10" t="n">
        <v>34</v>
      </c>
      <c r="G557" s="12" t="s">
        <v>58</v>
      </c>
      <c r="H557" s="10" t="n">
        <v>1110204</v>
      </c>
      <c r="I557" s="12" t="s">
        <v>177</v>
      </c>
      <c r="J557" s="10" t="n">
        <v>1397935</v>
      </c>
      <c r="L557" s="10" t="n">
        <v>218030</v>
      </c>
      <c r="M557" s="12" t="s">
        <v>33</v>
      </c>
      <c r="N557" s="12" t="s">
        <v>34</v>
      </c>
      <c r="P557" s="10" t="n">
        <v>101</v>
      </c>
      <c r="Q557" s="12" t="s">
        <v>136</v>
      </c>
      <c r="R557" s="12" t="s">
        <v>169</v>
      </c>
      <c r="S557" s="10" t="n">
        <v>2110707</v>
      </c>
      <c r="T557" s="12" t="s">
        <v>704</v>
      </c>
      <c r="U557" s="13" t="n">
        <v>2788.38</v>
      </c>
      <c r="W557" s="13" t="n">
        <v>0</v>
      </c>
      <c r="X557" s="12" t="s">
        <v>705</v>
      </c>
      <c r="Z557" s="1" t="str">
        <f aca="false">IF($T557="","",IFERROR(INDEX('Resumo Grupos'!$AC$3:$AC$200,MATCH($T557,'Resumo Grupos'!$AB$3:$AB$200,0)),"n/d"))</f>
        <v>Impostos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3</v>
      </c>
      <c r="B558" s="11" t="n">
        <v>46217</v>
      </c>
      <c r="C558" s="11" t="n">
        <v>46223</v>
      </c>
      <c r="D558" s="10" t="n">
        <v>32</v>
      </c>
      <c r="E558" s="12" t="s">
        <v>361</v>
      </c>
      <c r="F558" s="10" t="n">
        <v>24</v>
      </c>
      <c r="G558" s="12" t="s">
        <v>31</v>
      </c>
      <c r="H558" s="10" t="n">
        <v>1110204</v>
      </c>
      <c r="I558" s="12" t="s">
        <v>177</v>
      </c>
      <c r="J558" s="10" t="n">
        <v>1398112</v>
      </c>
      <c r="L558" s="10" t="n">
        <v>218060</v>
      </c>
      <c r="M558" s="12" t="s">
        <v>33</v>
      </c>
      <c r="N558" s="12" t="s">
        <v>34</v>
      </c>
      <c r="P558" s="10" t="n">
        <v>101</v>
      </c>
      <c r="Q558" s="12" t="s">
        <v>136</v>
      </c>
      <c r="R558" s="12" t="s">
        <v>222</v>
      </c>
      <c r="S558" s="10" t="n">
        <v>4220199</v>
      </c>
      <c r="T558" s="12" t="s">
        <v>223</v>
      </c>
      <c r="U558" s="13" t="n">
        <v>620</v>
      </c>
      <c r="W558" s="13" t="n">
        <v>0</v>
      </c>
      <c r="X558" s="12" t="s">
        <v>706</v>
      </c>
      <c r="Z558" s="1" t="str">
        <f aca="false">IF($T558="","",IFERROR(INDEX('Resumo Grupos'!$AC$3:$AC$200,MATCH($T558,'Resumo Grupos'!$AB$3:$AB$200,0)),"n/d"))</f>
        <v>Pagamentos outros não operacionais</v>
      </c>
      <c r="AA558" s="1" t="str">
        <f aca="false">IF($T558="","",IF(COUNTIF('Resumo Grupos'!$AE$3:$AE$40,$T558)&gt;0,"NAO","SIM"))</f>
        <v>SIM</v>
      </c>
    </row>
    <row r="559" customFormat="false" ht="36.75" hidden="false" customHeight="true" outlineLevel="0" collapsed="false">
      <c r="A559" s="10" t="n">
        <v>3</v>
      </c>
      <c r="B559" s="11" t="n">
        <v>46217</v>
      </c>
      <c r="C559" s="11" t="n">
        <v>46223</v>
      </c>
      <c r="D559" s="10" t="n">
        <v>1378</v>
      </c>
      <c r="E559" s="12" t="s">
        <v>119</v>
      </c>
      <c r="F559" s="10" t="n">
        <v>24</v>
      </c>
      <c r="G559" s="12" t="s">
        <v>31</v>
      </c>
      <c r="H559" s="10" t="n">
        <v>1110204</v>
      </c>
      <c r="I559" s="12" t="s">
        <v>177</v>
      </c>
      <c r="J559" s="10" t="n">
        <v>1401605</v>
      </c>
      <c r="L559" s="10" t="n">
        <v>18208</v>
      </c>
      <c r="M559" s="12" t="s">
        <v>33</v>
      </c>
      <c r="N559" s="12" t="s">
        <v>34</v>
      </c>
      <c r="P559" s="10" t="n">
        <v>167</v>
      </c>
      <c r="Q559" s="12" t="s">
        <v>220</v>
      </c>
      <c r="R559" s="12" t="s">
        <v>36</v>
      </c>
      <c r="S559" s="10" t="n">
        <v>1130101</v>
      </c>
      <c r="T559" s="12" t="s">
        <v>37</v>
      </c>
      <c r="U559" s="13" t="n">
        <v>223.3</v>
      </c>
      <c r="W559" s="13" t="n">
        <v>0</v>
      </c>
      <c r="X559" s="12" t="s">
        <v>707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3</v>
      </c>
      <c r="B560" s="11" t="n">
        <v>46221</v>
      </c>
      <c r="C560" s="11" t="n">
        <v>46223</v>
      </c>
      <c r="D560" s="10" t="n">
        <v>1807</v>
      </c>
      <c r="E560" s="12" t="s">
        <v>168</v>
      </c>
      <c r="F560" s="10" t="n">
        <v>24</v>
      </c>
      <c r="G560" s="12" t="s">
        <v>31</v>
      </c>
      <c r="H560" s="10" t="n">
        <v>1110204</v>
      </c>
      <c r="I560" s="12" t="s">
        <v>177</v>
      </c>
      <c r="J560" s="10" t="n">
        <v>1415272</v>
      </c>
      <c r="L560" s="10" t="n">
        <v>626</v>
      </c>
      <c r="M560" s="12" t="s">
        <v>33</v>
      </c>
      <c r="N560" s="12" t="s">
        <v>34</v>
      </c>
      <c r="P560" s="10" t="n">
        <v>101</v>
      </c>
      <c r="Q560" s="12" t="s">
        <v>136</v>
      </c>
      <c r="R560" s="12" t="s">
        <v>169</v>
      </c>
      <c r="S560" s="10" t="n">
        <v>2110701</v>
      </c>
      <c r="T560" s="12" t="s">
        <v>175</v>
      </c>
      <c r="U560" s="13" t="n">
        <v>4324.73</v>
      </c>
      <c r="W560" s="13" t="n">
        <v>0</v>
      </c>
      <c r="X560" s="12" t="s">
        <v>708</v>
      </c>
      <c r="Z560" s="1" t="str">
        <f aca="false">IF($T560="","",IFERROR(INDEX('Resumo Grupos'!$AC$3:$AC$200,MATCH($T560,'Resumo Grupos'!$AB$3:$AB$200,0)),"n/d"))</f>
        <v>Impostos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3</v>
      </c>
      <c r="B561" s="11" t="n">
        <v>46223</v>
      </c>
      <c r="C561" s="11" t="n">
        <v>46223</v>
      </c>
      <c r="D561" s="10" t="n">
        <v>33</v>
      </c>
      <c r="E561" s="12" t="s">
        <v>297</v>
      </c>
      <c r="F561" s="10" t="n">
        <v>34</v>
      </c>
      <c r="G561" s="12" t="s">
        <v>58</v>
      </c>
      <c r="H561" s="10" t="n">
        <v>2110405</v>
      </c>
      <c r="I561" s="12" t="s">
        <v>63</v>
      </c>
      <c r="J561" s="10" t="n">
        <v>1424252</v>
      </c>
      <c r="L561" s="10" t="n">
        <v>222229</v>
      </c>
      <c r="M561" s="12" t="s">
        <v>33</v>
      </c>
      <c r="N561" s="12" t="s">
        <v>34</v>
      </c>
      <c r="P561" s="10" t="n">
        <v>101</v>
      </c>
      <c r="Q561" s="12" t="s">
        <v>136</v>
      </c>
      <c r="R561" s="12" t="s">
        <v>206</v>
      </c>
      <c r="S561" s="10" t="n">
        <v>4210107</v>
      </c>
      <c r="T561" s="12" t="s">
        <v>709</v>
      </c>
      <c r="U561" s="13" t="n">
        <v>224.99</v>
      </c>
      <c r="W561" s="13" t="n">
        <v>0</v>
      </c>
      <c r="X561" s="12" t="s">
        <v>710</v>
      </c>
      <c r="Z561" s="1" t="str">
        <f aca="false">IF($T561="","",IFERROR(INDEX('Resumo Grupos'!$AC$3:$AC$200,MATCH($T561,'Resumo Grupos'!$AB$3:$AB$200,0)),"n/d"))</f>
        <v>Despesa</v>
      </c>
      <c r="AA561" s="1" t="str">
        <f aca="false">IF($T561="","",IF(COUNTIF('Resumo Grupos'!$AE$3:$AE$40,$T561)&gt;0,"NAO","SIM"))</f>
        <v>SIM</v>
      </c>
    </row>
    <row r="562" customFormat="false" ht="45.75" hidden="false" customHeight="true" outlineLevel="0" collapsed="false">
      <c r="A562" s="10" t="n">
        <v>3</v>
      </c>
      <c r="B562" s="11" t="n">
        <v>46223</v>
      </c>
      <c r="C562" s="11" t="n">
        <v>46223</v>
      </c>
      <c r="D562" s="10" t="n">
        <v>42</v>
      </c>
      <c r="E562" s="12" t="s">
        <v>106</v>
      </c>
      <c r="F562" s="10" t="n">
        <v>13</v>
      </c>
      <c r="G562" s="12" t="s">
        <v>91</v>
      </c>
      <c r="H562" s="10" t="n">
        <v>2110101</v>
      </c>
      <c r="I562" s="12" t="s">
        <v>32</v>
      </c>
      <c r="J562" s="10" t="n">
        <v>1424514</v>
      </c>
      <c r="L562" s="10" t="n">
        <v>4398</v>
      </c>
      <c r="M562" s="12" t="s">
        <v>33</v>
      </c>
      <c r="N562" s="12" t="s">
        <v>40</v>
      </c>
      <c r="P562" s="10" t="n">
        <v>167</v>
      </c>
      <c r="Q562" s="12" t="s">
        <v>220</v>
      </c>
      <c r="R562" s="12" t="s">
        <v>36</v>
      </c>
      <c r="S562" s="10" t="n">
        <v>1130101</v>
      </c>
      <c r="T562" s="12" t="s">
        <v>37</v>
      </c>
      <c r="U562" s="13" t="n">
        <v>100</v>
      </c>
      <c r="W562" s="13" t="n">
        <v>100</v>
      </c>
      <c r="X562" s="12" t="s">
        <v>711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45.75" hidden="false" customHeight="true" outlineLevel="0" collapsed="false">
      <c r="A563" s="10" t="n">
        <v>3</v>
      </c>
      <c r="B563" s="11" t="n">
        <v>46223</v>
      </c>
      <c r="C563" s="11" t="n">
        <v>46223</v>
      </c>
      <c r="D563" s="10" t="n">
        <v>42</v>
      </c>
      <c r="E563" s="12" t="s">
        <v>106</v>
      </c>
      <c r="F563" s="10" t="n">
        <v>13</v>
      </c>
      <c r="G563" s="12" t="s">
        <v>91</v>
      </c>
      <c r="H563" s="10" t="n">
        <v>2110101</v>
      </c>
      <c r="I563" s="12" t="s">
        <v>32</v>
      </c>
      <c r="J563" s="10" t="n">
        <v>1424519</v>
      </c>
      <c r="L563" s="10" t="n">
        <v>4399</v>
      </c>
      <c r="M563" s="12" t="s">
        <v>33</v>
      </c>
      <c r="N563" s="12" t="s">
        <v>40</v>
      </c>
      <c r="P563" s="10" t="n">
        <v>167</v>
      </c>
      <c r="Q563" s="12" t="s">
        <v>220</v>
      </c>
      <c r="R563" s="12" t="s">
        <v>36</v>
      </c>
      <c r="S563" s="10" t="n">
        <v>1130101</v>
      </c>
      <c r="T563" s="12" t="s">
        <v>37</v>
      </c>
      <c r="U563" s="13" t="n">
        <v>120</v>
      </c>
      <c r="W563" s="13" t="n">
        <v>120</v>
      </c>
      <c r="X563" s="12" t="s">
        <v>712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3</v>
      </c>
      <c r="B564" s="11" t="n">
        <v>46222</v>
      </c>
      <c r="C564" s="11" t="n">
        <v>46223</v>
      </c>
      <c r="D564" s="10" t="n">
        <v>1936</v>
      </c>
      <c r="E564" s="12" t="s">
        <v>218</v>
      </c>
      <c r="F564" s="10" t="n">
        <v>24</v>
      </c>
      <c r="G564" s="12" t="s">
        <v>31</v>
      </c>
      <c r="H564" s="10" t="n">
        <v>1110204</v>
      </c>
      <c r="I564" s="12" t="s">
        <v>177</v>
      </c>
      <c r="J564" s="10" t="n">
        <v>1424533</v>
      </c>
      <c r="L564" s="10" t="n">
        <v>222293</v>
      </c>
      <c r="M564" s="12" t="s">
        <v>33</v>
      </c>
      <c r="N564" s="12" t="s">
        <v>34</v>
      </c>
      <c r="P564" s="10" t="n">
        <v>167</v>
      </c>
      <c r="Q564" s="12" t="s">
        <v>220</v>
      </c>
      <c r="R564" s="12" t="s">
        <v>36</v>
      </c>
      <c r="S564" s="10" t="n">
        <v>1130101</v>
      </c>
      <c r="T564" s="12" t="s">
        <v>37</v>
      </c>
      <c r="U564" s="13" t="n">
        <v>103.98</v>
      </c>
      <c r="W564" s="13" t="n">
        <v>0</v>
      </c>
      <c r="X564" s="12" t="s">
        <v>550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3</v>
      </c>
      <c r="B565" s="11" t="n">
        <v>46223</v>
      </c>
      <c r="C565" s="11" t="n">
        <v>46223</v>
      </c>
      <c r="D565" s="10" t="n">
        <v>10043</v>
      </c>
      <c r="E565" s="12" t="s">
        <v>145</v>
      </c>
      <c r="F565" s="10" t="n">
        <v>13</v>
      </c>
      <c r="G565" s="12" t="s">
        <v>91</v>
      </c>
      <c r="H565" s="10" t="n">
        <v>2110101</v>
      </c>
      <c r="I565" s="12" t="s">
        <v>32</v>
      </c>
      <c r="J565" s="10" t="n">
        <v>1427384</v>
      </c>
      <c r="L565" s="10" t="n">
        <v>789</v>
      </c>
      <c r="M565" s="12" t="s">
        <v>33</v>
      </c>
      <c r="N565" s="12" t="s">
        <v>40</v>
      </c>
      <c r="P565" s="10" t="n">
        <v>167</v>
      </c>
      <c r="Q565" s="12" t="s">
        <v>220</v>
      </c>
      <c r="R565" s="12" t="s">
        <v>36</v>
      </c>
      <c r="S565" s="10" t="n">
        <v>1130101</v>
      </c>
      <c r="T565" s="12" t="s">
        <v>37</v>
      </c>
      <c r="U565" s="13" t="n">
        <v>270</v>
      </c>
      <c r="W565" s="13" t="n">
        <v>270</v>
      </c>
      <c r="X565" s="12" t="s">
        <v>713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3</v>
      </c>
      <c r="B566" s="11" t="n">
        <v>46223</v>
      </c>
      <c r="C566" s="11" t="n">
        <v>46223</v>
      </c>
      <c r="D566" s="10" t="n">
        <v>514</v>
      </c>
      <c r="E566" s="12" t="s">
        <v>163</v>
      </c>
      <c r="F566" s="10" t="n">
        <v>34</v>
      </c>
      <c r="G566" s="12" t="s">
        <v>58</v>
      </c>
      <c r="H566" s="10" t="n">
        <v>1110204</v>
      </c>
      <c r="I566" s="12" t="s">
        <v>177</v>
      </c>
      <c r="J566" s="10" t="n">
        <v>1436190</v>
      </c>
      <c r="L566" s="10" t="n">
        <v>223704</v>
      </c>
      <c r="M566" s="12" t="s">
        <v>33</v>
      </c>
      <c r="N566" s="12" t="s">
        <v>34</v>
      </c>
      <c r="P566" s="10" t="n">
        <v>102</v>
      </c>
      <c r="Q566" s="12" t="s">
        <v>141</v>
      </c>
      <c r="R566" s="12" t="s">
        <v>222</v>
      </c>
      <c r="S566" s="10" t="n">
        <v>4220199</v>
      </c>
      <c r="T566" s="12" t="s">
        <v>223</v>
      </c>
      <c r="U566" s="13" t="n">
        <v>370</v>
      </c>
      <c r="W566" s="13" t="n">
        <v>0</v>
      </c>
      <c r="X566" s="12" t="s">
        <v>714</v>
      </c>
      <c r="Z566" s="1" t="str">
        <f aca="false">IF($T566="","",IFERROR(INDEX('Resumo Grupos'!$AC$3:$AC$200,MATCH($T566,'Resumo Grupos'!$AB$3:$AB$200,0)),"n/d"))</f>
        <v>Pagamentos outros não operacionais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3</v>
      </c>
      <c r="B567" s="11" t="n">
        <v>46223</v>
      </c>
      <c r="C567" s="11" t="n">
        <v>46223</v>
      </c>
      <c r="D567" s="10" t="n">
        <v>515</v>
      </c>
      <c r="E567" s="12" t="s">
        <v>240</v>
      </c>
      <c r="F567" s="10" t="n">
        <v>34</v>
      </c>
      <c r="G567" s="12" t="s">
        <v>58</v>
      </c>
      <c r="H567" s="10" t="n">
        <v>1110204</v>
      </c>
      <c r="I567" s="12" t="s">
        <v>177</v>
      </c>
      <c r="J567" s="10" t="n">
        <v>1436199</v>
      </c>
      <c r="L567" s="10" t="n">
        <v>223705</v>
      </c>
      <c r="M567" s="12" t="s">
        <v>33</v>
      </c>
      <c r="N567" s="12" t="s">
        <v>34</v>
      </c>
      <c r="P567" s="10" t="n">
        <v>102</v>
      </c>
      <c r="Q567" s="12" t="s">
        <v>141</v>
      </c>
      <c r="R567" s="12" t="s">
        <v>165</v>
      </c>
      <c r="S567" s="10" t="n">
        <v>4210504</v>
      </c>
      <c r="T567" s="12" t="s">
        <v>166</v>
      </c>
      <c r="U567" s="13" t="n">
        <v>165</v>
      </c>
      <c r="W567" s="13" t="n">
        <v>0</v>
      </c>
      <c r="X567" s="12" t="s">
        <v>715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3</v>
      </c>
      <c r="B568" s="11" t="n">
        <v>46196</v>
      </c>
      <c r="C568" s="11" t="n">
        <v>46224</v>
      </c>
      <c r="D568" s="10" t="n">
        <v>1608</v>
      </c>
      <c r="E568" s="12" t="s">
        <v>69</v>
      </c>
      <c r="F568" s="10" t="n">
        <v>24</v>
      </c>
      <c r="G568" s="12" t="s">
        <v>31</v>
      </c>
      <c r="H568" s="10" t="n">
        <v>2110101</v>
      </c>
      <c r="I568" s="12" t="s">
        <v>32</v>
      </c>
      <c r="J568" s="10" t="n">
        <v>1293876</v>
      </c>
      <c r="L568" s="10" t="n">
        <v>16788403</v>
      </c>
      <c r="M568" s="12" t="s">
        <v>33</v>
      </c>
      <c r="N568" s="12" t="s">
        <v>34</v>
      </c>
      <c r="P568" s="10" t="n">
        <v>128</v>
      </c>
      <c r="Q568" s="12" t="s">
        <v>35</v>
      </c>
      <c r="R568" s="12" t="s">
        <v>36</v>
      </c>
      <c r="S568" s="10" t="n">
        <v>1130101</v>
      </c>
      <c r="T568" s="12" t="s">
        <v>37</v>
      </c>
      <c r="U568" s="13" t="n">
        <v>338.67</v>
      </c>
      <c r="W568" s="13" t="n">
        <v>0</v>
      </c>
      <c r="X568" s="12" t="s">
        <v>716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36.75" hidden="false" customHeight="true" outlineLevel="0" collapsed="false">
      <c r="A569" s="10" t="n">
        <v>3</v>
      </c>
      <c r="B569" s="11" t="n">
        <v>46195</v>
      </c>
      <c r="C569" s="11" t="n">
        <v>46224</v>
      </c>
      <c r="D569" s="10" t="n">
        <v>1604</v>
      </c>
      <c r="E569" s="12" t="s">
        <v>466</v>
      </c>
      <c r="F569" s="10" t="n">
        <v>24</v>
      </c>
      <c r="G569" s="12" t="s">
        <v>31</v>
      </c>
      <c r="H569" s="10" t="n">
        <v>2110101</v>
      </c>
      <c r="I569" s="12" t="s">
        <v>32</v>
      </c>
      <c r="J569" s="10" t="n">
        <v>1305167</v>
      </c>
      <c r="L569" s="10" t="n">
        <v>3327593</v>
      </c>
      <c r="M569" s="12" t="s">
        <v>33</v>
      </c>
      <c r="N569" s="12" t="s">
        <v>34</v>
      </c>
      <c r="P569" s="10" t="n">
        <v>128</v>
      </c>
      <c r="Q569" s="12" t="s">
        <v>35</v>
      </c>
      <c r="R569" s="12" t="s">
        <v>36</v>
      </c>
      <c r="S569" s="10" t="n">
        <v>1130101</v>
      </c>
      <c r="T569" s="12" t="s">
        <v>37</v>
      </c>
      <c r="U569" s="13" t="n">
        <v>637.31</v>
      </c>
      <c r="W569" s="13" t="n">
        <v>0</v>
      </c>
      <c r="X569" s="12" t="s">
        <v>717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3</v>
      </c>
      <c r="B570" s="11" t="n">
        <v>46199</v>
      </c>
      <c r="C570" s="11" t="n">
        <v>46224</v>
      </c>
      <c r="D570" s="10" t="n">
        <v>1634</v>
      </c>
      <c r="E570" s="12" t="s">
        <v>604</v>
      </c>
      <c r="F570" s="10" t="n">
        <v>24</v>
      </c>
      <c r="G570" s="12" t="s">
        <v>31</v>
      </c>
      <c r="H570" s="10" t="n">
        <v>2110101</v>
      </c>
      <c r="I570" s="12" t="s">
        <v>32</v>
      </c>
      <c r="J570" s="10" t="n">
        <v>1334071</v>
      </c>
      <c r="L570" s="10" t="n">
        <v>3274642</v>
      </c>
      <c r="M570" s="12" t="s">
        <v>33</v>
      </c>
      <c r="N570" s="12" t="s">
        <v>34</v>
      </c>
      <c r="P570" s="10" t="n">
        <v>167</v>
      </c>
      <c r="Q570" s="12" t="s">
        <v>220</v>
      </c>
      <c r="R570" s="12" t="s">
        <v>36</v>
      </c>
      <c r="S570" s="10" t="n">
        <v>1130101</v>
      </c>
      <c r="T570" s="12" t="s">
        <v>37</v>
      </c>
      <c r="U570" s="13" t="n">
        <v>288.37</v>
      </c>
      <c r="W570" s="13" t="n">
        <v>0</v>
      </c>
      <c r="X570" s="12" t="s">
        <v>718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36.75" hidden="false" customHeight="true" outlineLevel="0" collapsed="false">
      <c r="A571" s="10" t="n">
        <v>3</v>
      </c>
      <c r="B571" s="11" t="n">
        <v>46204</v>
      </c>
      <c r="C571" s="11" t="n">
        <v>46224</v>
      </c>
      <c r="D571" s="10" t="n">
        <v>1624</v>
      </c>
      <c r="E571" s="12" t="s">
        <v>117</v>
      </c>
      <c r="F571" s="10" t="n">
        <v>24</v>
      </c>
      <c r="G571" s="12" t="s">
        <v>31</v>
      </c>
      <c r="H571" s="10" t="n">
        <v>2110101</v>
      </c>
      <c r="I571" s="12" t="s">
        <v>32</v>
      </c>
      <c r="J571" s="10" t="n">
        <v>1340682</v>
      </c>
      <c r="L571" s="10" t="n">
        <v>661520</v>
      </c>
      <c r="M571" s="12" t="s">
        <v>33</v>
      </c>
      <c r="N571" s="12" t="s">
        <v>34</v>
      </c>
      <c r="P571" s="10" t="n">
        <v>167</v>
      </c>
      <c r="Q571" s="12" t="s">
        <v>220</v>
      </c>
      <c r="R571" s="12" t="s">
        <v>36</v>
      </c>
      <c r="S571" s="10" t="n">
        <v>1130101</v>
      </c>
      <c r="T571" s="12" t="s">
        <v>37</v>
      </c>
      <c r="U571" s="13" t="n">
        <v>656.2</v>
      </c>
      <c r="W571" s="13" t="n">
        <v>0</v>
      </c>
      <c r="X571" s="12" t="s">
        <v>719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36.75" hidden="false" customHeight="true" outlineLevel="0" collapsed="false">
      <c r="A572" s="10" t="n">
        <v>3</v>
      </c>
      <c r="B572" s="11" t="n">
        <v>46210</v>
      </c>
      <c r="C572" s="11" t="n">
        <v>46224</v>
      </c>
      <c r="D572" s="10" t="n">
        <v>1024</v>
      </c>
      <c r="E572" s="12" t="s">
        <v>278</v>
      </c>
      <c r="F572" s="10" t="n">
        <v>24</v>
      </c>
      <c r="G572" s="12" t="s">
        <v>31</v>
      </c>
      <c r="H572" s="10" t="n">
        <v>2110101</v>
      </c>
      <c r="I572" s="12" t="s">
        <v>32</v>
      </c>
      <c r="J572" s="10" t="n">
        <v>1364926</v>
      </c>
      <c r="L572" s="10" t="n">
        <v>598141</v>
      </c>
      <c r="M572" s="12" t="s">
        <v>559</v>
      </c>
      <c r="N572" s="12" t="s">
        <v>40</v>
      </c>
      <c r="P572" s="10" t="n">
        <v>167</v>
      </c>
      <c r="Q572" s="12" t="s">
        <v>220</v>
      </c>
      <c r="R572" s="12" t="s">
        <v>36</v>
      </c>
      <c r="S572" s="10" t="n">
        <v>1130101</v>
      </c>
      <c r="T572" s="12" t="s">
        <v>37</v>
      </c>
      <c r="U572" s="13" t="n">
        <v>309.25</v>
      </c>
      <c r="W572" s="13" t="n">
        <v>0</v>
      </c>
      <c r="X572" s="12" t="s">
        <v>720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72.75" hidden="false" customHeight="true" outlineLevel="0" collapsed="false">
      <c r="A573" s="10" t="n">
        <v>3</v>
      </c>
      <c r="B573" s="11" t="n">
        <v>46210</v>
      </c>
      <c r="C573" s="11" t="n">
        <v>46224</v>
      </c>
      <c r="D573" s="10" t="n">
        <v>1612</v>
      </c>
      <c r="E573" s="12" t="s">
        <v>192</v>
      </c>
      <c r="F573" s="10" t="n">
        <v>24</v>
      </c>
      <c r="G573" s="12" t="s">
        <v>31</v>
      </c>
      <c r="H573" s="10" t="n">
        <v>2110101</v>
      </c>
      <c r="I573" s="12" t="s">
        <v>32</v>
      </c>
      <c r="J573" s="10" t="n">
        <v>1365017</v>
      </c>
      <c r="L573" s="10" t="n">
        <v>22989871</v>
      </c>
      <c r="M573" s="12" t="s">
        <v>33</v>
      </c>
      <c r="N573" s="12" t="s">
        <v>34</v>
      </c>
      <c r="P573" s="10" t="n">
        <v>167</v>
      </c>
      <c r="Q573" s="12" t="s">
        <v>220</v>
      </c>
      <c r="R573" s="12" t="s">
        <v>36</v>
      </c>
      <c r="S573" s="10" t="n">
        <v>1130101</v>
      </c>
      <c r="T573" s="12" t="s">
        <v>37</v>
      </c>
      <c r="U573" s="13" t="n">
        <v>977.57</v>
      </c>
      <c r="W573" s="13" t="n">
        <v>0</v>
      </c>
      <c r="X573" s="12" t="s">
        <v>721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72.75" hidden="false" customHeight="true" outlineLevel="0" collapsed="false">
      <c r="A574" s="10" t="n">
        <v>3</v>
      </c>
      <c r="B574" s="11" t="n">
        <v>46210</v>
      </c>
      <c r="C574" s="11" t="n">
        <v>46224</v>
      </c>
      <c r="D574" s="10" t="n">
        <v>1734</v>
      </c>
      <c r="E574" s="12" t="s">
        <v>214</v>
      </c>
      <c r="F574" s="10" t="n">
        <v>24</v>
      </c>
      <c r="G574" s="12" t="s">
        <v>31</v>
      </c>
      <c r="H574" s="10" t="n">
        <v>2110101</v>
      </c>
      <c r="I574" s="12" t="s">
        <v>32</v>
      </c>
      <c r="J574" s="10" t="n">
        <v>1373720</v>
      </c>
      <c r="L574" s="10" t="n">
        <v>2550092</v>
      </c>
      <c r="M574" s="12" t="s">
        <v>33</v>
      </c>
      <c r="N574" s="12" t="s">
        <v>34</v>
      </c>
      <c r="P574" s="10" t="n">
        <v>167</v>
      </c>
      <c r="Q574" s="12" t="s">
        <v>220</v>
      </c>
      <c r="R574" s="12" t="s">
        <v>36</v>
      </c>
      <c r="S574" s="10" t="n">
        <v>1130101</v>
      </c>
      <c r="T574" s="12" t="s">
        <v>37</v>
      </c>
      <c r="U574" s="13" t="n">
        <v>440.02</v>
      </c>
      <c r="W574" s="13" t="n">
        <v>0</v>
      </c>
      <c r="X574" s="12" t="s">
        <v>722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3</v>
      </c>
      <c r="B575" s="11" t="n">
        <v>46195</v>
      </c>
      <c r="C575" s="11" t="n">
        <v>46224</v>
      </c>
      <c r="D575" s="10" t="n">
        <v>1608</v>
      </c>
      <c r="E575" s="12" t="s">
        <v>69</v>
      </c>
      <c r="F575" s="10" t="n">
        <v>24</v>
      </c>
      <c r="G575" s="12" t="s">
        <v>31</v>
      </c>
      <c r="H575" s="10" t="n">
        <v>1110204</v>
      </c>
      <c r="I575" s="12" t="s">
        <v>177</v>
      </c>
      <c r="J575" s="10" t="n">
        <v>1398229</v>
      </c>
      <c r="L575" s="10" t="n">
        <v>16785393</v>
      </c>
      <c r="M575" s="12" t="s">
        <v>33</v>
      </c>
      <c r="N575" s="12" t="s">
        <v>34</v>
      </c>
      <c r="P575" s="10" t="n">
        <v>167</v>
      </c>
      <c r="Q575" s="12" t="s">
        <v>220</v>
      </c>
      <c r="R575" s="12" t="s">
        <v>36</v>
      </c>
      <c r="S575" s="10" t="n">
        <v>1130101</v>
      </c>
      <c r="T575" s="12" t="s">
        <v>37</v>
      </c>
      <c r="U575" s="13" t="n">
        <v>654.96</v>
      </c>
      <c r="W575" s="13" t="n">
        <v>0</v>
      </c>
      <c r="X575" s="12" t="s">
        <v>723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3</v>
      </c>
      <c r="B576" s="11" t="n">
        <v>46220</v>
      </c>
      <c r="C576" s="11" t="n">
        <v>46224</v>
      </c>
      <c r="D576" s="10" t="n">
        <v>42</v>
      </c>
      <c r="E576" s="12" t="s">
        <v>106</v>
      </c>
      <c r="F576" s="10" t="n">
        <v>34</v>
      </c>
      <c r="G576" s="12" t="s">
        <v>58</v>
      </c>
      <c r="H576" s="10" t="n">
        <v>2110101</v>
      </c>
      <c r="I576" s="12" t="s">
        <v>32</v>
      </c>
      <c r="J576" s="10" t="n">
        <v>1411637</v>
      </c>
      <c r="L576" s="10" t="n">
        <v>4391</v>
      </c>
      <c r="M576" s="12" t="s">
        <v>33</v>
      </c>
      <c r="N576" s="12" t="s">
        <v>40</v>
      </c>
      <c r="P576" s="10" t="n">
        <v>167</v>
      </c>
      <c r="Q576" s="12" t="s">
        <v>220</v>
      </c>
      <c r="R576" s="12" t="s">
        <v>36</v>
      </c>
      <c r="S576" s="10" t="n">
        <v>1130101</v>
      </c>
      <c r="T576" s="12" t="s">
        <v>37</v>
      </c>
      <c r="U576" s="13" t="n">
        <v>1926.5</v>
      </c>
      <c r="W576" s="13" t="n">
        <v>0</v>
      </c>
      <c r="X576" s="12" t="s">
        <v>561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27.75" hidden="false" customHeight="true" outlineLevel="0" collapsed="false">
      <c r="A577" s="10" t="n">
        <v>3</v>
      </c>
      <c r="B577" s="11" t="n">
        <v>46220</v>
      </c>
      <c r="C577" s="11" t="n">
        <v>46224</v>
      </c>
      <c r="D577" s="10" t="n">
        <v>1615</v>
      </c>
      <c r="E577" s="12" t="s">
        <v>57</v>
      </c>
      <c r="F577" s="10" t="n">
        <v>34</v>
      </c>
      <c r="G577" s="12" t="s">
        <v>58</v>
      </c>
      <c r="H577" s="10" t="n">
        <v>1110204</v>
      </c>
      <c r="I577" s="12" t="s">
        <v>177</v>
      </c>
      <c r="J577" s="10" t="n">
        <v>1411651</v>
      </c>
      <c r="L577" s="10" t="n">
        <v>14889</v>
      </c>
      <c r="M577" s="12" t="s">
        <v>33</v>
      </c>
      <c r="N577" s="12" t="s">
        <v>34</v>
      </c>
      <c r="P577" s="10" t="n">
        <v>167</v>
      </c>
      <c r="Q577" s="12" t="s">
        <v>220</v>
      </c>
      <c r="R577" s="12" t="s">
        <v>36</v>
      </c>
      <c r="S577" s="10" t="n">
        <v>1130101</v>
      </c>
      <c r="T577" s="12" t="s">
        <v>37</v>
      </c>
      <c r="U577" s="13" t="n">
        <v>370</v>
      </c>
      <c r="W577" s="13" t="n">
        <v>0</v>
      </c>
      <c r="X577" s="12" t="s">
        <v>724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54.75" hidden="false" customHeight="true" outlineLevel="0" collapsed="false">
      <c r="A578" s="10" t="n">
        <v>3</v>
      </c>
      <c r="B578" s="11" t="n">
        <v>46220</v>
      </c>
      <c r="C578" s="11" t="n">
        <v>46224</v>
      </c>
      <c r="D578" s="10" t="n">
        <v>1615</v>
      </c>
      <c r="E578" s="12" t="s">
        <v>57</v>
      </c>
      <c r="F578" s="10" t="n">
        <v>34</v>
      </c>
      <c r="G578" s="12" t="s">
        <v>58</v>
      </c>
      <c r="H578" s="10" t="n">
        <v>1110204</v>
      </c>
      <c r="I578" s="12" t="s">
        <v>177</v>
      </c>
      <c r="J578" s="10" t="n">
        <v>1411656</v>
      </c>
      <c r="L578" s="10" t="n">
        <v>220012</v>
      </c>
      <c r="M578" s="12" t="s">
        <v>33</v>
      </c>
      <c r="N578" s="12" t="s">
        <v>34</v>
      </c>
      <c r="P578" s="10" t="n">
        <v>167</v>
      </c>
      <c r="Q578" s="12" t="s">
        <v>220</v>
      </c>
      <c r="R578" s="12" t="s">
        <v>36</v>
      </c>
      <c r="S578" s="10" t="n">
        <v>1130101</v>
      </c>
      <c r="T578" s="12" t="s">
        <v>37</v>
      </c>
      <c r="U578" s="13" t="n">
        <v>350</v>
      </c>
      <c r="W578" s="13" t="n">
        <v>0</v>
      </c>
      <c r="X578" s="12" t="s">
        <v>725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3</v>
      </c>
      <c r="B579" s="11" t="n">
        <v>46220</v>
      </c>
      <c r="C579" s="11" t="n">
        <v>46224</v>
      </c>
      <c r="D579" s="10" t="n">
        <v>642</v>
      </c>
      <c r="E579" s="12" t="s">
        <v>343</v>
      </c>
      <c r="F579" s="10" t="n">
        <v>24</v>
      </c>
      <c r="G579" s="12" t="s">
        <v>31</v>
      </c>
      <c r="H579" s="10" t="n">
        <v>1110204</v>
      </c>
      <c r="I579" s="12" t="s">
        <v>177</v>
      </c>
      <c r="J579" s="10" t="n">
        <v>1424562</v>
      </c>
      <c r="L579" s="10" t="n">
        <v>786665</v>
      </c>
      <c r="M579" s="12" t="s">
        <v>33</v>
      </c>
      <c r="N579" s="12" t="s">
        <v>34</v>
      </c>
      <c r="P579" s="10" t="n">
        <v>167</v>
      </c>
      <c r="Q579" s="12" t="s">
        <v>220</v>
      </c>
      <c r="R579" s="12" t="s">
        <v>36</v>
      </c>
      <c r="S579" s="10" t="n">
        <v>1130101</v>
      </c>
      <c r="T579" s="12" t="s">
        <v>37</v>
      </c>
      <c r="U579" s="13" t="n">
        <v>180</v>
      </c>
      <c r="W579" s="13" t="n">
        <v>0</v>
      </c>
      <c r="X579" s="12" t="s">
        <v>726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3</v>
      </c>
      <c r="B580" s="11" t="n">
        <v>46223</v>
      </c>
      <c r="C580" s="11" t="n">
        <v>46224</v>
      </c>
      <c r="D580" s="10" t="n">
        <v>33</v>
      </c>
      <c r="E580" s="12" t="s">
        <v>297</v>
      </c>
      <c r="F580" s="10" t="n">
        <v>34</v>
      </c>
      <c r="G580" s="12" t="s">
        <v>58</v>
      </c>
      <c r="H580" s="10" t="n">
        <v>1110204</v>
      </c>
      <c r="I580" s="12" t="s">
        <v>177</v>
      </c>
      <c r="J580" s="10" t="n">
        <v>1425043</v>
      </c>
      <c r="L580" s="10" t="n">
        <v>222360</v>
      </c>
      <c r="M580" s="12" t="s">
        <v>33</v>
      </c>
      <c r="N580" s="12" t="s">
        <v>34</v>
      </c>
      <c r="P580" s="10" t="n">
        <v>101</v>
      </c>
      <c r="Q580" s="12" t="s">
        <v>136</v>
      </c>
      <c r="R580" s="12" t="s">
        <v>337</v>
      </c>
      <c r="S580" s="10" t="n">
        <v>1240203</v>
      </c>
      <c r="T580" s="12" t="s">
        <v>338</v>
      </c>
      <c r="U580" s="13" t="n">
        <v>2320.3</v>
      </c>
      <c r="W580" s="13" t="n">
        <v>0</v>
      </c>
      <c r="X580" s="12" t="s">
        <v>727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3</v>
      </c>
      <c r="B581" s="11" t="n">
        <v>46224</v>
      </c>
      <c r="C581" s="11" t="n">
        <v>46224</v>
      </c>
      <c r="D581" s="10" t="n">
        <v>42</v>
      </c>
      <c r="E581" s="12" t="s">
        <v>106</v>
      </c>
      <c r="F581" s="10" t="n">
        <v>13</v>
      </c>
      <c r="G581" s="12" t="s">
        <v>91</v>
      </c>
      <c r="H581" s="10" t="n">
        <v>2110101</v>
      </c>
      <c r="I581" s="12" t="s">
        <v>32</v>
      </c>
      <c r="J581" s="10" t="n">
        <v>1427540</v>
      </c>
      <c r="L581" s="10" t="n">
        <v>4402</v>
      </c>
      <c r="M581" s="12" t="s">
        <v>33</v>
      </c>
      <c r="N581" s="12" t="s">
        <v>40</v>
      </c>
      <c r="P581" s="10" t="n">
        <v>167</v>
      </c>
      <c r="Q581" s="12" t="s">
        <v>220</v>
      </c>
      <c r="R581" s="12" t="s">
        <v>36</v>
      </c>
      <c r="S581" s="10" t="n">
        <v>1130101</v>
      </c>
      <c r="T581" s="12" t="s">
        <v>37</v>
      </c>
      <c r="U581" s="13" t="n">
        <v>95</v>
      </c>
      <c r="W581" s="13" t="n">
        <v>95</v>
      </c>
      <c r="X581" s="12" t="s">
        <v>728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3</v>
      </c>
      <c r="B582" s="11" t="n">
        <v>46224</v>
      </c>
      <c r="C582" s="11" t="n">
        <v>46224</v>
      </c>
      <c r="D582" s="10" t="n">
        <v>42</v>
      </c>
      <c r="E582" s="12" t="s">
        <v>106</v>
      </c>
      <c r="F582" s="10" t="n">
        <v>13</v>
      </c>
      <c r="G582" s="12" t="s">
        <v>91</v>
      </c>
      <c r="H582" s="10" t="n">
        <v>2110101</v>
      </c>
      <c r="I582" s="12" t="s">
        <v>32</v>
      </c>
      <c r="J582" s="10" t="n">
        <v>1428430</v>
      </c>
      <c r="L582" s="10" t="n">
        <v>4406</v>
      </c>
      <c r="M582" s="12" t="s">
        <v>33</v>
      </c>
      <c r="N582" s="12" t="s">
        <v>40</v>
      </c>
      <c r="P582" s="10" t="n">
        <v>167</v>
      </c>
      <c r="Q582" s="12" t="s">
        <v>220</v>
      </c>
      <c r="R582" s="12" t="s">
        <v>36</v>
      </c>
      <c r="S582" s="10" t="n">
        <v>1130101</v>
      </c>
      <c r="T582" s="12" t="s">
        <v>37</v>
      </c>
      <c r="U582" s="13" t="n">
        <v>125</v>
      </c>
      <c r="W582" s="13" t="n">
        <v>125</v>
      </c>
      <c r="X582" s="12" t="s">
        <v>729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3</v>
      </c>
      <c r="B583" s="11" t="n">
        <v>46189</v>
      </c>
      <c r="C583" s="11" t="n">
        <v>46225</v>
      </c>
      <c r="D583" s="10" t="n">
        <v>1636</v>
      </c>
      <c r="E583" s="12" t="s">
        <v>195</v>
      </c>
      <c r="F583" s="10" t="n">
        <v>24</v>
      </c>
      <c r="G583" s="12" t="s">
        <v>31</v>
      </c>
      <c r="H583" s="10" t="n">
        <v>2110101</v>
      </c>
      <c r="I583" s="12" t="s">
        <v>32</v>
      </c>
      <c r="J583" s="10" t="n">
        <v>1265927</v>
      </c>
      <c r="L583" s="10" t="n">
        <v>32042674</v>
      </c>
      <c r="M583" s="12" t="s">
        <v>33</v>
      </c>
      <c r="N583" s="12" t="s">
        <v>34</v>
      </c>
      <c r="P583" s="10" t="n">
        <v>128</v>
      </c>
      <c r="Q583" s="12" t="s">
        <v>35</v>
      </c>
      <c r="R583" s="12" t="s">
        <v>36</v>
      </c>
      <c r="S583" s="10" t="n">
        <v>1130101</v>
      </c>
      <c r="T583" s="12" t="s">
        <v>37</v>
      </c>
      <c r="U583" s="13" t="n">
        <v>358.9</v>
      </c>
      <c r="W583" s="13" t="n">
        <v>0</v>
      </c>
      <c r="X583" s="12" t="s">
        <v>730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3</v>
      </c>
      <c r="B584" s="11" t="n">
        <v>46189</v>
      </c>
      <c r="C584" s="11" t="n">
        <v>46225</v>
      </c>
      <c r="D584" s="10" t="n">
        <v>1636</v>
      </c>
      <c r="E584" s="12" t="s">
        <v>195</v>
      </c>
      <c r="F584" s="10" t="n">
        <v>24</v>
      </c>
      <c r="G584" s="12" t="s">
        <v>31</v>
      </c>
      <c r="H584" s="10" t="n">
        <v>2110101</v>
      </c>
      <c r="I584" s="12" t="s">
        <v>32</v>
      </c>
      <c r="J584" s="10" t="n">
        <v>1266122</v>
      </c>
      <c r="L584" s="10" t="n">
        <v>32042644</v>
      </c>
      <c r="M584" s="12" t="s">
        <v>33</v>
      </c>
      <c r="N584" s="12" t="s">
        <v>34</v>
      </c>
      <c r="P584" s="10" t="n">
        <v>128</v>
      </c>
      <c r="Q584" s="12" t="s">
        <v>35</v>
      </c>
      <c r="R584" s="12" t="s">
        <v>36</v>
      </c>
      <c r="S584" s="10" t="n">
        <v>1130101</v>
      </c>
      <c r="T584" s="12" t="s">
        <v>37</v>
      </c>
      <c r="U584" s="13" t="n">
        <v>806.43</v>
      </c>
      <c r="W584" s="13" t="n">
        <v>0</v>
      </c>
      <c r="X584" s="12" t="s">
        <v>731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3</v>
      </c>
      <c r="B585" s="11" t="n">
        <v>46197</v>
      </c>
      <c r="C585" s="11" t="n">
        <v>46225</v>
      </c>
      <c r="D585" s="10" t="n">
        <v>1740</v>
      </c>
      <c r="E585" s="12" t="s">
        <v>273</v>
      </c>
      <c r="F585" s="10" t="n">
        <v>24</v>
      </c>
      <c r="G585" s="12" t="s">
        <v>31</v>
      </c>
      <c r="H585" s="10" t="n">
        <v>2110101</v>
      </c>
      <c r="I585" s="12" t="s">
        <v>32</v>
      </c>
      <c r="J585" s="10" t="n">
        <v>1304461</v>
      </c>
      <c r="L585" s="10" t="n">
        <v>12404733</v>
      </c>
      <c r="M585" s="12" t="s">
        <v>33</v>
      </c>
      <c r="N585" s="12" t="s">
        <v>34</v>
      </c>
      <c r="P585" s="10" t="n">
        <v>128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742.53</v>
      </c>
      <c r="W585" s="13" t="n">
        <v>0</v>
      </c>
      <c r="X585" s="12" t="s">
        <v>732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3</v>
      </c>
      <c r="B586" s="11" t="n">
        <v>46044</v>
      </c>
      <c r="C586" s="11" t="n">
        <v>46225</v>
      </c>
      <c r="D586" s="10" t="n">
        <v>514</v>
      </c>
      <c r="E586" s="12" t="s">
        <v>163</v>
      </c>
      <c r="F586" s="10" t="n">
        <v>34</v>
      </c>
      <c r="G586" s="12" t="s">
        <v>58</v>
      </c>
      <c r="H586" s="10" t="n">
        <v>2110405</v>
      </c>
      <c r="I586" s="12" t="s">
        <v>63</v>
      </c>
      <c r="J586" s="10" t="n">
        <v>1306220</v>
      </c>
      <c r="L586" s="10" t="n">
        <v>203991</v>
      </c>
      <c r="M586" s="12" t="s">
        <v>367</v>
      </c>
      <c r="N586" s="12" t="s">
        <v>34</v>
      </c>
      <c r="P586" s="10" t="n">
        <v>101</v>
      </c>
      <c r="Q586" s="12" t="s">
        <v>136</v>
      </c>
      <c r="R586" s="12" t="s">
        <v>411</v>
      </c>
      <c r="S586" s="10" t="n">
        <v>2110901</v>
      </c>
      <c r="T586" s="12" t="s">
        <v>412</v>
      </c>
      <c r="U586" s="13" t="n">
        <v>6601.19</v>
      </c>
      <c r="W586" s="13" t="n">
        <v>0</v>
      </c>
      <c r="X586" s="12" t="s">
        <v>733</v>
      </c>
      <c r="Z586" s="1" t="str">
        <f aca="false">IF($T586="","",IFERROR(INDEX('Resumo Grupos'!$AC$3:$AC$200,MATCH($T586,'Resumo Grupos'!$AB$3:$AB$200,0)),"n/d"))</f>
        <v>Empréstimo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0" t="n">
        <v>3</v>
      </c>
      <c r="B587" s="11" t="n">
        <v>46204</v>
      </c>
      <c r="C587" s="11" t="n">
        <v>46225</v>
      </c>
      <c r="D587" s="10" t="n">
        <v>1740</v>
      </c>
      <c r="E587" s="12" t="s">
        <v>273</v>
      </c>
      <c r="F587" s="10" t="n">
        <v>24</v>
      </c>
      <c r="G587" s="12" t="s">
        <v>31</v>
      </c>
      <c r="H587" s="10" t="n">
        <v>2110101</v>
      </c>
      <c r="I587" s="12" t="s">
        <v>32</v>
      </c>
      <c r="J587" s="10" t="n">
        <v>1335359</v>
      </c>
      <c r="L587" s="10" t="n">
        <v>12428242</v>
      </c>
      <c r="M587" s="12" t="s">
        <v>33</v>
      </c>
      <c r="N587" s="12" t="s">
        <v>34</v>
      </c>
      <c r="P587" s="10" t="n">
        <v>167</v>
      </c>
      <c r="Q587" s="12" t="s">
        <v>220</v>
      </c>
      <c r="R587" s="12" t="s">
        <v>36</v>
      </c>
      <c r="S587" s="10" t="n">
        <v>1130101</v>
      </c>
      <c r="T587" s="12" t="s">
        <v>37</v>
      </c>
      <c r="U587" s="13" t="n">
        <v>683</v>
      </c>
      <c r="W587" s="13" t="n">
        <v>0</v>
      </c>
      <c r="X587" s="12" t="s">
        <v>734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3</v>
      </c>
      <c r="B588" s="11" t="n">
        <v>46204</v>
      </c>
      <c r="C588" s="11" t="n">
        <v>46225</v>
      </c>
      <c r="D588" s="10" t="n">
        <v>1740</v>
      </c>
      <c r="E588" s="12" t="s">
        <v>273</v>
      </c>
      <c r="F588" s="10" t="n">
        <v>24</v>
      </c>
      <c r="G588" s="12" t="s">
        <v>31</v>
      </c>
      <c r="H588" s="10" t="n">
        <v>2110101</v>
      </c>
      <c r="I588" s="12" t="s">
        <v>32</v>
      </c>
      <c r="J588" s="10" t="n">
        <v>1335370</v>
      </c>
      <c r="L588" s="10" t="n">
        <v>12428252</v>
      </c>
      <c r="M588" s="12" t="s">
        <v>33</v>
      </c>
      <c r="N588" s="12" t="s">
        <v>34</v>
      </c>
      <c r="P588" s="10" t="n">
        <v>167</v>
      </c>
      <c r="Q588" s="12" t="s">
        <v>220</v>
      </c>
      <c r="R588" s="12" t="s">
        <v>36</v>
      </c>
      <c r="S588" s="10" t="n">
        <v>1130101</v>
      </c>
      <c r="T588" s="12" t="s">
        <v>37</v>
      </c>
      <c r="U588" s="13" t="n">
        <v>764</v>
      </c>
      <c r="W588" s="13" t="n">
        <v>0</v>
      </c>
      <c r="X588" s="12" t="s">
        <v>735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45.75" hidden="false" customHeight="true" outlineLevel="0" collapsed="false">
      <c r="A589" s="10" t="n">
        <v>3</v>
      </c>
      <c r="B589" s="11" t="n">
        <v>46204</v>
      </c>
      <c r="C589" s="11" t="n">
        <v>46225</v>
      </c>
      <c r="D589" s="10" t="n">
        <v>1749</v>
      </c>
      <c r="E589" s="12" t="s">
        <v>110</v>
      </c>
      <c r="F589" s="10" t="n">
        <v>24</v>
      </c>
      <c r="G589" s="12" t="s">
        <v>31</v>
      </c>
      <c r="H589" s="10" t="n">
        <v>2110101</v>
      </c>
      <c r="I589" s="12" t="s">
        <v>32</v>
      </c>
      <c r="J589" s="10" t="n">
        <v>1340215</v>
      </c>
      <c r="L589" s="10" t="n">
        <v>25453</v>
      </c>
      <c r="M589" s="12" t="s">
        <v>33</v>
      </c>
      <c r="N589" s="12" t="s">
        <v>34</v>
      </c>
      <c r="P589" s="10" t="n">
        <v>167</v>
      </c>
      <c r="Q589" s="12" t="s">
        <v>220</v>
      </c>
      <c r="R589" s="12" t="s">
        <v>36</v>
      </c>
      <c r="S589" s="10" t="n">
        <v>1130101</v>
      </c>
      <c r="T589" s="12" t="s">
        <v>37</v>
      </c>
      <c r="U589" s="13" t="n">
        <v>1599.36</v>
      </c>
      <c r="W589" s="13" t="n">
        <v>0</v>
      </c>
      <c r="X589" s="12" t="s">
        <v>736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45.75" hidden="false" customHeight="true" outlineLevel="0" collapsed="false">
      <c r="A590" s="10" t="n">
        <v>3</v>
      </c>
      <c r="B590" s="11" t="n">
        <v>46211</v>
      </c>
      <c r="C590" s="11" t="n">
        <v>46225</v>
      </c>
      <c r="D590" s="10" t="n">
        <v>1916</v>
      </c>
      <c r="E590" s="12" t="s">
        <v>384</v>
      </c>
      <c r="F590" s="10" t="n">
        <v>24</v>
      </c>
      <c r="G590" s="12" t="s">
        <v>31</v>
      </c>
      <c r="H590" s="10" t="n">
        <v>2110101</v>
      </c>
      <c r="I590" s="12" t="s">
        <v>32</v>
      </c>
      <c r="J590" s="10" t="n">
        <v>1373768</v>
      </c>
      <c r="L590" s="10" t="n">
        <v>397132</v>
      </c>
      <c r="M590" s="12" t="s">
        <v>33</v>
      </c>
      <c r="N590" s="12" t="s">
        <v>34</v>
      </c>
      <c r="P590" s="10" t="n">
        <v>167</v>
      </c>
      <c r="Q590" s="12" t="s">
        <v>220</v>
      </c>
      <c r="R590" s="12" t="s">
        <v>36</v>
      </c>
      <c r="S590" s="10" t="n">
        <v>1130101</v>
      </c>
      <c r="T590" s="12" t="s">
        <v>37</v>
      </c>
      <c r="U590" s="13" t="n">
        <v>1100</v>
      </c>
      <c r="W590" s="13" t="n">
        <v>0</v>
      </c>
      <c r="X590" s="12" t="s">
        <v>737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45.75" hidden="false" customHeight="true" outlineLevel="0" collapsed="false">
      <c r="A591" s="10" t="n">
        <v>3</v>
      </c>
      <c r="B591" s="11" t="n">
        <v>46211</v>
      </c>
      <c r="C591" s="11" t="n">
        <v>46225</v>
      </c>
      <c r="D591" s="10" t="n">
        <v>1740</v>
      </c>
      <c r="E591" s="12" t="s">
        <v>273</v>
      </c>
      <c r="F591" s="10" t="n">
        <v>24</v>
      </c>
      <c r="G591" s="12" t="s">
        <v>31</v>
      </c>
      <c r="H591" s="10" t="n">
        <v>2110101</v>
      </c>
      <c r="I591" s="12" t="s">
        <v>32</v>
      </c>
      <c r="J591" s="10" t="n">
        <v>1373782</v>
      </c>
      <c r="L591" s="10" t="n">
        <v>12453551</v>
      </c>
      <c r="M591" s="12" t="s">
        <v>33</v>
      </c>
      <c r="N591" s="12" t="s">
        <v>34</v>
      </c>
      <c r="P591" s="10" t="n">
        <v>167</v>
      </c>
      <c r="Q591" s="12" t="s">
        <v>220</v>
      </c>
      <c r="R591" s="12" t="s">
        <v>36</v>
      </c>
      <c r="S591" s="10" t="n">
        <v>1130101</v>
      </c>
      <c r="T591" s="12" t="s">
        <v>37</v>
      </c>
      <c r="U591" s="13" t="n">
        <v>902.56</v>
      </c>
      <c r="W591" s="13" t="n">
        <v>0</v>
      </c>
      <c r="X591" s="12" t="s">
        <v>738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3</v>
      </c>
      <c r="B592" s="11" t="n">
        <v>46210</v>
      </c>
      <c r="C592" s="11" t="n">
        <v>46225</v>
      </c>
      <c r="D592" s="10" t="n">
        <v>1107</v>
      </c>
      <c r="E592" s="12" t="s">
        <v>103</v>
      </c>
      <c r="F592" s="10" t="n">
        <v>24</v>
      </c>
      <c r="G592" s="12" t="s">
        <v>31</v>
      </c>
      <c r="H592" s="10" t="n">
        <v>2110101</v>
      </c>
      <c r="I592" s="12" t="s">
        <v>32</v>
      </c>
      <c r="J592" s="10" t="n">
        <v>1373791</v>
      </c>
      <c r="L592" s="10" t="n">
        <v>4263681</v>
      </c>
      <c r="M592" s="12" t="s">
        <v>33</v>
      </c>
      <c r="N592" s="12" t="s">
        <v>34</v>
      </c>
      <c r="P592" s="10" t="n">
        <v>167</v>
      </c>
      <c r="Q592" s="12" t="s">
        <v>220</v>
      </c>
      <c r="R592" s="12" t="s">
        <v>36</v>
      </c>
      <c r="S592" s="10" t="n">
        <v>1130101</v>
      </c>
      <c r="T592" s="12" t="s">
        <v>37</v>
      </c>
      <c r="U592" s="13" t="n">
        <v>651.1</v>
      </c>
      <c r="W592" s="13" t="n">
        <v>0</v>
      </c>
      <c r="X592" s="12" t="s">
        <v>739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3</v>
      </c>
      <c r="B593" s="11" t="n">
        <v>46211</v>
      </c>
      <c r="C593" s="11" t="n">
        <v>46225</v>
      </c>
      <c r="D593" s="10" t="n">
        <v>1676</v>
      </c>
      <c r="E593" s="12" t="s">
        <v>197</v>
      </c>
      <c r="F593" s="10" t="n">
        <v>24</v>
      </c>
      <c r="G593" s="12" t="s">
        <v>31</v>
      </c>
      <c r="H593" s="10" t="n">
        <v>2110101</v>
      </c>
      <c r="I593" s="12" t="s">
        <v>32</v>
      </c>
      <c r="J593" s="10" t="n">
        <v>1373816</v>
      </c>
      <c r="L593" s="10" t="n">
        <v>1037761</v>
      </c>
      <c r="M593" s="12" t="s">
        <v>33</v>
      </c>
      <c r="N593" s="12" t="s">
        <v>34</v>
      </c>
      <c r="P593" s="10" t="n">
        <v>167</v>
      </c>
      <c r="Q593" s="12" t="s">
        <v>220</v>
      </c>
      <c r="R593" s="12" t="s">
        <v>36</v>
      </c>
      <c r="S593" s="10" t="n">
        <v>1130101</v>
      </c>
      <c r="T593" s="12" t="s">
        <v>37</v>
      </c>
      <c r="U593" s="13" t="n">
        <v>572.37</v>
      </c>
      <c r="W593" s="13" t="n">
        <v>0</v>
      </c>
      <c r="X593" s="12" t="s">
        <v>740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45.75" hidden="false" customHeight="true" outlineLevel="0" collapsed="false">
      <c r="A594" s="10" t="n">
        <v>3</v>
      </c>
      <c r="B594" s="11" t="n">
        <v>46217</v>
      </c>
      <c r="C594" s="11" t="n">
        <v>46225</v>
      </c>
      <c r="D594" s="10" t="n">
        <v>1457</v>
      </c>
      <c r="E594" s="12" t="s">
        <v>39</v>
      </c>
      <c r="F594" s="10" t="n">
        <v>24</v>
      </c>
      <c r="G594" s="12" t="s">
        <v>31</v>
      </c>
      <c r="H594" s="10" t="n">
        <v>1110204</v>
      </c>
      <c r="I594" s="12" t="s">
        <v>177</v>
      </c>
      <c r="J594" s="10" t="n">
        <v>1402861</v>
      </c>
      <c r="L594" s="10" t="n">
        <v>193369510</v>
      </c>
      <c r="M594" s="12" t="s">
        <v>33</v>
      </c>
      <c r="N594" s="12" t="s">
        <v>34</v>
      </c>
      <c r="P594" s="10" t="n">
        <v>167</v>
      </c>
      <c r="Q594" s="12" t="s">
        <v>220</v>
      </c>
      <c r="R594" s="12" t="s">
        <v>36</v>
      </c>
      <c r="S594" s="10" t="n">
        <v>1130101</v>
      </c>
      <c r="T594" s="12" t="s">
        <v>37</v>
      </c>
      <c r="U594" s="13" t="n">
        <v>269.49</v>
      </c>
      <c r="W594" s="13" t="n">
        <v>0</v>
      </c>
      <c r="X594" s="12" t="s">
        <v>741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3</v>
      </c>
      <c r="B595" s="11" t="n">
        <v>46219</v>
      </c>
      <c r="C595" s="11" t="n">
        <v>46225</v>
      </c>
      <c r="D595" s="10" t="n">
        <v>42</v>
      </c>
      <c r="E595" s="12" t="s">
        <v>106</v>
      </c>
      <c r="F595" s="10" t="n">
        <v>34</v>
      </c>
      <c r="G595" s="12" t="s">
        <v>58</v>
      </c>
      <c r="H595" s="10" t="n">
        <v>2110101</v>
      </c>
      <c r="I595" s="12" t="s">
        <v>32</v>
      </c>
      <c r="J595" s="10" t="n">
        <v>1406312</v>
      </c>
      <c r="L595" s="10" t="n">
        <v>4386</v>
      </c>
      <c r="M595" s="12" t="s">
        <v>33</v>
      </c>
      <c r="N595" s="12" t="s">
        <v>40</v>
      </c>
      <c r="P595" s="10" t="n">
        <v>167</v>
      </c>
      <c r="Q595" s="12" t="s">
        <v>220</v>
      </c>
      <c r="R595" s="12" t="s">
        <v>36</v>
      </c>
      <c r="S595" s="10" t="n">
        <v>1130101</v>
      </c>
      <c r="T595" s="12" t="s">
        <v>37</v>
      </c>
      <c r="U595" s="13" t="n">
        <v>280</v>
      </c>
      <c r="W595" s="13" t="n">
        <v>0</v>
      </c>
      <c r="X595" s="12" t="s">
        <v>742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3</v>
      </c>
      <c r="B596" s="11" t="n">
        <v>46225</v>
      </c>
      <c r="C596" s="11" t="n">
        <v>46225</v>
      </c>
      <c r="D596" s="10" t="n">
        <v>42</v>
      </c>
      <c r="E596" s="12" t="s">
        <v>106</v>
      </c>
      <c r="F596" s="10" t="n">
        <v>13</v>
      </c>
      <c r="G596" s="12" t="s">
        <v>91</v>
      </c>
      <c r="H596" s="10" t="n">
        <v>2110101</v>
      </c>
      <c r="I596" s="12" t="s">
        <v>32</v>
      </c>
      <c r="J596" s="10" t="n">
        <v>1434141</v>
      </c>
      <c r="L596" s="10" t="n">
        <v>4408</v>
      </c>
      <c r="M596" s="12" t="s">
        <v>33</v>
      </c>
      <c r="N596" s="12" t="s">
        <v>40</v>
      </c>
      <c r="P596" s="10" t="n">
        <v>167</v>
      </c>
      <c r="Q596" s="12" t="s">
        <v>220</v>
      </c>
      <c r="R596" s="12" t="s">
        <v>36</v>
      </c>
      <c r="S596" s="10" t="n">
        <v>1130101</v>
      </c>
      <c r="T596" s="12" t="s">
        <v>37</v>
      </c>
      <c r="U596" s="13" t="n">
        <v>120</v>
      </c>
      <c r="W596" s="13" t="n">
        <v>120</v>
      </c>
      <c r="X596" s="12" t="s">
        <v>221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3</v>
      </c>
      <c r="B597" s="11" t="n">
        <v>46225</v>
      </c>
      <c r="C597" s="11" t="n">
        <v>46225</v>
      </c>
      <c r="D597" s="10" t="n">
        <v>42</v>
      </c>
      <c r="E597" s="12" t="s">
        <v>106</v>
      </c>
      <c r="F597" s="10" t="n">
        <v>13</v>
      </c>
      <c r="G597" s="12" t="s">
        <v>91</v>
      </c>
      <c r="H597" s="10" t="n">
        <v>2110101</v>
      </c>
      <c r="I597" s="12" t="s">
        <v>32</v>
      </c>
      <c r="J597" s="10" t="n">
        <v>1434672</v>
      </c>
      <c r="L597" s="10" t="n">
        <v>4410</v>
      </c>
      <c r="M597" s="12" t="s">
        <v>33</v>
      </c>
      <c r="N597" s="12" t="s">
        <v>40</v>
      </c>
      <c r="P597" s="10" t="n">
        <v>167</v>
      </c>
      <c r="Q597" s="12" t="s">
        <v>220</v>
      </c>
      <c r="R597" s="12" t="s">
        <v>36</v>
      </c>
      <c r="S597" s="10" t="n">
        <v>1130101</v>
      </c>
      <c r="T597" s="12" t="s">
        <v>37</v>
      </c>
      <c r="U597" s="13" t="n">
        <v>125</v>
      </c>
      <c r="W597" s="13" t="n">
        <v>125</v>
      </c>
      <c r="X597" s="12" t="s">
        <v>743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3</v>
      </c>
      <c r="B598" s="11" t="n">
        <v>46191</v>
      </c>
      <c r="C598" s="11" t="n">
        <v>46226</v>
      </c>
      <c r="D598" s="10" t="n">
        <v>1656</v>
      </c>
      <c r="E598" s="12" t="s">
        <v>330</v>
      </c>
      <c r="F598" s="10" t="n">
        <v>24</v>
      </c>
      <c r="G598" s="12" t="s">
        <v>31</v>
      </c>
      <c r="H598" s="10" t="n">
        <v>2110101</v>
      </c>
      <c r="I598" s="12" t="s">
        <v>32</v>
      </c>
      <c r="J598" s="10" t="n">
        <v>1272615</v>
      </c>
      <c r="L598" s="10" t="n">
        <v>2222634</v>
      </c>
      <c r="M598" s="12" t="s">
        <v>33</v>
      </c>
      <c r="N598" s="12" t="s">
        <v>34</v>
      </c>
      <c r="P598" s="10" t="n">
        <v>128</v>
      </c>
      <c r="Q598" s="12" t="s">
        <v>35</v>
      </c>
      <c r="R598" s="12" t="s">
        <v>36</v>
      </c>
      <c r="S598" s="10" t="n">
        <v>1130101</v>
      </c>
      <c r="T598" s="12" t="s">
        <v>37</v>
      </c>
      <c r="U598" s="13" t="n">
        <v>782.56</v>
      </c>
      <c r="W598" s="13" t="n">
        <v>0</v>
      </c>
      <c r="X598" s="12" t="s">
        <v>744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0" t="n">
        <v>3</v>
      </c>
      <c r="B599" s="11" t="n">
        <v>46191</v>
      </c>
      <c r="C599" s="11" t="n">
        <v>46226</v>
      </c>
      <c r="D599" s="10" t="n">
        <v>1657</v>
      </c>
      <c r="E599" s="12" t="s">
        <v>333</v>
      </c>
      <c r="F599" s="10" t="n">
        <v>24</v>
      </c>
      <c r="G599" s="12" t="s">
        <v>31</v>
      </c>
      <c r="H599" s="10" t="n">
        <v>2110101</v>
      </c>
      <c r="I599" s="12" t="s">
        <v>32</v>
      </c>
      <c r="J599" s="10" t="n">
        <v>1279250</v>
      </c>
      <c r="L599" s="10" t="n">
        <v>3747574</v>
      </c>
      <c r="M599" s="12" t="s">
        <v>33</v>
      </c>
      <c r="N599" s="12" t="s">
        <v>34</v>
      </c>
      <c r="P599" s="10" t="n">
        <v>128</v>
      </c>
      <c r="Q599" s="12" t="s">
        <v>35</v>
      </c>
      <c r="R599" s="12" t="s">
        <v>36</v>
      </c>
      <c r="S599" s="10" t="n">
        <v>1130101</v>
      </c>
      <c r="T599" s="12" t="s">
        <v>37</v>
      </c>
      <c r="U599" s="13" t="n">
        <v>977.08</v>
      </c>
      <c r="W599" s="13" t="n">
        <v>0</v>
      </c>
      <c r="X599" s="12" t="s">
        <v>745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0" t="n">
        <v>3</v>
      </c>
      <c r="B600" s="11" t="n">
        <v>46197</v>
      </c>
      <c r="C600" s="11" t="n">
        <v>46226</v>
      </c>
      <c r="D600" s="10" t="n">
        <v>1107</v>
      </c>
      <c r="E600" s="12" t="s">
        <v>103</v>
      </c>
      <c r="F600" s="10" t="n">
        <v>24</v>
      </c>
      <c r="G600" s="12" t="s">
        <v>31</v>
      </c>
      <c r="H600" s="10" t="n">
        <v>2110101</v>
      </c>
      <c r="I600" s="12" t="s">
        <v>32</v>
      </c>
      <c r="J600" s="10" t="n">
        <v>1312386</v>
      </c>
      <c r="L600" s="10" t="n">
        <v>4217653</v>
      </c>
      <c r="M600" s="12" t="s">
        <v>33</v>
      </c>
      <c r="N600" s="12" t="s">
        <v>34</v>
      </c>
      <c r="P600" s="10" t="n">
        <v>128</v>
      </c>
      <c r="Q600" s="12" t="s">
        <v>35</v>
      </c>
      <c r="R600" s="12" t="s">
        <v>36</v>
      </c>
      <c r="S600" s="10" t="n">
        <v>1130101</v>
      </c>
      <c r="T600" s="12" t="s">
        <v>37</v>
      </c>
      <c r="U600" s="13" t="n">
        <v>709.48</v>
      </c>
      <c r="W600" s="13" t="n">
        <v>0</v>
      </c>
      <c r="X600" s="12" t="s">
        <v>746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0" t="n">
        <v>3</v>
      </c>
      <c r="B601" s="11" t="n">
        <v>46198</v>
      </c>
      <c r="C601" s="11" t="n">
        <v>46226</v>
      </c>
      <c r="D601" s="10" t="n">
        <v>1616</v>
      </c>
      <c r="E601" s="12" t="s">
        <v>72</v>
      </c>
      <c r="F601" s="10" t="n">
        <v>24</v>
      </c>
      <c r="G601" s="12" t="s">
        <v>31</v>
      </c>
      <c r="H601" s="10" t="n">
        <v>2110101</v>
      </c>
      <c r="I601" s="12" t="s">
        <v>32</v>
      </c>
      <c r="J601" s="10" t="n">
        <v>1321522</v>
      </c>
      <c r="L601" s="10" t="n">
        <v>6474033</v>
      </c>
      <c r="M601" s="12" t="s">
        <v>33</v>
      </c>
      <c r="N601" s="12" t="s">
        <v>34</v>
      </c>
      <c r="P601" s="10" t="n">
        <v>128</v>
      </c>
      <c r="Q601" s="12" t="s">
        <v>35</v>
      </c>
      <c r="R601" s="12" t="s">
        <v>36</v>
      </c>
      <c r="S601" s="10" t="n">
        <v>1130101</v>
      </c>
      <c r="T601" s="12" t="s">
        <v>37</v>
      </c>
      <c r="U601" s="13" t="n">
        <v>553.36</v>
      </c>
      <c r="W601" s="13" t="n">
        <v>0</v>
      </c>
      <c r="X601" s="12" t="s">
        <v>747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0" t="n">
        <v>3</v>
      </c>
      <c r="B602" s="11" t="n">
        <v>46204</v>
      </c>
      <c r="C602" s="11" t="n">
        <v>46226</v>
      </c>
      <c r="D602" s="10" t="n">
        <v>1734</v>
      </c>
      <c r="E602" s="12" t="s">
        <v>214</v>
      </c>
      <c r="F602" s="10" t="n">
        <v>24</v>
      </c>
      <c r="G602" s="12" t="s">
        <v>31</v>
      </c>
      <c r="H602" s="10" t="n">
        <v>2110101</v>
      </c>
      <c r="I602" s="12" t="s">
        <v>32</v>
      </c>
      <c r="J602" s="10" t="n">
        <v>1334371</v>
      </c>
      <c r="L602" s="10" t="n">
        <v>254511</v>
      </c>
      <c r="M602" s="12" t="s">
        <v>33</v>
      </c>
      <c r="N602" s="12" t="s">
        <v>34</v>
      </c>
      <c r="P602" s="10" t="n">
        <v>167</v>
      </c>
      <c r="Q602" s="12" t="s">
        <v>220</v>
      </c>
      <c r="R602" s="12" t="s">
        <v>36</v>
      </c>
      <c r="S602" s="10" t="n">
        <v>1130101</v>
      </c>
      <c r="T602" s="12" t="s">
        <v>37</v>
      </c>
      <c r="U602" s="13" t="n">
        <v>383.93</v>
      </c>
      <c r="W602" s="13" t="n">
        <v>0</v>
      </c>
      <c r="X602" s="12" t="s">
        <v>748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45.75" hidden="false" customHeight="true" outlineLevel="0" collapsed="false">
      <c r="A603" s="10" t="n">
        <v>3</v>
      </c>
      <c r="B603" s="11" t="n">
        <v>46205</v>
      </c>
      <c r="C603" s="11" t="n">
        <v>46226</v>
      </c>
      <c r="D603" s="10" t="n">
        <v>794</v>
      </c>
      <c r="E603" s="12" t="s">
        <v>74</v>
      </c>
      <c r="F603" s="10" t="n">
        <v>24</v>
      </c>
      <c r="G603" s="12" t="s">
        <v>31</v>
      </c>
      <c r="H603" s="10" t="n">
        <v>2110405</v>
      </c>
      <c r="I603" s="12" t="s">
        <v>63</v>
      </c>
      <c r="J603" s="10" t="n">
        <v>1340243</v>
      </c>
      <c r="L603" s="10" t="n">
        <v>52012</v>
      </c>
      <c r="M603" s="12" t="s">
        <v>33</v>
      </c>
      <c r="N603" s="12" t="s">
        <v>34</v>
      </c>
      <c r="P603" s="10" t="n">
        <v>167</v>
      </c>
      <c r="Q603" s="12" t="s">
        <v>220</v>
      </c>
      <c r="R603" s="12" t="s">
        <v>64</v>
      </c>
      <c r="S603" s="10" t="n">
        <v>4210299</v>
      </c>
      <c r="T603" s="12" t="s">
        <v>615</v>
      </c>
      <c r="U603" s="13" t="n">
        <v>475.95</v>
      </c>
      <c r="W603" s="13" t="n">
        <v>0</v>
      </c>
      <c r="X603" s="12" t="s">
        <v>749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</row>
    <row r="604" customFormat="false" ht="45.75" hidden="false" customHeight="true" outlineLevel="0" collapsed="false">
      <c r="A604" s="10" t="n">
        <v>3</v>
      </c>
      <c r="B604" s="11" t="n">
        <v>46204</v>
      </c>
      <c r="C604" s="11" t="n">
        <v>46226</v>
      </c>
      <c r="D604" s="10" t="n">
        <v>1664</v>
      </c>
      <c r="E604" s="12" t="s">
        <v>618</v>
      </c>
      <c r="F604" s="10" t="n">
        <v>24</v>
      </c>
      <c r="G604" s="12" t="s">
        <v>31</v>
      </c>
      <c r="H604" s="10" t="n">
        <v>2110101</v>
      </c>
      <c r="I604" s="12" t="s">
        <v>32</v>
      </c>
      <c r="J604" s="10" t="n">
        <v>1340453</v>
      </c>
      <c r="L604" s="10" t="n">
        <v>784222</v>
      </c>
      <c r="M604" s="12" t="s">
        <v>33</v>
      </c>
      <c r="N604" s="12" t="s">
        <v>34</v>
      </c>
      <c r="P604" s="10" t="n">
        <v>167</v>
      </c>
      <c r="Q604" s="12" t="s">
        <v>220</v>
      </c>
      <c r="R604" s="12" t="s">
        <v>36</v>
      </c>
      <c r="S604" s="10" t="n">
        <v>1130101</v>
      </c>
      <c r="T604" s="12" t="s">
        <v>37</v>
      </c>
      <c r="U604" s="13" t="n">
        <v>323.78</v>
      </c>
      <c r="W604" s="13" t="n">
        <v>0</v>
      </c>
      <c r="X604" s="12" t="s">
        <v>750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3</v>
      </c>
      <c r="B605" s="11" t="n">
        <v>46206</v>
      </c>
      <c r="C605" s="11" t="n">
        <v>46226</v>
      </c>
      <c r="D605" s="10" t="n">
        <v>1815</v>
      </c>
      <c r="E605" s="12" t="s">
        <v>157</v>
      </c>
      <c r="F605" s="10" t="n">
        <v>24</v>
      </c>
      <c r="G605" s="12" t="s">
        <v>31</v>
      </c>
      <c r="H605" s="10" t="n">
        <v>2110101</v>
      </c>
      <c r="I605" s="12" t="s">
        <v>32</v>
      </c>
      <c r="J605" s="10" t="n">
        <v>1345435</v>
      </c>
      <c r="L605" s="10" t="n">
        <v>4544841</v>
      </c>
      <c r="M605" s="12" t="s">
        <v>33</v>
      </c>
      <c r="N605" s="12" t="s">
        <v>34</v>
      </c>
      <c r="P605" s="10" t="n">
        <v>167</v>
      </c>
      <c r="Q605" s="12" t="s">
        <v>220</v>
      </c>
      <c r="R605" s="12" t="s">
        <v>36</v>
      </c>
      <c r="S605" s="10" t="n">
        <v>1130101</v>
      </c>
      <c r="T605" s="12" t="s">
        <v>37</v>
      </c>
      <c r="U605" s="13" t="n">
        <v>2508.91</v>
      </c>
      <c r="W605" s="13" t="n">
        <v>0</v>
      </c>
      <c r="X605" s="12" t="s">
        <v>751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3</v>
      </c>
      <c r="B606" s="11" t="n">
        <v>46209</v>
      </c>
      <c r="C606" s="11" t="n">
        <v>46226</v>
      </c>
      <c r="D606" s="10" t="n">
        <v>1637</v>
      </c>
      <c r="E606" s="12" t="s">
        <v>127</v>
      </c>
      <c r="F606" s="10" t="n">
        <v>24</v>
      </c>
      <c r="G606" s="12" t="s">
        <v>31</v>
      </c>
      <c r="H606" s="10" t="n">
        <v>2110101</v>
      </c>
      <c r="I606" s="12" t="s">
        <v>32</v>
      </c>
      <c r="J606" s="10" t="n">
        <v>1360583</v>
      </c>
      <c r="L606" s="10" t="n">
        <v>1901472</v>
      </c>
      <c r="M606" s="12" t="s">
        <v>33</v>
      </c>
      <c r="N606" s="12" t="s">
        <v>40</v>
      </c>
      <c r="P606" s="10" t="n">
        <v>167</v>
      </c>
      <c r="Q606" s="12" t="s">
        <v>220</v>
      </c>
      <c r="R606" s="12" t="s">
        <v>36</v>
      </c>
      <c r="S606" s="10" t="n">
        <v>1130101</v>
      </c>
      <c r="T606" s="12" t="s">
        <v>37</v>
      </c>
      <c r="U606" s="13" t="n">
        <v>1573.75</v>
      </c>
      <c r="W606" s="13" t="n">
        <v>0</v>
      </c>
      <c r="X606" s="12" t="s">
        <v>752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3</v>
      </c>
      <c r="B607" s="11" t="n">
        <v>46211</v>
      </c>
      <c r="C607" s="11" t="n">
        <v>46226</v>
      </c>
      <c r="D607" s="10" t="n">
        <v>1718</v>
      </c>
      <c r="E607" s="12" t="s">
        <v>67</v>
      </c>
      <c r="F607" s="10" t="n">
        <v>24</v>
      </c>
      <c r="G607" s="12" t="s">
        <v>31</v>
      </c>
      <c r="H607" s="10" t="n">
        <v>2110101</v>
      </c>
      <c r="I607" s="12" t="s">
        <v>32</v>
      </c>
      <c r="J607" s="10" t="n">
        <v>1373751</v>
      </c>
      <c r="L607" s="10" t="n">
        <v>8043781</v>
      </c>
      <c r="M607" s="12" t="s">
        <v>33</v>
      </c>
      <c r="N607" s="12" t="s">
        <v>34</v>
      </c>
      <c r="P607" s="10" t="n">
        <v>167</v>
      </c>
      <c r="Q607" s="12" t="s">
        <v>220</v>
      </c>
      <c r="R607" s="12" t="s">
        <v>36</v>
      </c>
      <c r="S607" s="10" t="n">
        <v>1130101</v>
      </c>
      <c r="T607" s="12" t="s">
        <v>37</v>
      </c>
      <c r="U607" s="13" t="n">
        <v>369.82</v>
      </c>
      <c r="W607" s="13" t="n">
        <v>0</v>
      </c>
      <c r="X607" s="12" t="s">
        <v>753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3</v>
      </c>
      <c r="B608" s="11" t="n">
        <v>46212</v>
      </c>
      <c r="C608" s="11" t="n">
        <v>46226</v>
      </c>
      <c r="D608" s="10" t="n">
        <v>1656</v>
      </c>
      <c r="E608" s="12" t="s">
        <v>330</v>
      </c>
      <c r="F608" s="10" t="n">
        <v>24</v>
      </c>
      <c r="G608" s="12" t="s">
        <v>31</v>
      </c>
      <c r="H608" s="10" t="n">
        <v>2110101</v>
      </c>
      <c r="I608" s="12" t="s">
        <v>32</v>
      </c>
      <c r="J608" s="10" t="n">
        <v>1373865</v>
      </c>
      <c r="L608" s="10" t="n">
        <v>2233331</v>
      </c>
      <c r="M608" s="12" t="s">
        <v>33</v>
      </c>
      <c r="N608" s="12" t="s">
        <v>34</v>
      </c>
      <c r="P608" s="10" t="n">
        <v>167</v>
      </c>
      <c r="Q608" s="12" t="s">
        <v>220</v>
      </c>
      <c r="R608" s="12" t="s">
        <v>36</v>
      </c>
      <c r="S608" s="10" t="n">
        <v>1130101</v>
      </c>
      <c r="T608" s="12" t="s">
        <v>37</v>
      </c>
      <c r="U608" s="13" t="n">
        <v>396.52</v>
      </c>
      <c r="W608" s="13" t="n">
        <v>0</v>
      </c>
      <c r="X608" s="12" t="s">
        <v>754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3</v>
      </c>
      <c r="B609" s="11" t="n">
        <v>46211</v>
      </c>
      <c r="C609" s="11" t="n">
        <v>46226</v>
      </c>
      <c r="D609" s="10" t="n">
        <v>1605</v>
      </c>
      <c r="E609" s="12" t="s">
        <v>114</v>
      </c>
      <c r="F609" s="10" t="n">
        <v>24</v>
      </c>
      <c r="G609" s="12" t="s">
        <v>31</v>
      </c>
      <c r="H609" s="10" t="n">
        <v>2110101</v>
      </c>
      <c r="I609" s="12" t="s">
        <v>32</v>
      </c>
      <c r="J609" s="10" t="n">
        <v>1374950</v>
      </c>
      <c r="L609" s="10" t="n">
        <v>2178642</v>
      </c>
      <c r="M609" s="12" t="s">
        <v>33</v>
      </c>
      <c r="N609" s="12" t="s">
        <v>34</v>
      </c>
      <c r="P609" s="10" t="n">
        <v>167</v>
      </c>
      <c r="Q609" s="12" t="s">
        <v>220</v>
      </c>
      <c r="R609" s="12" t="s">
        <v>36</v>
      </c>
      <c r="S609" s="10" t="n">
        <v>1130101</v>
      </c>
      <c r="T609" s="12" t="s">
        <v>37</v>
      </c>
      <c r="U609" s="13" t="n">
        <v>357.27</v>
      </c>
      <c r="W609" s="13" t="n">
        <v>0</v>
      </c>
      <c r="X609" s="12" t="s">
        <v>755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3</v>
      </c>
      <c r="B610" s="11" t="n">
        <v>46216</v>
      </c>
      <c r="C610" s="11" t="n">
        <v>46226</v>
      </c>
      <c r="D610" s="10" t="n">
        <v>1723</v>
      </c>
      <c r="E610" s="12" t="s">
        <v>54</v>
      </c>
      <c r="F610" s="10" t="n">
        <v>24</v>
      </c>
      <c r="G610" s="12" t="s">
        <v>31</v>
      </c>
      <c r="H610" s="10" t="n">
        <v>1110204</v>
      </c>
      <c r="I610" s="12" t="s">
        <v>177</v>
      </c>
      <c r="J610" s="10" t="n">
        <v>1392575</v>
      </c>
      <c r="L610" s="10" t="n">
        <v>56293</v>
      </c>
      <c r="M610" s="12" t="s">
        <v>33</v>
      </c>
      <c r="N610" s="12" t="s">
        <v>34</v>
      </c>
      <c r="P610" s="10" t="n">
        <v>167</v>
      </c>
      <c r="Q610" s="12" t="s">
        <v>220</v>
      </c>
      <c r="R610" s="12" t="s">
        <v>36</v>
      </c>
      <c r="S610" s="10" t="n">
        <v>1130101</v>
      </c>
      <c r="T610" s="12" t="s">
        <v>37</v>
      </c>
      <c r="U610" s="13" t="n">
        <v>2052.8</v>
      </c>
      <c r="W610" s="13" t="n">
        <v>0</v>
      </c>
      <c r="X610" s="12" t="s">
        <v>756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45.75" hidden="false" customHeight="true" outlineLevel="0" collapsed="false">
      <c r="A611" s="10" t="n">
        <v>3</v>
      </c>
      <c r="B611" s="11" t="n">
        <v>46218</v>
      </c>
      <c r="C611" s="11" t="n">
        <v>46226</v>
      </c>
      <c r="D611" s="10" t="n">
        <v>1642</v>
      </c>
      <c r="E611" s="12" t="s">
        <v>48</v>
      </c>
      <c r="F611" s="10" t="n">
        <v>24</v>
      </c>
      <c r="G611" s="12" t="s">
        <v>31</v>
      </c>
      <c r="H611" s="10" t="n">
        <v>1110204</v>
      </c>
      <c r="I611" s="12" t="s">
        <v>177</v>
      </c>
      <c r="J611" s="10" t="n">
        <v>1407128</v>
      </c>
      <c r="L611" s="10" t="n">
        <v>1032051</v>
      </c>
      <c r="M611" s="12" t="s">
        <v>33</v>
      </c>
      <c r="N611" s="12" t="s">
        <v>34</v>
      </c>
      <c r="P611" s="10" t="n">
        <v>167</v>
      </c>
      <c r="Q611" s="12" t="s">
        <v>220</v>
      </c>
      <c r="R611" s="12" t="s">
        <v>36</v>
      </c>
      <c r="S611" s="10" t="n">
        <v>1130101</v>
      </c>
      <c r="T611" s="12" t="s">
        <v>37</v>
      </c>
      <c r="U611" s="13" t="n">
        <v>577.1</v>
      </c>
      <c r="W611" s="13" t="n">
        <v>0</v>
      </c>
      <c r="X611" s="12" t="s">
        <v>757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0" t="n">
        <v>3</v>
      </c>
      <c r="B612" s="11" t="n">
        <v>46219</v>
      </c>
      <c r="C612" s="11" t="n">
        <v>46226</v>
      </c>
      <c r="D612" s="10" t="n">
        <v>1039</v>
      </c>
      <c r="E612" s="12" t="s">
        <v>150</v>
      </c>
      <c r="F612" s="10" t="n">
        <v>24</v>
      </c>
      <c r="G612" s="12" t="s">
        <v>31</v>
      </c>
      <c r="H612" s="10" t="n">
        <v>1110204</v>
      </c>
      <c r="I612" s="12" t="s">
        <v>177</v>
      </c>
      <c r="J612" s="10" t="n">
        <v>1410305</v>
      </c>
      <c r="L612" s="10" t="n">
        <v>192871</v>
      </c>
      <c r="M612" s="12" t="s">
        <v>33</v>
      </c>
      <c r="N612" s="12" t="s">
        <v>34</v>
      </c>
      <c r="P612" s="10" t="n">
        <v>167</v>
      </c>
      <c r="Q612" s="12" t="s">
        <v>220</v>
      </c>
      <c r="R612" s="12" t="s">
        <v>36</v>
      </c>
      <c r="S612" s="10" t="n">
        <v>1130101</v>
      </c>
      <c r="T612" s="12" t="s">
        <v>37</v>
      </c>
      <c r="U612" s="13" t="n">
        <v>1453.93</v>
      </c>
      <c r="W612" s="13" t="n">
        <v>0</v>
      </c>
      <c r="X612" s="12" t="s">
        <v>758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0" t="n">
        <v>3</v>
      </c>
      <c r="B613" s="11" t="n">
        <v>46219</v>
      </c>
      <c r="C613" s="11" t="n">
        <v>46226</v>
      </c>
      <c r="D613" s="10" t="n">
        <v>1695</v>
      </c>
      <c r="E613" s="12" t="s">
        <v>211</v>
      </c>
      <c r="F613" s="10" t="n">
        <v>34</v>
      </c>
      <c r="G613" s="12" t="s">
        <v>58</v>
      </c>
      <c r="H613" s="10" t="n">
        <v>1110204</v>
      </c>
      <c r="I613" s="12" t="s">
        <v>177</v>
      </c>
      <c r="J613" s="10" t="n">
        <v>1410345</v>
      </c>
      <c r="L613" s="10" t="n">
        <v>219806</v>
      </c>
      <c r="M613" s="12" t="s">
        <v>33</v>
      </c>
      <c r="N613" s="12" t="s">
        <v>34</v>
      </c>
      <c r="P613" s="10" t="n">
        <v>167</v>
      </c>
      <c r="Q613" s="12" t="s">
        <v>220</v>
      </c>
      <c r="R613" s="12" t="s">
        <v>36</v>
      </c>
      <c r="S613" s="10" t="n">
        <v>1130101</v>
      </c>
      <c r="T613" s="12" t="s">
        <v>37</v>
      </c>
      <c r="U613" s="13" t="n">
        <v>105.9</v>
      </c>
      <c r="W613" s="13" t="n">
        <v>0</v>
      </c>
      <c r="X613" s="12" t="s">
        <v>759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0" t="n">
        <v>3</v>
      </c>
      <c r="B614" s="11" t="n">
        <v>46219</v>
      </c>
      <c r="C614" s="11" t="n">
        <v>46226</v>
      </c>
      <c r="D614" s="10" t="n">
        <v>10018</v>
      </c>
      <c r="E614" s="12" t="s">
        <v>760</v>
      </c>
      <c r="F614" s="10" t="n">
        <v>34</v>
      </c>
      <c r="G614" s="12" t="s">
        <v>58</v>
      </c>
      <c r="H614" s="10" t="n">
        <v>1110204</v>
      </c>
      <c r="I614" s="12" t="s">
        <v>177</v>
      </c>
      <c r="J614" s="10" t="n">
        <v>1410619</v>
      </c>
      <c r="L614" s="10" t="n">
        <v>219853</v>
      </c>
      <c r="M614" s="12" t="s">
        <v>33</v>
      </c>
      <c r="N614" s="12" t="s">
        <v>34</v>
      </c>
      <c r="P614" s="10" t="n">
        <v>167</v>
      </c>
      <c r="Q614" s="12" t="s">
        <v>220</v>
      </c>
      <c r="R614" s="12" t="s">
        <v>36</v>
      </c>
      <c r="S614" s="10" t="n">
        <v>1130101</v>
      </c>
      <c r="T614" s="12" t="s">
        <v>37</v>
      </c>
      <c r="U614" s="13" t="n">
        <v>925</v>
      </c>
      <c r="W614" s="13" t="n">
        <v>0</v>
      </c>
      <c r="X614" s="12" t="s">
        <v>761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0" t="n">
        <v>3</v>
      </c>
      <c r="B615" s="11" t="n">
        <v>46218</v>
      </c>
      <c r="C615" s="11" t="n">
        <v>46226</v>
      </c>
      <c r="D615" s="10" t="n">
        <v>1705</v>
      </c>
      <c r="E615" s="12" t="s">
        <v>252</v>
      </c>
      <c r="F615" s="10" t="n">
        <v>24</v>
      </c>
      <c r="G615" s="12" t="s">
        <v>31</v>
      </c>
      <c r="H615" s="10" t="n">
        <v>1110204</v>
      </c>
      <c r="I615" s="12" t="s">
        <v>177</v>
      </c>
      <c r="J615" s="10" t="n">
        <v>1411780</v>
      </c>
      <c r="L615" s="10" t="n">
        <v>19402105</v>
      </c>
      <c r="M615" s="12" t="s">
        <v>33</v>
      </c>
      <c r="N615" s="12" t="s">
        <v>34</v>
      </c>
      <c r="P615" s="10" t="n">
        <v>167</v>
      </c>
      <c r="Q615" s="12" t="s">
        <v>220</v>
      </c>
      <c r="R615" s="12" t="s">
        <v>36</v>
      </c>
      <c r="S615" s="10" t="n">
        <v>1130101</v>
      </c>
      <c r="T615" s="12" t="s">
        <v>37</v>
      </c>
      <c r="U615" s="13" t="n">
        <v>1042.19</v>
      </c>
      <c r="W615" s="13" t="n">
        <v>0</v>
      </c>
      <c r="X615" s="12" t="s">
        <v>762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3</v>
      </c>
      <c r="B616" s="11" t="n">
        <v>46218</v>
      </c>
      <c r="C616" s="11" t="n">
        <v>46226</v>
      </c>
      <c r="D616" s="10" t="n">
        <v>1705</v>
      </c>
      <c r="E616" s="12" t="s">
        <v>252</v>
      </c>
      <c r="F616" s="10" t="n">
        <v>24</v>
      </c>
      <c r="G616" s="12" t="s">
        <v>31</v>
      </c>
      <c r="H616" s="10" t="n">
        <v>1110204</v>
      </c>
      <c r="I616" s="12" t="s">
        <v>177</v>
      </c>
      <c r="J616" s="10" t="n">
        <v>1411794</v>
      </c>
      <c r="L616" s="10" t="n">
        <v>12071687</v>
      </c>
      <c r="M616" s="12" t="s">
        <v>33</v>
      </c>
      <c r="N616" s="12" t="s">
        <v>34</v>
      </c>
      <c r="P616" s="10" t="n">
        <v>167</v>
      </c>
      <c r="Q616" s="12" t="s">
        <v>220</v>
      </c>
      <c r="R616" s="12" t="s">
        <v>36</v>
      </c>
      <c r="S616" s="10" t="n">
        <v>1130101</v>
      </c>
      <c r="T616" s="12" t="s">
        <v>37</v>
      </c>
      <c r="U616" s="13" t="n">
        <v>1456.69</v>
      </c>
      <c r="W616" s="13" t="n">
        <v>0</v>
      </c>
      <c r="X616" s="12" t="s">
        <v>763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45.75" hidden="false" customHeight="true" outlineLevel="0" collapsed="false">
      <c r="A617" s="10" t="n">
        <v>3</v>
      </c>
      <c r="B617" s="11" t="n">
        <v>46224</v>
      </c>
      <c r="C617" s="11" t="n">
        <v>46226</v>
      </c>
      <c r="D617" s="10" t="n">
        <v>225</v>
      </c>
      <c r="E617" s="12" t="s">
        <v>230</v>
      </c>
      <c r="F617" s="10" t="n">
        <v>34</v>
      </c>
      <c r="G617" s="12" t="s">
        <v>58</v>
      </c>
      <c r="H617" s="10" t="n">
        <v>1110204</v>
      </c>
      <c r="I617" s="12" t="s">
        <v>177</v>
      </c>
      <c r="J617" s="10" t="n">
        <v>1427548</v>
      </c>
      <c r="L617" s="10" t="n">
        <v>222826</v>
      </c>
      <c r="M617" s="12" t="s">
        <v>33</v>
      </c>
      <c r="N617" s="12" t="s">
        <v>34</v>
      </c>
      <c r="P617" s="10" t="n">
        <v>101</v>
      </c>
      <c r="Q617" s="12" t="s">
        <v>136</v>
      </c>
      <c r="R617" s="12" t="s">
        <v>137</v>
      </c>
      <c r="S617" s="10" t="n">
        <v>4210305</v>
      </c>
      <c r="T617" s="12" t="s">
        <v>764</v>
      </c>
      <c r="U617" s="13" t="n">
        <v>67.54</v>
      </c>
      <c r="W617" s="13" t="n">
        <v>0</v>
      </c>
      <c r="X617" s="12" t="s">
        <v>765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3</v>
      </c>
      <c r="B618" s="11" t="n">
        <v>46224</v>
      </c>
      <c r="C618" s="11" t="n">
        <v>46226</v>
      </c>
      <c r="D618" s="10" t="n">
        <v>239</v>
      </c>
      <c r="E618" s="12" t="s">
        <v>229</v>
      </c>
      <c r="F618" s="10" t="n">
        <v>34</v>
      </c>
      <c r="G618" s="12" t="s">
        <v>58</v>
      </c>
      <c r="H618" s="10" t="n">
        <v>1110204</v>
      </c>
      <c r="I618" s="12" t="s">
        <v>177</v>
      </c>
      <c r="J618" s="10" t="n">
        <v>1427734</v>
      </c>
      <c r="L618" s="10" t="n">
        <v>222862</v>
      </c>
      <c r="M618" s="12" t="s">
        <v>33</v>
      </c>
      <c r="N618" s="12" t="s">
        <v>34</v>
      </c>
      <c r="P618" s="10" t="n">
        <v>101</v>
      </c>
      <c r="Q618" s="12" t="s">
        <v>136</v>
      </c>
      <c r="R618" s="12" t="s">
        <v>137</v>
      </c>
      <c r="S618" s="10" t="n">
        <v>4210305</v>
      </c>
      <c r="T618" s="12" t="s">
        <v>764</v>
      </c>
      <c r="U618" s="13" t="n">
        <v>959.12</v>
      </c>
      <c r="W618" s="13" t="n">
        <v>0</v>
      </c>
      <c r="X618" s="12" t="s">
        <v>766</v>
      </c>
      <c r="Z618" s="1" t="str">
        <f aca="false">IF($T618="","",IFERROR(INDEX('Resumo Grupos'!$AC$3:$AC$200,MATCH($T618,'Resumo Grupos'!$AB$3:$AB$200,0)),"n/d"))</f>
        <v>Salários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0" t="n">
        <v>3</v>
      </c>
      <c r="B619" s="11" t="n">
        <v>46226</v>
      </c>
      <c r="C619" s="11" t="n">
        <v>46226</v>
      </c>
      <c r="D619" s="10" t="n">
        <v>42</v>
      </c>
      <c r="E619" s="12" t="s">
        <v>106</v>
      </c>
      <c r="F619" s="10" t="n">
        <v>13</v>
      </c>
      <c r="G619" s="12" t="s">
        <v>91</v>
      </c>
      <c r="H619" s="10" t="n">
        <v>2110101</v>
      </c>
      <c r="I619" s="12" t="s">
        <v>32</v>
      </c>
      <c r="J619" s="10" t="n">
        <v>1438893</v>
      </c>
      <c r="L619" s="10" t="n">
        <v>4413</v>
      </c>
      <c r="M619" s="12" t="s">
        <v>33</v>
      </c>
      <c r="N619" s="12" t="s">
        <v>40</v>
      </c>
      <c r="P619" s="10" t="n">
        <v>167</v>
      </c>
      <c r="Q619" s="12" t="s">
        <v>220</v>
      </c>
      <c r="R619" s="12" t="s">
        <v>36</v>
      </c>
      <c r="S619" s="10" t="n">
        <v>1130101</v>
      </c>
      <c r="T619" s="12" t="s">
        <v>37</v>
      </c>
      <c r="U619" s="13" t="n">
        <v>60</v>
      </c>
      <c r="W619" s="13" t="n">
        <v>60</v>
      </c>
      <c r="X619" s="12" t="s">
        <v>711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3</v>
      </c>
      <c r="B620" s="11" t="n">
        <v>46226</v>
      </c>
      <c r="C620" s="11" t="n">
        <v>46226</v>
      </c>
      <c r="D620" s="10" t="n">
        <v>42</v>
      </c>
      <c r="E620" s="12" t="s">
        <v>106</v>
      </c>
      <c r="F620" s="10" t="n">
        <v>13</v>
      </c>
      <c r="G620" s="12" t="s">
        <v>91</v>
      </c>
      <c r="H620" s="10" t="n">
        <v>2110101</v>
      </c>
      <c r="I620" s="12" t="s">
        <v>32</v>
      </c>
      <c r="J620" s="10" t="n">
        <v>1439345</v>
      </c>
      <c r="L620" s="10" t="n">
        <v>4415</v>
      </c>
      <c r="M620" s="12" t="s">
        <v>33</v>
      </c>
      <c r="N620" s="12" t="s">
        <v>40</v>
      </c>
      <c r="P620" s="10" t="n">
        <v>167</v>
      </c>
      <c r="Q620" s="12" t="s">
        <v>220</v>
      </c>
      <c r="R620" s="12" t="s">
        <v>36</v>
      </c>
      <c r="S620" s="10" t="n">
        <v>1130101</v>
      </c>
      <c r="T620" s="12" t="s">
        <v>37</v>
      </c>
      <c r="U620" s="13" t="n">
        <v>125</v>
      </c>
      <c r="W620" s="13" t="n">
        <v>125</v>
      </c>
      <c r="X620" s="12" t="s">
        <v>743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3</v>
      </c>
      <c r="B621" s="11" t="n">
        <v>46182</v>
      </c>
      <c r="C621" s="11" t="n">
        <v>46227</v>
      </c>
      <c r="D621" s="10" t="n">
        <v>957</v>
      </c>
      <c r="E621" s="12" t="s">
        <v>134</v>
      </c>
      <c r="F621" s="10" t="n">
        <v>24</v>
      </c>
      <c r="G621" s="12" t="s">
        <v>31</v>
      </c>
      <c r="H621" s="10" t="n">
        <v>2110101</v>
      </c>
      <c r="I621" s="12" t="s">
        <v>32</v>
      </c>
      <c r="J621" s="10" t="n">
        <v>1231870</v>
      </c>
      <c r="L621" s="10" t="n">
        <v>202654</v>
      </c>
      <c r="M621" s="12" t="s">
        <v>33</v>
      </c>
      <c r="N621" s="12" t="s">
        <v>34</v>
      </c>
      <c r="P621" s="10" t="n">
        <v>128</v>
      </c>
      <c r="Q621" s="12" t="s">
        <v>35</v>
      </c>
      <c r="R621" s="12" t="s">
        <v>36</v>
      </c>
      <c r="S621" s="10" t="n">
        <v>1130101</v>
      </c>
      <c r="T621" s="12" t="s">
        <v>37</v>
      </c>
      <c r="U621" s="13" t="n">
        <v>227.28</v>
      </c>
      <c r="W621" s="13" t="n">
        <v>0</v>
      </c>
      <c r="X621" s="12" t="s">
        <v>767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3</v>
      </c>
      <c r="B622" s="11" t="n">
        <v>46182</v>
      </c>
      <c r="C622" s="11" t="n">
        <v>46227</v>
      </c>
      <c r="D622" s="10" t="n">
        <v>957</v>
      </c>
      <c r="E622" s="12" t="s">
        <v>134</v>
      </c>
      <c r="F622" s="10" t="n">
        <v>24</v>
      </c>
      <c r="G622" s="12" t="s">
        <v>31</v>
      </c>
      <c r="H622" s="10" t="n">
        <v>2110101</v>
      </c>
      <c r="I622" s="12" t="s">
        <v>32</v>
      </c>
      <c r="J622" s="10" t="n">
        <v>1231888</v>
      </c>
      <c r="L622" s="10" t="n">
        <v>202653</v>
      </c>
      <c r="M622" s="12" t="s">
        <v>33</v>
      </c>
      <c r="N622" s="12" t="s">
        <v>34</v>
      </c>
      <c r="P622" s="10" t="n">
        <v>128</v>
      </c>
      <c r="Q622" s="12" t="s">
        <v>35</v>
      </c>
      <c r="R622" s="12" t="s">
        <v>36</v>
      </c>
      <c r="S622" s="10" t="n">
        <v>1130101</v>
      </c>
      <c r="T622" s="12" t="s">
        <v>37</v>
      </c>
      <c r="U622" s="13" t="n">
        <v>2206.52</v>
      </c>
      <c r="W622" s="13" t="n">
        <v>0</v>
      </c>
      <c r="X622" s="12" t="s">
        <v>768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3</v>
      </c>
      <c r="B623" s="11" t="n">
        <v>46196</v>
      </c>
      <c r="C623" s="11" t="n">
        <v>46227</v>
      </c>
      <c r="D623" s="10" t="n">
        <v>1659</v>
      </c>
      <c r="E623" s="12" t="s">
        <v>30</v>
      </c>
      <c r="F623" s="10" t="n">
        <v>24</v>
      </c>
      <c r="G623" s="12" t="s">
        <v>31</v>
      </c>
      <c r="H623" s="10" t="n">
        <v>2110101</v>
      </c>
      <c r="I623" s="12" t="s">
        <v>32</v>
      </c>
      <c r="J623" s="10" t="n">
        <v>1305103</v>
      </c>
      <c r="L623" s="10" t="n">
        <v>8812243</v>
      </c>
      <c r="M623" s="12" t="s">
        <v>33</v>
      </c>
      <c r="N623" s="12" t="s">
        <v>34</v>
      </c>
      <c r="P623" s="10" t="n">
        <v>128</v>
      </c>
      <c r="Q623" s="12" t="s">
        <v>35</v>
      </c>
      <c r="R623" s="12" t="s">
        <v>36</v>
      </c>
      <c r="S623" s="10" t="n">
        <v>1130101</v>
      </c>
      <c r="T623" s="12" t="s">
        <v>37</v>
      </c>
      <c r="U623" s="13" t="n">
        <v>764.33</v>
      </c>
      <c r="W623" s="13" t="n">
        <v>0</v>
      </c>
      <c r="X623" s="12" t="s">
        <v>769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3</v>
      </c>
      <c r="B624" s="11" t="n">
        <v>46202</v>
      </c>
      <c r="C624" s="11" t="n">
        <v>46227</v>
      </c>
      <c r="D624" s="10" t="n">
        <v>10011</v>
      </c>
      <c r="E624" s="12" t="s">
        <v>770</v>
      </c>
      <c r="F624" s="10" t="n">
        <v>24</v>
      </c>
      <c r="G624" s="12" t="s">
        <v>31</v>
      </c>
      <c r="H624" s="10" t="n">
        <v>2110101</v>
      </c>
      <c r="I624" s="12" t="s">
        <v>32</v>
      </c>
      <c r="J624" s="10" t="n">
        <v>1334040</v>
      </c>
      <c r="L624" s="10" t="n">
        <v>344681</v>
      </c>
      <c r="M624" s="12" t="s">
        <v>33</v>
      </c>
      <c r="N624" s="12" t="s">
        <v>34</v>
      </c>
      <c r="P624" s="10" t="n">
        <v>167</v>
      </c>
      <c r="Q624" s="12" t="s">
        <v>220</v>
      </c>
      <c r="R624" s="12" t="s">
        <v>36</v>
      </c>
      <c r="S624" s="10" t="n">
        <v>1130101</v>
      </c>
      <c r="T624" s="12" t="s">
        <v>37</v>
      </c>
      <c r="U624" s="13" t="n">
        <v>925.9</v>
      </c>
      <c r="W624" s="13" t="n">
        <v>0</v>
      </c>
      <c r="X624" s="12" t="s">
        <v>771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45.75" hidden="false" customHeight="true" outlineLevel="0" collapsed="false">
      <c r="A625" s="10" t="n">
        <v>3</v>
      </c>
      <c r="B625" s="11" t="n">
        <v>46207</v>
      </c>
      <c r="C625" s="11" t="n">
        <v>46227</v>
      </c>
      <c r="D625" s="10" t="n">
        <v>10009</v>
      </c>
      <c r="E625" s="12" t="s">
        <v>99</v>
      </c>
      <c r="F625" s="10" t="n">
        <v>24</v>
      </c>
      <c r="G625" s="12" t="s">
        <v>31</v>
      </c>
      <c r="H625" s="10" t="n">
        <v>2110101</v>
      </c>
      <c r="I625" s="12" t="s">
        <v>32</v>
      </c>
      <c r="J625" s="10" t="n">
        <v>1348387</v>
      </c>
      <c r="L625" s="10" t="n">
        <v>1424294</v>
      </c>
      <c r="M625" s="12" t="s">
        <v>33</v>
      </c>
      <c r="N625" s="12" t="s">
        <v>40</v>
      </c>
      <c r="P625" s="10" t="n">
        <v>167</v>
      </c>
      <c r="Q625" s="12" t="s">
        <v>220</v>
      </c>
      <c r="R625" s="12" t="s">
        <v>36</v>
      </c>
      <c r="S625" s="10" t="n">
        <v>1130101</v>
      </c>
      <c r="T625" s="12" t="s">
        <v>37</v>
      </c>
      <c r="U625" s="13" t="n">
        <v>849.67</v>
      </c>
      <c r="W625" s="13" t="n">
        <v>0</v>
      </c>
      <c r="X625" s="12" t="s">
        <v>772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45.75" hidden="false" customHeight="true" outlineLevel="0" collapsed="false">
      <c r="A626" s="10" t="n">
        <v>3</v>
      </c>
      <c r="B626" s="11" t="n">
        <v>46209</v>
      </c>
      <c r="C626" s="11" t="n">
        <v>46227</v>
      </c>
      <c r="D626" s="10" t="n">
        <v>1136</v>
      </c>
      <c r="E626" s="12" t="s">
        <v>123</v>
      </c>
      <c r="F626" s="10" t="n">
        <v>24</v>
      </c>
      <c r="G626" s="12" t="s">
        <v>31</v>
      </c>
      <c r="H626" s="10" t="n">
        <v>2110101</v>
      </c>
      <c r="I626" s="12" t="s">
        <v>32</v>
      </c>
      <c r="J626" s="10" t="n">
        <v>1377173</v>
      </c>
      <c r="L626" s="10" t="n">
        <v>516261</v>
      </c>
      <c r="M626" s="12" t="s">
        <v>33</v>
      </c>
      <c r="N626" s="12" t="s">
        <v>34</v>
      </c>
      <c r="P626" s="10" t="n">
        <v>167</v>
      </c>
      <c r="Q626" s="12" t="s">
        <v>220</v>
      </c>
      <c r="R626" s="12" t="s">
        <v>36</v>
      </c>
      <c r="S626" s="10" t="n">
        <v>1130101</v>
      </c>
      <c r="T626" s="12" t="s">
        <v>37</v>
      </c>
      <c r="U626" s="13" t="n">
        <v>567.71</v>
      </c>
      <c r="W626" s="13" t="n">
        <v>0</v>
      </c>
      <c r="X626" s="12" t="s">
        <v>773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3</v>
      </c>
      <c r="B627" s="11" t="n">
        <v>46212</v>
      </c>
      <c r="C627" s="11" t="n">
        <v>46227</v>
      </c>
      <c r="D627" s="10" t="n">
        <v>1666</v>
      </c>
      <c r="E627" s="12" t="s">
        <v>179</v>
      </c>
      <c r="F627" s="10" t="n">
        <v>24</v>
      </c>
      <c r="G627" s="12" t="s">
        <v>31</v>
      </c>
      <c r="H627" s="10" t="n">
        <v>2110101</v>
      </c>
      <c r="I627" s="12" t="s">
        <v>32</v>
      </c>
      <c r="J627" s="10" t="n">
        <v>1377206</v>
      </c>
      <c r="L627" s="10" t="n">
        <v>5667172</v>
      </c>
      <c r="M627" s="12" t="s">
        <v>33</v>
      </c>
      <c r="N627" s="12" t="s">
        <v>34</v>
      </c>
      <c r="P627" s="10" t="n">
        <v>167</v>
      </c>
      <c r="Q627" s="12" t="s">
        <v>220</v>
      </c>
      <c r="R627" s="12" t="s">
        <v>36</v>
      </c>
      <c r="S627" s="10" t="n">
        <v>1130101</v>
      </c>
      <c r="T627" s="12" t="s">
        <v>37</v>
      </c>
      <c r="U627" s="13" t="n">
        <v>1901.92</v>
      </c>
      <c r="W627" s="13" t="n">
        <v>0</v>
      </c>
      <c r="X627" s="12" t="s">
        <v>774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3</v>
      </c>
      <c r="B628" s="11" t="n">
        <v>46212</v>
      </c>
      <c r="C628" s="11" t="n">
        <v>46227</v>
      </c>
      <c r="D628" s="10" t="n">
        <v>1816</v>
      </c>
      <c r="E628" s="12" t="s">
        <v>83</v>
      </c>
      <c r="F628" s="10" t="n">
        <v>24</v>
      </c>
      <c r="G628" s="12" t="s">
        <v>31</v>
      </c>
      <c r="H628" s="10" t="n">
        <v>1110204</v>
      </c>
      <c r="I628" s="12" t="s">
        <v>177</v>
      </c>
      <c r="J628" s="10" t="n">
        <v>1392479</v>
      </c>
      <c r="L628" s="10" t="n">
        <v>3333641</v>
      </c>
      <c r="M628" s="12" t="s">
        <v>33</v>
      </c>
      <c r="N628" s="12" t="s">
        <v>34</v>
      </c>
      <c r="P628" s="10" t="n">
        <v>167</v>
      </c>
      <c r="Q628" s="12" t="s">
        <v>220</v>
      </c>
      <c r="R628" s="12" t="s">
        <v>36</v>
      </c>
      <c r="S628" s="10" t="n">
        <v>1130101</v>
      </c>
      <c r="T628" s="12" t="s">
        <v>37</v>
      </c>
      <c r="U628" s="13" t="n">
        <v>1528.63</v>
      </c>
      <c r="W628" s="13" t="n">
        <v>0</v>
      </c>
      <c r="X628" s="12" t="s">
        <v>775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3</v>
      </c>
      <c r="B629" s="11" t="n">
        <v>46218</v>
      </c>
      <c r="C629" s="11" t="n">
        <v>46227</v>
      </c>
      <c r="D629" s="10" t="n">
        <v>10009</v>
      </c>
      <c r="E629" s="12" t="s">
        <v>99</v>
      </c>
      <c r="F629" s="10" t="n">
        <v>24</v>
      </c>
      <c r="G629" s="12" t="s">
        <v>31</v>
      </c>
      <c r="H629" s="10" t="n">
        <v>1110204</v>
      </c>
      <c r="I629" s="12" t="s">
        <v>177</v>
      </c>
      <c r="J629" s="10" t="n">
        <v>1402519</v>
      </c>
      <c r="L629" s="10" t="n">
        <v>1426526</v>
      </c>
      <c r="M629" s="12" t="s">
        <v>33</v>
      </c>
      <c r="N629" s="12" t="s">
        <v>34</v>
      </c>
      <c r="P629" s="10" t="n">
        <v>167</v>
      </c>
      <c r="Q629" s="12" t="s">
        <v>220</v>
      </c>
      <c r="R629" s="12" t="s">
        <v>36</v>
      </c>
      <c r="S629" s="10" t="n">
        <v>1130101</v>
      </c>
      <c r="T629" s="12" t="s">
        <v>37</v>
      </c>
      <c r="U629" s="13" t="n">
        <v>1113.53</v>
      </c>
      <c r="W629" s="13" t="n">
        <v>0</v>
      </c>
      <c r="X629" s="12" t="s">
        <v>776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36.75" hidden="false" customHeight="true" outlineLevel="0" collapsed="false">
      <c r="A630" s="10" t="n">
        <v>3</v>
      </c>
      <c r="B630" s="11" t="n">
        <v>46213</v>
      </c>
      <c r="C630" s="11" t="n">
        <v>46227</v>
      </c>
      <c r="D630" s="10" t="n">
        <v>1657</v>
      </c>
      <c r="E630" s="12" t="s">
        <v>333</v>
      </c>
      <c r="F630" s="10" t="n">
        <v>24</v>
      </c>
      <c r="G630" s="12" t="s">
        <v>31</v>
      </c>
      <c r="H630" s="10" t="n">
        <v>1110204</v>
      </c>
      <c r="I630" s="12" t="s">
        <v>177</v>
      </c>
      <c r="J630" s="10" t="n">
        <v>1407141</v>
      </c>
      <c r="L630" s="10" t="n">
        <v>3761991</v>
      </c>
      <c r="M630" s="12" t="s">
        <v>33</v>
      </c>
      <c r="N630" s="12" t="s">
        <v>34</v>
      </c>
      <c r="P630" s="10" t="n">
        <v>167</v>
      </c>
      <c r="Q630" s="12" t="s">
        <v>220</v>
      </c>
      <c r="R630" s="12" t="s">
        <v>36</v>
      </c>
      <c r="S630" s="10" t="n">
        <v>1130101</v>
      </c>
      <c r="T630" s="12" t="s">
        <v>37</v>
      </c>
      <c r="U630" s="13" t="n">
        <v>708.09</v>
      </c>
      <c r="W630" s="13" t="n">
        <v>0</v>
      </c>
      <c r="X630" s="12" t="s">
        <v>777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3</v>
      </c>
      <c r="B631" s="11" t="n">
        <v>46219</v>
      </c>
      <c r="C631" s="11" t="n">
        <v>46227</v>
      </c>
      <c r="D631" s="10" t="n">
        <v>1814</v>
      </c>
      <c r="E631" s="12" t="s">
        <v>280</v>
      </c>
      <c r="F631" s="10" t="n">
        <v>24</v>
      </c>
      <c r="G631" s="12" t="s">
        <v>31</v>
      </c>
      <c r="H631" s="10" t="n">
        <v>1110204</v>
      </c>
      <c r="I631" s="12" t="s">
        <v>177</v>
      </c>
      <c r="J631" s="10" t="n">
        <v>1411448</v>
      </c>
      <c r="L631" s="10" t="n">
        <v>276211</v>
      </c>
      <c r="M631" s="12" t="s">
        <v>33</v>
      </c>
      <c r="N631" s="12" t="s">
        <v>34</v>
      </c>
      <c r="P631" s="10" t="n">
        <v>167</v>
      </c>
      <c r="Q631" s="12" t="s">
        <v>220</v>
      </c>
      <c r="R631" s="12" t="s">
        <v>36</v>
      </c>
      <c r="S631" s="10" t="n">
        <v>1130101</v>
      </c>
      <c r="T631" s="12" t="s">
        <v>37</v>
      </c>
      <c r="U631" s="13" t="n">
        <v>678.13</v>
      </c>
      <c r="W631" s="13" t="n">
        <v>0</v>
      </c>
      <c r="X631" s="12" t="s">
        <v>778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3</v>
      </c>
      <c r="B632" s="11" t="n">
        <v>46217</v>
      </c>
      <c r="C632" s="11" t="n">
        <v>46227</v>
      </c>
      <c r="D632" s="10" t="n">
        <v>1723</v>
      </c>
      <c r="E632" s="12" t="s">
        <v>54</v>
      </c>
      <c r="F632" s="10" t="n">
        <v>24</v>
      </c>
      <c r="G632" s="12" t="s">
        <v>31</v>
      </c>
      <c r="H632" s="10" t="n">
        <v>1110204</v>
      </c>
      <c r="I632" s="12" t="s">
        <v>177</v>
      </c>
      <c r="J632" s="10" t="n">
        <v>1411463</v>
      </c>
      <c r="L632" s="10" t="n">
        <v>56411</v>
      </c>
      <c r="M632" s="12" t="s">
        <v>33</v>
      </c>
      <c r="N632" s="12" t="s">
        <v>34</v>
      </c>
      <c r="P632" s="10" t="n">
        <v>167</v>
      </c>
      <c r="Q632" s="12" t="s">
        <v>220</v>
      </c>
      <c r="R632" s="12" t="s">
        <v>36</v>
      </c>
      <c r="S632" s="10" t="n">
        <v>1130101</v>
      </c>
      <c r="T632" s="12" t="s">
        <v>37</v>
      </c>
      <c r="U632" s="13" t="n">
        <v>4513.6</v>
      </c>
      <c r="W632" s="13" t="n">
        <v>0</v>
      </c>
      <c r="X632" s="12" t="s">
        <v>779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3</v>
      </c>
      <c r="B633" s="11" t="n">
        <v>46219</v>
      </c>
      <c r="C633" s="11" t="n">
        <v>46227</v>
      </c>
      <c r="D633" s="10" t="n">
        <v>1166</v>
      </c>
      <c r="E633" s="12" t="s">
        <v>460</v>
      </c>
      <c r="F633" s="10" t="n">
        <v>24</v>
      </c>
      <c r="G633" s="12" t="s">
        <v>31</v>
      </c>
      <c r="H633" s="10" t="n">
        <v>1110204</v>
      </c>
      <c r="I633" s="12" t="s">
        <v>177</v>
      </c>
      <c r="J633" s="10" t="n">
        <v>1411480</v>
      </c>
      <c r="L633" s="10" t="n">
        <v>335191</v>
      </c>
      <c r="M633" s="12" t="s">
        <v>33</v>
      </c>
      <c r="N633" s="12" t="s">
        <v>34</v>
      </c>
      <c r="P633" s="10" t="n">
        <v>167</v>
      </c>
      <c r="Q633" s="12" t="s">
        <v>220</v>
      </c>
      <c r="R633" s="12" t="s">
        <v>36</v>
      </c>
      <c r="S633" s="10" t="n">
        <v>1130101</v>
      </c>
      <c r="T633" s="12" t="s">
        <v>37</v>
      </c>
      <c r="U633" s="13" t="n">
        <v>631.62</v>
      </c>
      <c r="W633" s="13" t="n">
        <v>0</v>
      </c>
      <c r="X633" s="12" t="s">
        <v>780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3</v>
      </c>
      <c r="B634" s="11" t="n">
        <v>46220</v>
      </c>
      <c r="C634" s="11" t="n">
        <v>46227</v>
      </c>
      <c r="D634" s="10" t="n">
        <v>1378</v>
      </c>
      <c r="E634" s="12" t="s">
        <v>119</v>
      </c>
      <c r="F634" s="10" t="n">
        <v>24</v>
      </c>
      <c r="G634" s="12" t="s">
        <v>31</v>
      </c>
      <c r="H634" s="10" t="n">
        <v>1110204</v>
      </c>
      <c r="I634" s="12" t="s">
        <v>177</v>
      </c>
      <c r="J634" s="10" t="n">
        <v>1414499</v>
      </c>
      <c r="L634" s="10" t="n">
        <v>18250</v>
      </c>
      <c r="M634" s="12" t="s">
        <v>33</v>
      </c>
      <c r="N634" s="12" t="s">
        <v>34</v>
      </c>
      <c r="P634" s="10" t="n">
        <v>167</v>
      </c>
      <c r="Q634" s="12" t="s">
        <v>220</v>
      </c>
      <c r="R634" s="12" t="s">
        <v>36</v>
      </c>
      <c r="S634" s="10" t="n">
        <v>1130101</v>
      </c>
      <c r="T634" s="12" t="s">
        <v>37</v>
      </c>
      <c r="U634" s="13" t="n">
        <v>201.5</v>
      </c>
      <c r="W634" s="13" t="n">
        <v>0</v>
      </c>
      <c r="X634" s="12" t="s">
        <v>781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36.75" hidden="false" customHeight="true" outlineLevel="0" collapsed="false">
      <c r="A635" s="10" t="n">
        <v>3</v>
      </c>
      <c r="B635" s="11" t="n">
        <v>46223</v>
      </c>
      <c r="C635" s="11" t="n">
        <v>46227</v>
      </c>
      <c r="D635" s="10" t="n">
        <v>33</v>
      </c>
      <c r="E635" s="12" t="s">
        <v>297</v>
      </c>
      <c r="F635" s="10" t="n">
        <v>34</v>
      </c>
      <c r="G635" s="12" t="s">
        <v>58</v>
      </c>
      <c r="H635" s="10" t="n">
        <v>1110204</v>
      </c>
      <c r="I635" s="12" t="s">
        <v>177</v>
      </c>
      <c r="J635" s="10" t="n">
        <v>1425044</v>
      </c>
      <c r="L635" s="10" t="n">
        <v>222361</v>
      </c>
      <c r="M635" s="12" t="s">
        <v>33</v>
      </c>
      <c r="N635" s="12" t="s">
        <v>34</v>
      </c>
      <c r="P635" s="10" t="n">
        <v>101</v>
      </c>
      <c r="Q635" s="12" t="s">
        <v>136</v>
      </c>
      <c r="R635" s="12" t="s">
        <v>337</v>
      </c>
      <c r="S635" s="10" t="n">
        <v>1240203</v>
      </c>
      <c r="T635" s="12" t="s">
        <v>338</v>
      </c>
      <c r="U635" s="13" t="n">
        <v>2320.3</v>
      </c>
      <c r="W635" s="13" t="n">
        <v>0</v>
      </c>
      <c r="X635" s="12" t="s">
        <v>782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3</v>
      </c>
      <c r="B636" s="11" t="n">
        <v>46224</v>
      </c>
      <c r="C636" s="11" t="n">
        <v>46227</v>
      </c>
      <c r="D636" s="10" t="n">
        <v>42</v>
      </c>
      <c r="E636" s="12" t="s">
        <v>106</v>
      </c>
      <c r="F636" s="10" t="n">
        <v>34</v>
      </c>
      <c r="G636" s="12" t="s">
        <v>58</v>
      </c>
      <c r="H636" s="10" t="n">
        <v>2110101</v>
      </c>
      <c r="I636" s="12" t="s">
        <v>32</v>
      </c>
      <c r="J636" s="10" t="n">
        <v>1428532</v>
      </c>
      <c r="L636" s="10" t="n">
        <v>4407</v>
      </c>
      <c r="M636" s="12" t="s">
        <v>33</v>
      </c>
      <c r="N636" s="12" t="s">
        <v>40</v>
      </c>
      <c r="P636" s="10" t="n">
        <v>167</v>
      </c>
      <c r="Q636" s="12" t="s">
        <v>220</v>
      </c>
      <c r="R636" s="12" t="s">
        <v>36</v>
      </c>
      <c r="S636" s="10" t="n">
        <v>1130101</v>
      </c>
      <c r="T636" s="12" t="s">
        <v>37</v>
      </c>
      <c r="U636" s="13" t="n">
        <v>1699.5</v>
      </c>
      <c r="W636" s="13" t="n">
        <v>0</v>
      </c>
      <c r="X636" s="12" t="s">
        <v>391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3</v>
      </c>
      <c r="B637" s="11" t="n">
        <v>46224</v>
      </c>
      <c r="C637" s="11" t="n">
        <v>46227</v>
      </c>
      <c r="D637" s="10" t="n">
        <v>1615</v>
      </c>
      <c r="E637" s="12" t="s">
        <v>57</v>
      </c>
      <c r="F637" s="10" t="n">
        <v>34</v>
      </c>
      <c r="G637" s="12" t="s">
        <v>58</v>
      </c>
      <c r="H637" s="10" t="n">
        <v>1110204</v>
      </c>
      <c r="I637" s="12" t="s">
        <v>177</v>
      </c>
      <c r="J637" s="10" t="n">
        <v>1428559</v>
      </c>
      <c r="L637" s="10" t="n">
        <v>222982</v>
      </c>
      <c r="M637" s="12" t="s">
        <v>33</v>
      </c>
      <c r="N637" s="12" t="s">
        <v>34</v>
      </c>
      <c r="P637" s="10" t="n">
        <v>167</v>
      </c>
      <c r="Q637" s="12" t="s">
        <v>220</v>
      </c>
      <c r="R637" s="12" t="s">
        <v>36</v>
      </c>
      <c r="S637" s="10" t="n">
        <v>1130101</v>
      </c>
      <c r="T637" s="12" t="s">
        <v>37</v>
      </c>
      <c r="U637" s="13" t="n">
        <v>175</v>
      </c>
      <c r="W637" s="13" t="n">
        <v>0</v>
      </c>
      <c r="X637" s="12" t="s">
        <v>783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3</v>
      </c>
      <c r="B638" s="11" t="n">
        <v>46224</v>
      </c>
      <c r="C638" s="11" t="n">
        <v>46227</v>
      </c>
      <c r="D638" s="10" t="n">
        <v>1615</v>
      </c>
      <c r="E638" s="12" t="s">
        <v>57</v>
      </c>
      <c r="F638" s="10" t="n">
        <v>34</v>
      </c>
      <c r="G638" s="12" t="s">
        <v>58</v>
      </c>
      <c r="H638" s="10" t="n">
        <v>1110204</v>
      </c>
      <c r="I638" s="12" t="s">
        <v>177</v>
      </c>
      <c r="J638" s="10" t="n">
        <v>1428582</v>
      </c>
      <c r="L638" s="10" t="n">
        <v>14912</v>
      </c>
      <c r="M638" s="12" t="s">
        <v>33</v>
      </c>
      <c r="N638" s="12" t="s">
        <v>34</v>
      </c>
      <c r="P638" s="10" t="n">
        <v>167</v>
      </c>
      <c r="Q638" s="12" t="s">
        <v>220</v>
      </c>
      <c r="R638" s="12" t="s">
        <v>36</v>
      </c>
      <c r="S638" s="10" t="n">
        <v>1130101</v>
      </c>
      <c r="T638" s="12" t="s">
        <v>37</v>
      </c>
      <c r="U638" s="13" t="n">
        <v>320</v>
      </c>
      <c r="W638" s="13" t="n">
        <v>0</v>
      </c>
      <c r="X638" s="12" t="s">
        <v>784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3</v>
      </c>
      <c r="B639" s="11" t="n">
        <v>46226</v>
      </c>
      <c r="C639" s="11" t="n">
        <v>46227</v>
      </c>
      <c r="D639" s="10" t="n">
        <v>10096</v>
      </c>
      <c r="E639" s="12" t="s">
        <v>785</v>
      </c>
      <c r="F639" s="10" t="n">
        <v>34</v>
      </c>
      <c r="G639" s="12" t="s">
        <v>58</v>
      </c>
      <c r="H639" s="10" t="n">
        <v>1110204</v>
      </c>
      <c r="I639" s="12" t="s">
        <v>177</v>
      </c>
      <c r="J639" s="10" t="n">
        <v>1443300</v>
      </c>
      <c r="L639" s="10" t="n">
        <v>73</v>
      </c>
      <c r="M639" s="12" t="s">
        <v>33</v>
      </c>
      <c r="N639" s="12" t="s">
        <v>34</v>
      </c>
      <c r="P639" s="10" t="n">
        <v>167</v>
      </c>
      <c r="Q639" s="12" t="s">
        <v>220</v>
      </c>
      <c r="R639" s="12" t="s">
        <v>36</v>
      </c>
      <c r="S639" s="10" t="n">
        <v>1130101</v>
      </c>
      <c r="T639" s="12" t="s">
        <v>37</v>
      </c>
      <c r="U639" s="13" t="n">
        <v>240</v>
      </c>
      <c r="W639" s="13" t="n">
        <v>0</v>
      </c>
      <c r="X639" s="12" t="s">
        <v>786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3</v>
      </c>
      <c r="B640" s="11" t="n">
        <v>46227</v>
      </c>
      <c r="C640" s="11" t="n">
        <v>46227</v>
      </c>
      <c r="D640" s="10" t="n">
        <v>42</v>
      </c>
      <c r="E640" s="12" t="s">
        <v>106</v>
      </c>
      <c r="F640" s="10" t="n">
        <v>13</v>
      </c>
      <c r="G640" s="12" t="s">
        <v>91</v>
      </c>
      <c r="H640" s="10" t="n">
        <v>2110101</v>
      </c>
      <c r="I640" s="12" t="s">
        <v>32</v>
      </c>
      <c r="J640" s="10" t="n">
        <v>1443567</v>
      </c>
      <c r="L640" s="10" t="n">
        <v>4417</v>
      </c>
      <c r="M640" s="12" t="s">
        <v>33</v>
      </c>
      <c r="N640" s="12" t="s">
        <v>40</v>
      </c>
      <c r="P640" s="10" t="n">
        <v>167</v>
      </c>
      <c r="Q640" s="12" t="s">
        <v>220</v>
      </c>
      <c r="R640" s="12" t="s">
        <v>36</v>
      </c>
      <c r="S640" s="10" t="n">
        <v>1130101</v>
      </c>
      <c r="T640" s="12" t="s">
        <v>37</v>
      </c>
      <c r="U640" s="13" t="n">
        <v>133.74</v>
      </c>
      <c r="W640" s="13" t="n">
        <v>133.74</v>
      </c>
      <c r="X640" s="12" t="s">
        <v>787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36.75" hidden="false" customHeight="true" outlineLevel="0" collapsed="false">
      <c r="A641" s="10" t="n">
        <v>3</v>
      </c>
      <c r="B641" s="11" t="n">
        <v>46227</v>
      </c>
      <c r="C641" s="11" t="n">
        <v>46227</v>
      </c>
      <c r="D641" s="10" t="n">
        <v>42</v>
      </c>
      <c r="E641" s="12" t="s">
        <v>106</v>
      </c>
      <c r="F641" s="10" t="n">
        <v>13</v>
      </c>
      <c r="G641" s="12" t="s">
        <v>91</v>
      </c>
      <c r="H641" s="10" t="n">
        <v>2110101</v>
      </c>
      <c r="I641" s="12" t="s">
        <v>32</v>
      </c>
      <c r="J641" s="10" t="n">
        <v>1443697</v>
      </c>
      <c r="L641" s="10" t="n">
        <v>4419</v>
      </c>
      <c r="M641" s="12" t="s">
        <v>33</v>
      </c>
      <c r="N641" s="12" t="s">
        <v>40</v>
      </c>
      <c r="P641" s="10" t="n">
        <v>167</v>
      </c>
      <c r="Q641" s="12" t="s">
        <v>220</v>
      </c>
      <c r="R641" s="12" t="s">
        <v>36</v>
      </c>
      <c r="S641" s="10" t="n">
        <v>1130101</v>
      </c>
      <c r="T641" s="12" t="s">
        <v>37</v>
      </c>
      <c r="U641" s="13" t="n">
        <v>80</v>
      </c>
      <c r="W641" s="13" t="n">
        <v>80</v>
      </c>
      <c r="X641" s="12" t="s">
        <v>221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0" t="n">
        <v>3</v>
      </c>
      <c r="B642" s="11" t="n">
        <v>46227</v>
      </c>
      <c r="C642" s="11" t="n">
        <v>46227</v>
      </c>
      <c r="D642" s="10" t="n">
        <v>10035</v>
      </c>
      <c r="E642" s="12" t="s">
        <v>300</v>
      </c>
      <c r="F642" s="10" t="n">
        <v>13</v>
      </c>
      <c r="G642" s="12" t="s">
        <v>91</v>
      </c>
      <c r="H642" s="10" t="n">
        <v>2110101</v>
      </c>
      <c r="I642" s="12" t="s">
        <v>32</v>
      </c>
      <c r="J642" s="10" t="n">
        <v>1443995</v>
      </c>
      <c r="L642" s="10" t="n">
        <v>373</v>
      </c>
      <c r="M642" s="12" t="s">
        <v>33</v>
      </c>
      <c r="N642" s="12" t="s">
        <v>40</v>
      </c>
      <c r="P642" s="10" t="n">
        <v>167</v>
      </c>
      <c r="Q642" s="12" t="s">
        <v>220</v>
      </c>
      <c r="R642" s="12" t="s">
        <v>36</v>
      </c>
      <c r="S642" s="10" t="n">
        <v>1130101</v>
      </c>
      <c r="T642" s="12" t="s">
        <v>37</v>
      </c>
      <c r="U642" s="13" t="n">
        <v>1030</v>
      </c>
      <c r="W642" s="13" t="n">
        <v>1030</v>
      </c>
      <c r="X642" s="12" t="s">
        <v>788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0" t="n">
        <v>3</v>
      </c>
      <c r="B643" s="11" t="n">
        <v>46001</v>
      </c>
      <c r="C643" s="11" t="n">
        <v>46228</v>
      </c>
      <c r="D643" s="10" t="n">
        <v>1839</v>
      </c>
      <c r="E643" s="12" t="s">
        <v>789</v>
      </c>
      <c r="F643" s="10" t="n">
        <v>2</v>
      </c>
      <c r="G643" s="12" t="s">
        <v>573</v>
      </c>
      <c r="H643" s="10" t="n">
        <v>2110102</v>
      </c>
      <c r="I643" s="12" t="s">
        <v>790</v>
      </c>
      <c r="J643" s="10" t="n">
        <v>315650</v>
      </c>
      <c r="L643" s="10" t="n">
        <v>86749</v>
      </c>
      <c r="M643" s="12" t="s">
        <v>688</v>
      </c>
      <c r="N643" s="12" t="s">
        <v>40</v>
      </c>
      <c r="P643" s="10" t="n">
        <v>163</v>
      </c>
      <c r="Q643" s="12" t="s">
        <v>60</v>
      </c>
      <c r="R643" s="12" t="s">
        <v>64</v>
      </c>
      <c r="S643" s="10" t="n">
        <v>4210204</v>
      </c>
      <c r="T643" s="12" t="s">
        <v>791</v>
      </c>
      <c r="U643" s="13" t="n">
        <v>47.99</v>
      </c>
      <c r="W643" s="13" t="n">
        <v>0</v>
      </c>
      <c r="X643" s="12" t="s">
        <v>792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3</v>
      </c>
      <c r="B644" s="11" t="n">
        <v>45991</v>
      </c>
      <c r="C644" s="11" t="n">
        <v>46228</v>
      </c>
      <c r="D644" s="10" t="n">
        <v>10054</v>
      </c>
      <c r="E644" s="12" t="s">
        <v>793</v>
      </c>
      <c r="F644" s="10" t="n">
        <v>2</v>
      </c>
      <c r="G644" s="12" t="s">
        <v>573</v>
      </c>
      <c r="H644" s="10" t="n">
        <v>2110405</v>
      </c>
      <c r="I644" s="12" t="s">
        <v>63</v>
      </c>
      <c r="J644" s="10" t="n">
        <v>777941</v>
      </c>
      <c r="L644" s="10" t="n">
        <v>123778</v>
      </c>
      <c r="M644" s="12" t="s">
        <v>688</v>
      </c>
      <c r="N644" s="12" t="s">
        <v>34</v>
      </c>
      <c r="P644" s="10" t="n">
        <v>129</v>
      </c>
      <c r="Q644" s="12" t="s">
        <v>60</v>
      </c>
      <c r="R644" s="12" t="s">
        <v>64</v>
      </c>
      <c r="S644" s="10" t="n">
        <v>4210227</v>
      </c>
      <c r="T644" s="12" t="s">
        <v>65</v>
      </c>
      <c r="U644" s="13" t="n">
        <v>55.2</v>
      </c>
      <c r="W644" s="13" t="n">
        <v>0</v>
      </c>
      <c r="X644" s="12" t="s">
        <v>794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3</v>
      </c>
      <c r="B645" s="11" t="n">
        <v>46157</v>
      </c>
      <c r="C645" s="11" t="n">
        <v>46228</v>
      </c>
      <c r="D645" s="10" t="n">
        <v>663</v>
      </c>
      <c r="E645" s="12" t="s">
        <v>795</v>
      </c>
      <c r="F645" s="10" t="n">
        <v>2</v>
      </c>
      <c r="G645" s="12" t="s">
        <v>573</v>
      </c>
      <c r="H645" s="10" t="n">
        <v>2110405</v>
      </c>
      <c r="I645" s="12" t="s">
        <v>63</v>
      </c>
      <c r="J645" s="10" t="n">
        <v>1107237</v>
      </c>
      <c r="L645" s="10" t="n">
        <v>174072</v>
      </c>
      <c r="M645" s="12" t="s">
        <v>33</v>
      </c>
      <c r="N645" s="12" t="s">
        <v>34</v>
      </c>
      <c r="P645" s="10" t="n">
        <v>128</v>
      </c>
      <c r="Q645" s="12" t="s">
        <v>35</v>
      </c>
      <c r="R645" s="12" t="s">
        <v>64</v>
      </c>
      <c r="S645" s="10" t="n">
        <v>4210227</v>
      </c>
      <c r="T645" s="12" t="s">
        <v>65</v>
      </c>
      <c r="U645" s="13" t="n">
        <v>711.75</v>
      </c>
      <c r="W645" s="13" t="n">
        <v>0</v>
      </c>
      <c r="X645" s="12" t="s">
        <v>796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0" t="n">
        <v>3</v>
      </c>
      <c r="B646" s="11" t="n">
        <v>46167</v>
      </c>
      <c r="C646" s="11" t="n">
        <v>46228</v>
      </c>
      <c r="D646" s="10" t="n">
        <v>974</v>
      </c>
      <c r="E646" s="12" t="s">
        <v>797</v>
      </c>
      <c r="F646" s="10" t="n">
        <v>2</v>
      </c>
      <c r="G646" s="12" t="s">
        <v>573</v>
      </c>
      <c r="H646" s="10" t="n">
        <v>2110405</v>
      </c>
      <c r="I646" s="12" t="s">
        <v>63</v>
      </c>
      <c r="J646" s="10" t="n">
        <v>1155858</v>
      </c>
      <c r="L646" s="10" t="n">
        <v>181375</v>
      </c>
      <c r="M646" s="12" t="s">
        <v>33</v>
      </c>
      <c r="N646" s="12" t="s">
        <v>34</v>
      </c>
      <c r="P646" s="10" t="n">
        <v>128</v>
      </c>
      <c r="Q646" s="12" t="s">
        <v>35</v>
      </c>
      <c r="R646" s="12" t="s">
        <v>36</v>
      </c>
      <c r="S646" s="10" t="n">
        <v>1130101</v>
      </c>
      <c r="T646" s="12" t="s">
        <v>37</v>
      </c>
      <c r="U646" s="13" t="n">
        <v>309.75</v>
      </c>
      <c r="W646" s="13" t="n">
        <v>0</v>
      </c>
      <c r="X646" s="12" t="s">
        <v>798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0" t="n">
        <v>3</v>
      </c>
      <c r="B647" s="11" t="n">
        <v>46168</v>
      </c>
      <c r="C647" s="11" t="n">
        <v>46228</v>
      </c>
      <c r="D647" s="10" t="n">
        <v>875</v>
      </c>
      <c r="E647" s="12" t="s">
        <v>799</v>
      </c>
      <c r="F647" s="10" t="n">
        <v>2</v>
      </c>
      <c r="G647" s="12" t="s">
        <v>573</v>
      </c>
      <c r="H647" s="10" t="n">
        <v>2110405</v>
      </c>
      <c r="I647" s="12" t="s">
        <v>63</v>
      </c>
      <c r="J647" s="10" t="n">
        <v>1166135</v>
      </c>
      <c r="L647" s="10" t="n">
        <v>182791</v>
      </c>
      <c r="M647" s="12" t="s">
        <v>33</v>
      </c>
      <c r="N647" s="12" t="s">
        <v>34</v>
      </c>
      <c r="P647" s="10" t="n">
        <v>128</v>
      </c>
      <c r="Q647" s="12" t="s">
        <v>35</v>
      </c>
      <c r="R647" s="12" t="s">
        <v>36</v>
      </c>
      <c r="S647" s="10" t="n">
        <v>1130101</v>
      </c>
      <c r="T647" s="12" t="s">
        <v>37</v>
      </c>
      <c r="U647" s="13" t="n">
        <v>1633.2</v>
      </c>
      <c r="W647" s="13" t="n">
        <v>0</v>
      </c>
      <c r="X647" s="12" t="s">
        <v>800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3</v>
      </c>
      <c r="B648" s="11" t="n">
        <v>46168</v>
      </c>
      <c r="C648" s="11" t="n">
        <v>46228</v>
      </c>
      <c r="D648" s="10" t="n">
        <v>10080</v>
      </c>
      <c r="E648" s="12" t="s">
        <v>801</v>
      </c>
      <c r="F648" s="10" t="n">
        <v>2</v>
      </c>
      <c r="G648" s="12" t="s">
        <v>573</v>
      </c>
      <c r="H648" s="10" t="n">
        <v>2110405</v>
      </c>
      <c r="I648" s="12" t="s">
        <v>63</v>
      </c>
      <c r="J648" s="10" t="n">
        <v>1231906</v>
      </c>
      <c r="L648" s="10" t="n">
        <v>192803</v>
      </c>
      <c r="M648" s="12" t="s">
        <v>33</v>
      </c>
      <c r="N648" s="12" t="s">
        <v>34</v>
      </c>
      <c r="P648" s="10" t="n">
        <v>128</v>
      </c>
      <c r="Q648" s="12" t="s">
        <v>35</v>
      </c>
      <c r="R648" s="12" t="s">
        <v>36</v>
      </c>
      <c r="S648" s="10" t="n">
        <v>1130101</v>
      </c>
      <c r="T648" s="12" t="s">
        <v>37</v>
      </c>
      <c r="U648" s="13" t="n">
        <v>205.75</v>
      </c>
      <c r="W648" s="13" t="n">
        <v>0</v>
      </c>
      <c r="X648" s="12" t="s">
        <v>802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0" t="n">
        <v>3</v>
      </c>
      <c r="B649" s="11" t="n">
        <v>46198</v>
      </c>
      <c r="C649" s="11" t="n">
        <v>46228</v>
      </c>
      <c r="D649" s="10" t="n">
        <v>1175</v>
      </c>
      <c r="E649" s="12" t="s">
        <v>789</v>
      </c>
      <c r="F649" s="10" t="n">
        <v>2</v>
      </c>
      <c r="G649" s="12" t="s">
        <v>573</v>
      </c>
      <c r="H649" s="10" t="n">
        <v>2110405</v>
      </c>
      <c r="I649" s="12" t="s">
        <v>63</v>
      </c>
      <c r="J649" s="10" t="n">
        <v>1156455</v>
      </c>
      <c r="L649" s="10" t="n">
        <v>181468</v>
      </c>
      <c r="M649" s="12" t="s">
        <v>559</v>
      </c>
      <c r="N649" s="12" t="s">
        <v>34</v>
      </c>
      <c r="P649" s="10" t="n">
        <v>102</v>
      </c>
      <c r="Q649" s="12" t="s">
        <v>141</v>
      </c>
      <c r="R649" s="12" t="s">
        <v>64</v>
      </c>
      <c r="S649" s="10" t="n">
        <v>4210227</v>
      </c>
      <c r="T649" s="12" t="s">
        <v>65</v>
      </c>
      <c r="U649" s="13" t="n">
        <v>49.97</v>
      </c>
      <c r="W649" s="13" t="n">
        <v>0</v>
      </c>
      <c r="X649" s="12" t="s">
        <v>803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3</v>
      </c>
      <c r="B650" s="11" t="n">
        <v>46200</v>
      </c>
      <c r="C650" s="11" t="n">
        <v>46228</v>
      </c>
      <c r="D650" s="10" t="n">
        <v>10086</v>
      </c>
      <c r="E650" s="12" t="s">
        <v>804</v>
      </c>
      <c r="F650" s="10" t="n">
        <v>34</v>
      </c>
      <c r="G650" s="12" t="s">
        <v>58</v>
      </c>
      <c r="H650" s="10" t="n">
        <v>2110101</v>
      </c>
      <c r="I650" s="12" t="s">
        <v>32</v>
      </c>
      <c r="J650" s="10" t="n">
        <v>1312295</v>
      </c>
      <c r="L650" s="10" t="n">
        <v>45</v>
      </c>
      <c r="M650" s="12" t="s">
        <v>33</v>
      </c>
      <c r="N650" s="12" t="s">
        <v>40</v>
      </c>
      <c r="P650" s="10" t="n">
        <v>128</v>
      </c>
      <c r="Q650" s="12" t="s">
        <v>35</v>
      </c>
      <c r="R650" s="12" t="s">
        <v>36</v>
      </c>
      <c r="S650" s="10" t="n">
        <v>1130101</v>
      </c>
      <c r="T650" s="12" t="s">
        <v>37</v>
      </c>
      <c r="U650" s="13" t="n">
        <v>180</v>
      </c>
      <c r="W650" s="13" t="n">
        <v>0</v>
      </c>
      <c r="X650" s="12" t="s">
        <v>805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3</v>
      </c>
      <c r="B651" s="11" t="n">
        <v>46203</v>
      </c>
      <c r="C651" s="11" t="n">
        <v>46228</v>
      </c>
      <c r="D651" s="10" t="n">
        <v>489</v>
      </c>
      <c r="E651" s="12" t="s">
        <v>393</v>
      </c>
      <c r="F651" s="10" t="n">
        <v>2</v>
      </c>
      <c r="G651" s="12" t="s">
        <v>573</v>
      </c>
      <c r="H651" s="10" t="n">
        <v>2110405</v>
      </c>
      <c r="I651" s="12" t="s">
        <v>63</v>
      </c>
      <c r="J651" s="10" t="n">
        <v>1334121</v>
      </c>
      <c r="L651" s="10" t="n">
        <v>208372</v>
      </c>
      <c r="M651" s="12" t="s">
        <v>33</v>
      </c>
      <c r="N651" s="12" t="s">
        <v>34</v>
      </c>
      <c r="P651" s="10" t="n">
        <v>167</v>
      </c>
      <c r="Q651" s="12" t="s">
        <v>220</v>
      </c>
      <c r="R651" s="12" t="s">
        <v>36</v>
      </c>
      <c r="S651" s="10" t="n">
        <v>1130101</v>
      </c>
      <c r="T651" s="12" t="s">
        <v>37</v>
      </c>
      <c r="U651" s="13" t="n">
        <v>101.12</v>
      </c>
      <c r="W651" s="13" t="n">
        <v>0</v>
      </c>
      <c r="X651" s="12" t="s">
        <v>806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3</v>
      </c>
      <c r="B652" s="11" t="n">
        <v>46211</v>
      </c>
      <c r="C652" s="11" t="n">
        <v>46228</v>
      </c>
      <c r="D652" s="10" t="n">
        <v>1672</v>
      </c>
      <c r="E652" s="12" t="s">
        <v>93</v>
      </c>
      <c r="F652" s="10" t="n">
        <v>24</v>
      </c>
      <c r="G652" s="12" t="s">
        <v>31</v>
      </c>
      <c r="H652" s="10" t="n">
        <v>2110101</v>
      </c>
      <c r="I652" s="12" t="s">
        <v>32</v>
      </c>
      <c r="J652" s="10" t="n">
        <v>1369286</v>
      </c>
      <c r="L652" s="10" t="n">
        <v>1388539</v>
      </c>
      <c r="M652" s="12" t="s">
        <v>559</v>
      </c>
      <c r="N652" s="12" t="s">
        <v>40</v>
      </c>
      <c r="P652" s="10" t="n">
        <v>167</v>
      </c>
      <c r="Q652" s="12" t="s">
        <v>220</v>
      </c>
      <c r="R652" s="12" t="s">
        <v>36</v>
      </c>
      <c r="S652" s="10" t="n">
        <v>1130101</v>
      </c>
      <c r="T652" s="12" t="s">
        <v>37</v>
      </c>
      <c r="U652" s="13" t="n">
        <v>887.5</v>
      </c>
      <c r="W652" s="13" t="n">
        <v>0</v>
      </c>
      <c r="X652" s="12" t="s">
        <v>807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3</v>
      </c>
      <c r="B653" s="11" t="n">
        <v>46211</v>
      </c>
      <c r="C653" s="11" t="n">
        <v>46228</v>
      </c>
      <c r="D653" s="10" t="n">
        <v>1398</v>
      </c>
      <c r="E653" s="12" t="s">
        <v>808</v>
      </c>
      <c r="F653" s="10" t="n">
        <v>24</v>
      </c>
      <c r="G653" s="12" t="s">
        <v>31</v>
      </c>
      <c r="H653" s="10" t="n">
        <v>1110204</v>
      </c>
      <c r="I653" s="12" t="s">
        <v>177</v>
      </c>
      <c r="J653" s="10" t="n">
        <v>1397019</v>
      </c>
      <c r="L653" s="10" t="n">
        <v>33331</v>
      </c>
      <c r="M653" s="12" t="s">
        <v>33</v>
      </c>
      <c r="N653" s="12" t="s">
        <v>34</v>
      </c>
      <c r="P653" s="10" t="n">
        <v>167</v>
      </c>
      <c r="Q653" s="12" t="s">
        <v>220</v>
      </c>
      <c r="R653" s="12" t="s">
        <v>36</v>
      </c>
      <c r="S653" s="10" t="n">
        <v>1130101</v>
      </c>
      <c r="T653" s="12" t="s">
        <v>37</v>
      </c>
      <c r="U653" s="13" t="n">
        <v>592.06</v>
      </c>
      <c r="W653" s="13" t="n">
        <v>0</v>
      </c>
      <c r="X653" s="12" t="s">
        <v>809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3</v>
      </c>
      <c r="B654" s="11" t="n">
        <v>46211</v>
      </c>
      <c r="C654" s="11" t="n">
        <v>46228</v>
      </c>
      <c r="D654" s="10" t="n">
        <v>1122</v>
      </c>
      <c r="E654" s="12" t="s">
        <v>810</v>
      </c>
      <c r="F654" s="10" t="n">
        <v>24</v>
      </c>
      <c r="G654" s="12" t="s">
        <v>31</v>
      </c>
      <c r="H654" s="10" t="n">
        <v>1110204</v>
      </c>
      <c r="I654" s="12" t="s">
        <v>177</v>
      </c>
      <c r="J654" s="10" t="n">
        <v>1397045</v>
      </c>
      <c r="L654" s="10" t="n">
        <v>664111</v>
      </c>
      <c r="M654" s="12" t="s">
        <v>33</v>
      </c>
      <c r="N654" s="12" t="s">
        <v>34</v>
      </c>
      <c r="P654" s="10" t="n">
        <v>167</v>
      </c>
      <c r="Q654" s="12" t="s">
        <v>220</v>
      </c>
      <c r="R654" s="12" t="s">
        <v>36</v>
      </c>
      <c r="S654" s="10" t="n">
        <v>1130101</v>
      </c>
      <c r="T654" s="12" t="s">
        <v>37</v>
      </c>
      <c r="U654" s="13" t="n">
        <v>614.99</v>
      </c>
      <c r="W654" s="13" t="n">
        <v>0</v>
      </c>
      <c r="X654" s="12" t="s">
        <v>811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3</v>
      </c>
      <c r="B655" s="11" t="n">
        <v>46220</v>
      </c>
      <c r="C655" s="11" t="n">
        <v>46228</v>
      </c>
      <c r="D655" s="10" t="n">
        <v>1836</v>
      </c>
      <c r="E655" s="12" t="s">
        <v>181</v>
      </c>
      <c r="F655" s="10" t="n">
        <v>24</v>
      </c>
      <c r="G655" s="12" t="s">
        <v>31</v>
      </c>
      <c r="H655" s="10" t="n">
        <v>1110204</v>
      </c>
      <c r="I655" s="12" t="s">
        <v>177</v>
      </c>
      <c r="J655" s="10" t="n">
        <v>1411915</v>
      </c>
      <c r="L655" s="10" t="n">
        <v>220041</v>
      </c>
      <c r="M655" s="12" t="s">
        <v>33</v>
      </c>
      <c r="N655" s="12" t="s">
        <v>34</v>
      </c>
      <c r="P655" s="10" t="n">
        <v>167</v>
      </c>
      <c r="Q655" s="12" t="s">
        <v>220</v>
      </c>
      <c r="R655" s="12" t="s">
        <v>137</v>
      </c>
      <c r="S655" s="10" t="n">
        <v>4210315</v>
      </c>
      <c r="T655" s="12" t="s">
        <v>182</v>
      </c>
      <c r="U655" s="13" t="n">
        <v>20.74</v>
      </c>
      <c r="W655" s="13" t="n">
        <v>0</v>
      </c>
      <c r="X655" s="12" t="s">
        <v>812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3</v>
      </c>
      <c r="B656" s="11" t="n">
        <v>46221</v>
      </c>
      <c r="C656" s="11" t="n">
        <v>46228</v>
      </c>
      <c r="D656" s="10" t="n">
        <v>1828</v>
      </c>
      <c r="E656" s="12" t="s">
        <v>52</v>
      </c>
      <c r="F656" s="10" t="n">
        <v>24</v>
      </c>
      <c r="G656" s="12" t="s">
        <v>31</v>
      </c>
      <c r="H656" s="10" t="n">
        <v>1110204</v>
      </c>
      <c r="I656" s="12" t="s">
        <v>177</v>
      </c>
      <c r="J656" s="10" t="n">
        <v>1424553</v>
      </c>
      <c r="L656" s="10" t="n">
        <v>58764</v>
      </c>
      <c r="M656" s="12" t="s">
        <v>33</v>
      </c>
      <c r="N656" s="12" t="s">
        <v>34</v>
      </c>
      <c r="P656" s="10" t="n">
        <v>167</v>
      </c>
      <c r="Q656" s="12" t="s">
        <v>220</v>
      </c>
      <c r="R656" s="12" t="s">
        <v>36</v>
      </c>
      <c r="S656" s="10" t="n">
        <v>1130101</v>
      </c>
      <c r="T656" s="12" t="s">
        <v>37</v>
      </c>
      <c r="U656" s="13" t="n">
        <v>772</v>
      </c>
      <c r="W656" s="13" t="n">
        <v>0</v>
      </c>
      <c r="X656" s="12" t="s">
        <v>813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0" t="n">
        <v>3</v>
      </c>
      <c r="B657" s="11" t="n">
        <v>46228</v>
      </c>
      <c r="C657" s="11" t="n">
        <v>46228</v>
      </c>
      <c r="D657" s="10" t="n">
        <v>42</v>
      </c>
      <c r="E657" s="12" t="s">
        <v>106</v>
      </c>
      <c r="F657" s="10" t="n">
        <v>13</v>
      </c>
      <c r="G657" s="12" t="s">
        <v>91</v>
      </c>
      <c r="H657" s="10" t="n">
        <v>2110101</v>
      </c>
      <c r="I657" s="12" t="s">
        <v>32</v>
      </c>
      <c r="J657" s="10" t="n">
        <v>1448526</v>
      </c>
      <c r="L657" s="10" t="n">
        <v>4421</v>
      </c>
      <c r="M657" s="12" t="s">
        <v>33</v>
      </c>
      <c r="N657" s="12" t="s">
        <v>40</v>
      </c>
      <c r="P657" s="10" t="n">
        <v>167</v>
      </c>
      <c r="Q657" s="12" t="s">
        <v>220</v>
      </c>
      <c r="R657" s="12" t="s">
        <v>36</v>
      </c>
      <c r="S657" s="10" t="n">
        <v>1130101</v>
      </c>
      <c r="T657" s="12" t="s">
        <v>37</v>
      </c>
      <c r="U657" s="13" t="n">
        <v>125</v>
      </c>
      <c r="W657" s="13" t="n">
        <v>125</v>
      </c>
      <c r="X657" s="12" t="s">
        <v>814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3</v>
      </c>
      <c r="B658" s="11" t="n">
        <v>46228</v>
      </c>
      <c r="C658" s="11" t="n">
        <v>46228</v>
      </c>
      <c r="D658" s="10" t="n">
        <v>42</v>
      </c>
      <c r="E658" s="12" t="s">
        <v>106</v>
      </c>
      <c r="F658" s="10" t="n">
        <v>13</v>
      </c>
      <c r="G658" s="12" t="s">
        <v>91</v>
      </c>
      <c r="H658" s="10" t="n">
        <v>2110101</v>
      </c>
      <c r="I658" s="12" t="s">
        <v>32</v>
      </c>
      <c r="J658" s="10" t="n">
        <v>1448555</v>
      </c>
      <c r="L658" s="10" t="n">
        <v>4422</v>
      </c>
      <c r="M658" s="12" t="s">
        <v>33</v>
      </c>
      <c r="N658" s="12" t="s">
        <v>40</v>
      </c>
      <c r="P658" s="10" t="n">
        <v>167</v>
      </c>
      <c r="Q658" s="12" t="s">
        <v>220</v>
      </c>
      <c r="R658" s="12" t="s">
        <v>36</v>
      </c>
      <c r="S658" s="10" t="n">
        <v>1130101</v>
      </c>
      <c r="T658" s="12" t="s">
        <v>37</v>
      </c>
      <c r="U658" s="13" t="n">
        <v>305</v>
      </c>
      <c r="W658" s="13" t="n">
        <v>305</v>
      </c>
      <c r="X658" s="12" t="s">
        <v>815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3</v>
      </c>
      <c r="B659" s="11" t="n">
        <v>46228</v>
      </c>
      <c r="C659" s="11" t="n">
        <v>46228</v>
      </c>
      <c r="D659" s="10" t="n">
        <v>10043</v>
      </c>
      <c r="E659" s="12" t="s">
        <v>145</v>
      </c>
      <c r="F659" s="10" t="n">
        <v>13</v>
      </c>
      <c r="G659" s="12" t="s">
        <v>91</v>
      </c>
      <c r="H659" s="10" t="n">
        <v>2110101</v>
      </c>
      <c r="I659" s="12" t="s">
        <v>32</v>
      </c>
      <c r="J659" s="10" t="n">
        <v>1463278</v>
      </c>
      <c r="L659" s="10" t="n">
        <v>806</v>
      </c>
      <c r="M659" s="12" t="s">
        <v>33</v>
      </c>
      <c r="N659" s="12" t="s">
        <v>40</v>
      </c>
      <c r="P659" s="10" t="n">
        <v>167</v>
      </c>
      <c r="Q659" s="12" t="s">
        <v>220</v>
      </c>
      <c r="R659" s="12" t="s">
        <v>36</v>
      </c>
      <c r="S659" s="10" t="n">
        <v>1130101</v>
      </c>
      <c r="T659" s="12" t="s">
        <v>37</v>
      </c>
      <c r="U659" s="13" t="n">
        <v>270</v>
      </c>
      <c r="W659" s="13" t="n">
        <v>270</v>
      </c>
      <c r="X659" s="12" t="s">
        <v>816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3</v>
      </c>
      <c r="B660" s="11" t="n">
        <v>46205</v>
      </c>
      <c r="C660" s="11" t="n">
        <v>46228</v>
      </c>
      <c r="D660" s="10" t="n">
        <v>663</v>
      </c>
      <c r="E660" s="12" t="s">
        <v>795</v>
      </c>
      <c r="F660" s="10" t="n">
        <v>59</v>
      </c>
      <c r="G660" s="12" t="s">
        <v>817</v>
      </c>
      <c r="H660" s="10" t="n">
        <v>1110204</v>
      </c>
      <c r="I660" s="12" t="s">
        <v>177</v>
      </c>
      <c r="J660" s="10" t="n">
        <v>1465226</v>
      </c>
      <c r="L660" s="10" t="n">
        <v>227947</v>
      </c>
      <c r="M660" s="12" t="s">
        <v>33</v>
      </c>
      <c r="N660" s="12" t="s">
        <v>34</v>
      </c>
      <c r="P660" s="10" t="n">
        <v>167</v>
      </c>
      <c r="Q660" s="12" t="s">
        <v>220</v>
      </c>
      <c r="R660" s="12" t="s">
        <v>64</v>
      </c>
      <c r="S660" s="10" t="n">
        <v>4210227</v>
      </c>
      <c r="T660" s="12" t="s">
        <v>65</v>
      </c>
      <c r="U660" s="13" t="n">
        <v>93.34</v>
      </c>
      <c r="W660" s="13" t="n">
        <v>0</v>
      </c>
      <c r="X660" s="12" t="s">
        <v>818</v>
      </c>
      <c r="Z660" s="1" t="str">
        <f aca="false">IF($T660="","",IFERROR(INDEX('Resumo Grupos'!$AC$3:$AC$200,MATCH($T660,'Resumo Grupos'!$AB$3:$AB$200,0)),"n/d"))</f>
        <v>Despesa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3</v>
      </c>
      <c r="B661" s="11" t="n">
        <v>46205</v>
      </c>
      <c r="C661" s="11" t="n">
        <v>46228</v>
      </c>
      <c r="D661" s="10" t="n">
        <v>848</v>
      </c>
      <c r="E661" s="12" t="s">
        <v>819</v>
      </c>
      <c r="F661" s="10" t="n">
        <v>59</v>
      </c>
      <c r="G661" s="12" t="s">
        <v>817</v>
      </c>
      <c r="H661" s="10" t="n">
        <v>1110204</v>
      </c>
      <c r="I661" s="12" t="s">
        <v>177</v>
      </c>
      <c r="J661" s="10" t="n">
        <v>1465263</v>
      </c>
      <c r="L661" s="10" t="n">
        <v>227951</v>
      </c>
      <c r="M661" s="12" t="s">
        <v>33</v>
      </c>
      <c r="N661" s="12" t="s">
        <v>34</v>
      </c>
      <c r="P661" s="10" t="n">
        <v>167</v>
      </c>
      <c r="Q661" s="12" t="s">
        <v>220</v>
      </c>
      <c r="R661" s="12" t="s">
        <v>64</v>
      </c>
      <c r="S661" s="10" t="n">
        <v>4210227</v>
      </c>
      <c r="T661" s="12" t="s">
        <v>65</v>
      </c>
      <c r="U661" s="13" t="n">
        <v>112.94</v>
      </c>
      <c r="W661" s="13" t="n">
        <v>0</v>
      </c>
      <c r="X661" s="12" t="s">
        <v>820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3</v>
      </c>
      <c r="B662" s="11" t="n">
        <v>46224</v>
      </c>
      <c r="C662" s="11" t="n">
        <v>46229</v>
      </c>
      <c r="D662" s="10" t="n">
        <v>42</v>
      </c>
      <c r="E662" s="12" t="s">
        <v>106</v>
      </c>
      <c r="F662" s="10" t="n">
        <v>34</v>
      </c>
      <c r="G662" s="12" t="s">
        <v>58</v>
      </c>
      <c r="H662" s="10" t="n">
        <v>2110101</v>
      </c>
      <c r="I662" s="12" t="s">
        <v>32</v>
      </c>
      <c r="J662" s="10" t="n">
        <v>1427553</v>
      </c>
      <c r="L662" s="10" t="n">
        <v>4403</v>
      </c>
      <c r="M662" s="12" t="s">
        <v>33</v>
      </c>
      <c r="N662" s="12" t="s">
        <v>40</v>
      </c>
      <c r="P662" s="10" t="n">
        <v>167</v>
      </c>
      <c r="Q662" s="12" t="s">
        <v>220</v>
      </c>
      <c r="R662" s="12" t="s">
        <v>36</v>
      </c>
      <c r="S662" s="10" t="n">
        <v>1130101</v>
      </c>
      <c r="T662" s="12" t="s">
        <v>37</v>
      </c>
      <c r="U662" s="13" t="n">
        <v>280</v>
      </c>
      <c r="W662" s="13" t="n">
        <v>0</v>
      </c>
      <c r="X662" s="12" t="s">
        <v>821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3</v>
      </c>
      <c r="B663" s="11" t="n">
        <v>46226</v>
      </c>
      <c r="C663" s="11" t="n">
        <v>46229</v>
      </c>
      <c r="D663" s="10" t="n">
        <v>928</v>
      </c>
      <c r="E663" s="12" t="s">
        <v>822</v>
      </c>
      <c r="F663" s="10" t="n">
        <v>24</v>
      </c>
      <c r="G663" s="12" t="s">
        <v>31</v>
      </c>
      <c r="H663" s="10" t="n">
        <v>1110204</v>
      </c>
      <c r="I663" s="12" t="s">
        <v>177</v>
      </c>
      <c r="J663" s="10" t="n">
        <v>1440441</v>
      </c>
      <c r="L663" s="10" t="n">
        <v>224312</v>
      </c>
      <c r="M663" s="12" t="s">
        <v>33</v>
      </c>
      <c r="N663" s="12" t="s">
        <v>34</v>
      </c>
      <c r="P663" s="10" t="n">
        <v>101</v>
      </c>
      <c r="Q663" s="12" t="s">
        <v>136</v>
      </c>
      <c r="R663" s="12" t="s">
        <v>137</v>
      </c>
      <c r="S663" s="10" t="n">
        <v>421033</v>
      </c>
      <c r="T663" s="12" t="s">
        <v>823</v>
      </c>
      <c r="U663" s="13" t="n">
        <v>299.9</v>
      </c>
      <c r="W663" s="13" t="n">
        <v>0</v>
      </c>
      <c r="X663" s="12" t="s">
        <v>824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3</v>
      </c>
      <c r="B664" s="11" t="n">
        <v>46155</v>
      </c>
      <c r="C664" s="11" t="n">
        <v>46230</v>
      </c>
      <c r="D664" s="10" t="n">
        <v>1911</v>
      </c>
      <c r="E664" s="12" t="s">
        <v>62</v>
      </c>
      <c r="F664" s="10" t="n">
        <v>24</v>
      </c>
      <c r="G664" s="12" t="s">
        <v>31</v>
      </c>
      <c r="H664" s="10" t="n">
        <v>2110405</v>
      </c>
      <c r="I664" s="12" t="s">
        <v>63</v>
      </c>
      <c r="J664" s="10" t="n">
        <v>1116842</v>
      </c>
      <c r="L664" s="10" t="n">
        <v>29643</v>
      </c>
      <c r="M664" s="12" t="s">
        <v>33</v>
      </c>
      <c r="N664" s="12" t="s">
        <v>34</v>
      </c>
      <c r="P664" s="10" t="n">
        <v>128</v>
      </c>
      <c r="Q664" s="12" t="s">
        <v>35</v>
      </c>
      <c r="R664" s="12" t="s">
        <v>64</v>
      </c>
      <c r="S664" s="10" t="n">
        <v>4210227</v>
      </c>
      <c r="T664" s="12" t="s">
        <v>65</v>
      </c>
      <c r="U664" s="13" t="n">
        <v>512.27</v>
      </c>
      <c r="W664" s="13" t="n">
        <v>0</v>
      </c>
      <c r="X664" s="12" t="s">
        <v>825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3</v>
      </c>
      <c r="B665" s="11" t="n">
        <v>46162</v>
      </c>
      <c r="C665" s="11" t="n">
        <v>46230</v>
      </c>
      <c r="D665" s="10" t="n">
        <v>1085</v>
      </c>
      <c r="E665" s="12" t="s">
        <v>826</v>
      </c>
      <c r="F665" s="10" t="n">
        <v>24</v>
      </c>
      <c r="G665" s="12" t="s">
        <v>31</v>
      </c>
      <c r="H665" s="10" t="n">
        <v>2110101</v>
      </c>
      <c r="I665" s="12" t="s">
        <v>32</v>
      </c>
      <c r="J665" s="10" t="n">
        <v>1132860</v>
      </c>
      <c r="L665" s="10" t="n">
        <v>86043</v>
      </c>
      <c r="M665" s="12" t="s">
        <v>33</v>
      </c>
      <c r="N665" s="12" t="s">
        <v>34</v>
      </c>
      <c r="P665" s="10" t="n">
        <v>128</v>
      </c>
      <c r="Q665" s="12" t="s">
        <v>35</v>
      </c>
      <c r="R665" s="12" t="s">
        <v>36</v>
      </c>
      <c r="S665" s="10" t="n">
        <v>1130101</v>
      </c>
      <c r="T665" s="12" t="s">
        <v>37</v>
      </c>
      <c r="U665" s="13" t="n">
        <v>543.15</v>
      </c>
      <c r="W665" s="13" t="n">
        <v>0</v>
      </c>
      <c r="X665" s="12" t="s">
        <v>827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0" t="n">
        <v>3</v>
      </c>
      <c r="B666" s="11" t="n">
        <v>46230</v>
      </c>
      <c r="C666" s="11" t="n">
        <v>46230</v>
      </c>
      <c r="D666" s="10" t="n">
        <v>42</v>
      </c>
      <c r="E666" s="12" t="s">
        <v>106</v>
      </c>
      <c r="F666" s="10" t="n">
        <v>13</v>
      </c>
      <c r="G666" s="12" t="s">
        <v>91</v>
      </c>
      <c r="H666" s="10" t="n">
        <v>2110101</v>
      </c>
      <c r="I666" s="12" t="s">
        <v>32</v>
      </c>
      <c r="J666" s="10" t="n">
        <v>1458828</v>
      </c>
      <c r="L666" s="10" t="n">
        <v>4425</v>
      </c>
      <c r="M666" s="12" t="s">
        <v>33</v>
      </c>
      <c r="N666" s="12" t="s">
        <v>40</v>
      </c>
      <c r="P666" s="10" t="n">
        <v>167</v>
      </c>
      <c r="Q666" s="12" t="s">
        <v>220</v>
      </c>
      <c r="R666" s="12" t="s">
        <v>36</v>
      </c>
      <c r="S666" s="10" t="n">
        <v>1130101</v>
      </c>
      <c r="T666" s="12" t="s">
        <v>37</v>
      </c>
      <c r="U666" s="13" t="n">
        <v>125</v>
      </c>
      <c r="W666" s="13" t="n">
        <v>125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0" t="n">
        <v>3</v>
      </c>
      <c r="B667" s="11" t="n">
        <v>46198</v>
      </c>
      <c r="C667" s="11" t="n">
        <v>46230</v>
      </c>
      <c r="D667" s="10" t="n">
        <v>1699</v>
      </c>
      <c r="E667" s="12" t="s">
        <v>87</v>
      </c>
      <c r="F667" s="10" t="n">
        <v>24</v>
      </c>
      <c r="G667" s="12" t="s">
        <v>31</v>
      </c>
      <c r="H667" s="10" t="n">
        <v>2110101</v>
      </c>
      <c r="I667" s="12" t="s">
        <v>32</v>
      </c>
      <c r="J667" s="10" t="n">
        <v>1312327</v>
      </c>
      <c r="L667" s="10" t="n">
        <v>3059183</v>
      </c>
      <c r="M667" s="12" t="s">
        <v>33</v>
      </c>
      <c r="N667" s="12" t="s">
        <v>34</v>
      </c>
      <c r="P667" s="10" t="n">
        <v>128</v>
      </c>
      <c r="Q667" s="12" t="s">
        <v>35</v>
      </c>
      <c r="R667" s="12" t="s">
        <v>36</v>
      </c>
      <c r="S667" s="10" t="n">
        <v>1130101</v>
      </c>
      <c r="T667" s="12" t="s">
        <v>37</v>
      </c>
      <c r="U667" s="13" t="n">
        <v>649.19</v>
      </c>
      <c r="W667" s="13" t="n">
        <v>0</v>
      </c>
      <c r="X667" s="12" t="s">
        <v>828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0" t="n">
        <v>3</v>
      </c>
      <c r="B668" s="11" t="n">
        <v>46230</v>
      </c>
      <c r="C668" s="11" t="n">
        <v>46230</v>
      </c>
      <c r="D668" s="10" t="n">
        <v>1205</v>
      </c>
      <c r="E668" s="12" t="s">
        <v>829</v>
      </c>
      <c r="F668" s="10" t="n">
        <v>24</v>
      </c>
      <c r="G668" s="12" t="s">
        <v>31</v>
      </c>
      <c r="H668" s="10" t="n">
        <v>1110204</v>
      </c>
      <c r="I668" s="12" t="s">
        <v>177</v>
      </c>
      <c r="J668" s="10" t="n">
        <v>1459494</v>
      </c>
      <c r="L668" s="10" t="n">
        <v>227158</v>
      </c>
      <c r="M668" s="12" t="s">
        <v>33</v>
      </c>
      <c r="N668" s="12" t="s">
        <v>34</v>
      </c>
      <c r="P668" s="10" t="n">
        <v>102</v>
      </c>
      <c r="Q668" s="12" t="s">
        <v>141</v>
      </c>
      <c r="R668" s="12" t="s">
        <v>36</v>
      </c>
      <c r="S668" s="10" t="n">
        <v>1130101</v>
      </c>
      <c r="T668" s="12" t="s">
        <v>37</v>
      </c>
      <c r="U668" s="13" t="n">
        <v>213.75</v>
      </c>
      <c r="W668" s="13" t="n">
        <v>0</v>
      </c>
      <c r="X668" s="12" t="s">
        <v>830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54.75" hidden="false" customHeight="true" outlineLevel="0" collapsed="false">
      <c r="A669" s="10" t="n">
        <v>3</v>
      </c>
      <c r="B669" s="11" t="n">
        <v>46203</v>
      </c>
      <c r="C669" s="11" t="n">
        <v>46230</v>
      </c>
      <c r="D669" s="10" t="n">
        <v>1701</v>
      </c>
      <c r="E669" s="12" t="s">
        <v>831</v>
      </c>
      <c r="F669" s="10" t="n">
        <v>24</v>
      </c>
      <c r="G669" s="12" t="s">
        <v>31</v>
      </c>
      <c r="H669" s="10" t="n">
        <v>2110101</v>
      </c>
      <c r="I669" s="12" t="s">
        <v>32</v>
      </c>
      <c r="J669" s="10" t="n">
        <v>1334000</v>
      </c>
      <c r="L669" s="10" t="n">
        <v>142426</v>
      </c>
      <c r="M669" s="12" t="s">
        <v>33</v>
      </c>
      <c r="N669" s="12" t="s">
        <v>40</v>
      </c>
      <c r="P669" s="10" t="n">
        <v>128</v>
      </c>
      <c r="Q669" s="12" t="s">
        <v>35</v>
      </c>
      <c r="R669" s="12" t="s">
        <v>36</v>
      </c>
      <c r="S669" s="10" t="n">
        <v>1130101</v>
      </c>
      <c r="T669" s="12" t="s">
        <v>37</v>
      </c>
      <c r="U669" s="13" t="n">
        <v>222.97</v>
      </c>
      <c r="W669" s="13" t="n">
        <v>0</v>
      </c>
      <c r="X669" s="12" t="s">
        <v>832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54.75" hidden="false" customHeight="true" outlineLevel="0" collapsed="false">
      <c r="A670" s="10" t="n">
        <v>3</v>
      </c>
      <c r="B670" s="11" t="n">
        <v>46205</v>
      </c>
      <c r="C670" s="11" t="n">
        <v>46230</v>
      </c>
      <c r="D670" s="10" t="n">
        <v>10017</v>
      </c>
      <c r="E670" s="12" t="s">
        <v>693</v>
      </c>
      <c r="F670" s="10" t="n">
        <v>24</v>
      </c>
      <c r="G670" s="12" t="s">
        <v>31</v>
      </c>
      <c r="H670" s="10" t="n">
        <v>2110101</v>
      </c>
      <c r="I670" s="12" t="s">
        <v>32</v>
      </c>
      <c r="J670" s="10" t="n">
        <v>1359834</v>
      </c>
      <c r="L670" s="10" t="n">
        <v>1941142</v>
      </c>
      <c r="M670" s="12" t="s">
        <v>33</v>
      </c>
      <c r="N670" s="12" t="s">
        <v>34</v>
      </c>
      <c r="P670" s="10" t="n">
        <v>167</v>
      </c>
      <c r="Q670" s="12" t="s">
        <v>220</v>
      </c>
      <c r="R670" s="12" t="s">
        <v>36</v>
      </c>
      <c r="S670" s="10" t="n">
        <v>1130101</v>
      </c>
      <c r="T670" s="12" t="s">
        <v>37</v>
      </c>
      <c r="U670" s="13" t="n">
        <v>1819.31</v>
      </c>
      <c r="W670" s="13" t="n">
        <v>0</v>
      </c>
      <c r="X670" s="12" t="s">
        <v>833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3</v>
      </c>
      <c r="B671" s="11" t="n">
        <v>46216</v>
      </c>
      <c r="C671" s="11" t="n">
        <v>46230</v>
      </c>
      <c r="D671" s="10" t="n">
        <v>1636</v>
      </c>
      <c r="E671" s="12" t="s">
        <v>195</v>
      </c>
      <c r="F671" s="10" t="n">
        <v>24</v>
      </c>
      <c r="G671" s="12" t="s">
        <v>31</v>
      </c>
      <c r="H671" s="10" t="n">
        <v>1110204</v>
      </c>
      <c r="I671" s="12" t="s">
        <v>177</v>
      </c>
      <c r="J671" s="10" t="n">
        <v>1401740</v>
      </c>
      <c r="L671" s="10" t="n">
        <v>32187181</v>
      </c>
      <c r="M671" s="12" t="s">
        <v>33</v>
      </c>
      <c r="N671" s="12" t="s">
        <v>34</v>
      </c>
      <c r="P671" s="10" t="n">
        <v>167</v>
      </c>
      <c r="Q671" s="12" t="s">
        <v>220</v>
      </c>
      <c r="R671" s="12" t="s">
        <v>36</v>
      </c>
      <c r="S671" s="10" t="n">
        <v>1130101</v>
      </c>
      <c r="T671" s="12" t="s">
        <v>37</v>
      </c>
      <c r="U671" s="13" t="n">
        <v>928.46</v>
      </c>
      <c r="W671" s="13" t="n">
        <v>0</v>
      </c>
      <c r="X671" s="12" t="s">
        <v>834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3</v>
      </c>
      <c r="B672" s="11" t="n">
        <v>46216</v>
      </c>
      <c r="C672" s="11" t="n">
        <v>46230</v>
      </c>
      <c r="D672" s="10" t="n">
        <v>1445</v>
      </c>
      <c r="E672" s="12" t="s">
        <v>835</v>
      </c>
      <c r="F672" s="10" t="n">
        <v>24</v>
      </c>
      <c r="G672" s="12" t="s">
        <v>31</v>
      </c>
      <c r="H672" s="10" t="n">
        <v>1110204</v>
      </c>
      <c r="I672" s="12" t="s">
        <v>177</v>
      </c>
      <c r="J672" s="10" t="n">
        <v>1407207</v>
      </c>
      <c r="L672" s="10" t="n">
        <v>2982061</v>
      </c>
      <c r="M672" s="12" t="s">
        <v>33</v>
      </c>
      <c r="N672" s="12" t="s">
        <v>34</v>
      </c>
      <c r="P672" s="10" t="n">
        <v>167</v>
      </c>
      <c r="Q672" s="12" t="s">
        <v>220</v>
      </c>
      <c r="R672" s="12" t="s">
        <v>36</v>
      </c>
      <c r="S672" s="10" t="n">
        <v>1130101</v>
      </c>
      <c r="T672" s="12" t="s">
        <v>37</v>
      </c>
      <c r="U672" s="13" t="n">
        <v>620.25</v>
      </c>
      <c r="W672" s="13" t="n">
        <v>0</v>
      </c>
      <c r="X672" s="12" t="s">
        <v>836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3</v>
      </c>
      <c r="B673" s="11" t="n">
        <v>46220</v>
      </c>
      <c r="C673" s="11" t="n">
        <v>46230</v>
      </c>
      <c r="D673" s="10" t="n">
        <v>1723</v>
      </c>
      <c r="E673" s="12" t="s">
        <v>54</v>
      </c>
      <c r="F673" s="10" t="n">
        <v>24</v>
      </c>
      <c r="G673" s="12" t="s">
        <v>31</v>
      </c>
      <c r="H673" s="10" t="n">
        <v>1110204</v>
      </c>
      <c r="I673" s="12" t="s">
        <v>177</v>
      </c>
      <c r="J673" s="10" t="n">
        <v>1411509</v>
      </c>
      <c r="L673" s="10" t="n">
        <v>56716</v>
      </c>
      <c r="M673" s="12" t="s">
        <v>33</v>
      </c>
      <c r="N673" s="12" t="s">
        <v>34</v>
      </c>
      <c r="P673" s="10" t="n">
        <v>167</v>
      </c>
      <c r="Q673" s="12" t="s">
        <v>220</v>
      </c>
      <c r="R673" s="12" t="s">
        <v>36</v>
      </c>
      <c r="S673" s="10" t="n">
        <v>1130101</v>
      </c>
      <c r="T673" s="12" t="s">
        <v>37</v>
      </c>
      <c r="U673" s="13" t="n">
        <v>2889.6</v>
      </c>
      <c r="W673" s="13" t="n">
        <v>0</v>
      </c>
      <c r="X673" s="12" t="s">
        <v>837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3</v>
      </c>
      <c r="B674" s="11" t="n">
        <v>46212</v>
      </c>
      <c r="C674" s="11" t="n">
        <v>46230</v>
      </c>
      <c r="D674" s="10" t="n">
        <v>1621</v>
      </c>
      <c r="E674" s="12" t="s">
        <v>129</v>
      </c>
      <c r="F674" s="10" t="n">
        <v>24</v>
      </c>
      <c r="G674" s="12" t="s">
        <v>31</v>
      </c>
      <c r="H674" s="10" t="n">
        <v>1110204</v>
      </c>
      <c r="I674" s="12" t="s">
        <v>177</v>
      </c>
      <c r="J674" s="10" t="n">
        <v>1414909</v>
      </c>
      <c r="L674" s="10" t="n">
        <v>899327</v>
      </c>
      <c r="M674" s="12" t="s">
        <v>33</v>
      </c>
      <c r="N674" s="12" t="s">
        <v>34</v>
      </c>
      <c r="P674" s="10" t="n">
        <v>167</v>
      </c>
      <c r="Q674" s="12" t="s">
        <v>220</v>
      </c>
      <c r="R674" s="12" t="s">
        <v>36</v>
      </c>
      <c r="S674" s="10" t="n">
        <v>1130101</v>
      </c>
      <c r="T674" s="12" t="s">
        <v>37</v>
      </c>
      <c r="U674" s="13" t="n">
        <v>925.68</v>
      </c>
      <c r="W674" s="13" t="n">
        <v>0</v>
      </c>
      <c r="X674" s="12" t="s">
        <v>838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3</v>
      </c>
      <c r="B675" s="11" t="n">
        <v>46223</v>
      </c>
      <c r="C675" s="11" t="n">
        <v>46230</v>
      </c>
      <c r="D675" s="10" t="n">
        <v>33</v>
      </c>
      <c r="E675" s="12" t="s">
        <v>297</v>
      </c>
      <c r="F675" s="10" t="n">
        <v>34</v>
      </c>
      <c r="G675" s="12" t="s">
        <v>58</v>
      </c>
      <c r="H675" s="10" t="n">
        <v>1110204</v>
      </c>
      <c r="I675" s="12" t="s">
        <v>177</v>
      </c>
      <c r="J675" s="10" t="n">
        <v>1425043</v>
      </c>
      <c r="L675" s="10" t="n">
        <v>222360</v>
      </c>
      <c r="M675" s="12" t="s">
        <v>559</v>
      </c>
      <c r="N675" s="12" t="s">
        <v>34</v>
      </c>
      <c r="P675" s="10" t="n">
        <v>101</v>
      </c>
      <c r="Q675" s="12" t="s">
        <v>136</v>
      </c>
      <c r="R675" s="12" t="s">
        <v>337</v>
      </c>
      <c r="S675" s="10" t="n">
        <v>1240203</v>
      </c>
      <c r="T675" s="12" t="s">
        <v>338</v>
      </c>
      <c r="U675" s="13" t="n">
        <v>2320.3</v>
      </c>
      <c r="W675" s="13" t="n">
        <v>0</v>
      </c>
      <c r="X675" s="12" t="s">
        <v>839</v>
      </c>
      <c r="Z675" s="1" t="str">
        <f aca="false">IF($T675="","",IFERROR(INDEX('Resumo Grupos'!$AC$3:$AC$200,MATCH($T675,'Resumo Grupos'!$AB$3:$AB$200,0)),"n/d"))</f>
        <v>Despesa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3</v>
      </c>
      <c r="B676" s="11" t="n">
        <v>46223</v>
      </c>
      <c r="C676" s="11" t="n">
        <v>46230</v>
      </c>
      <c r="D676" s="10" t="n">
        <v>1723</v>
      </c>
      <c r="E676" s="12" t="s">
        <v>54</v>
      </c>
      <c r="F676" s="10" t="n">
        <v>24</v>
      </c>
      <c r="G676" s="12" t="s">
        <v>31</v>
      </c>
      <c r="H676" s="10" t="n">
        <v>1110204</v>
      </c>
      <c r="I676" s="12" t="s">
        <v>177</v>
      </c>
      <c r="J676" s="10" t="n">
        <v>1427459</v>
      </c>
      <c r="L676" s="10" t="n">
        <v>570361</v>
      </c>
      <c r="M676" s="12" t="s">
        <v>33</v>
      </c>
      <c r="N676" s="12" t="s">
        <v>34</v>
      </c>
      <c r="P676" s="10" t="n">
        <v>167</v>
      </c>
      <c r="Q676" s="12" t="s">
        <v>220</v>
      </c>
      <c r="R676" s="12" t="s">
        <v>36</v>
      </c>
      <c r="S676" s="10" t="n">
        <v>1130101</v>
      </c>
      <c r="T676" s="12" t="s">
        <v>37</v>
      </c>
      <c r="U676" s="13" t="n">
        <v>5478.25</v>
      </c>
      <c r="W676" s="13" t="n">
        <v>0</v>
      </c>
      <c r="X676" s="12" t="s">
        <v>840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0" t="n">
        <v>3</v>
      </c>
      <c r="B677" s="11" t="n">
        <v>46229</v>
      </c>
      <c r="C677" s="11" t="n">
        <v>46230</v>
      </c>
      <c r="D677" s="10" t="n">
        <v>1936</v>
      </c>
      <c r="E677" s="12" t="s">
        <v>218</v>
      </c>
      <c r="F677" s="10" t="n">
        <v>24</v>
      </c>
      <c r="G677" s="12" t="s">
        <v>31</v>
      </c>
      <c r="H677" s="10" t="n">
        <v>1110204</v>
      </c>
      <c r="I677" s="12" t="s">
        <v>177</v>
      </c>
      <c r="J677" s="10" t="n">
        <v>1458284</v>
      </c>
      <c r="L677" s="10" t="n">
        <v>50612091</v>
      </c>
      <c r="M677" s="12" t="s">
        <v>33</v>
      </c>
      <c r="N677" s="12" t="s">
        <v>34</v>
      </c>
      <c r="P677" s="10" t="n">
        <v>167</v>
      </c>
      <c r="Q677" s="12" t="s">
        <v>220</v>
      </c>
      <c r="R677" s="12" t="s">
        <v>36</v>
      </c>
      <c r="S677" s="10" t="n">
        <v>1130101</v>
      </c>
      <c r="T677" s="12" t="s">
        <v>37</v>
      </c>
      <c r="U677" s="13" t="n">
        <v>2108.86</v>
      </c>
      <c r="W677" s="13" t="n">
        <v>0</v>
      </c>
      <c r="X677" s="12" t="s">
        <v>841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0" t="n">
        <v>3</v>
      </c>
      <c r="B678" s="11" t="n">
        <v>46230</v>
      </c>
      <c r="C678" s="11" t="n">
        <v>46230</v>
      </c>
      <c r="D678" s="10" t="n">
        <v>33</v>
      </c>
      <c r="E678" s="12" t="s">
        <v>297</v>
      </c>
      <c r="F678" s="10" t="n">
        <v>34</v>
      </c>
      <c r="G678" s="12" t="s">
        <v>58</v>
      </c>
      <c r="H678" s="10" t="n">
        <v>1110204</v>
      </c>
      <c r="I678" s="12" t="s">
        <v>177</v>
      </c>
      <c r="J678" s="10" t="n">
        <v>1458638</v>
      </c>
      <c r="L678" s="10" t="n">
        <v>227015</v>
      </c>
      <c r="M678" s="12" t="s">
        <v>33</v>
      </c>
      <c r="N678" s="12" t="s">
        <v>34</v>
      </c>
      <c r="P678" s="10" t="n">
        <v>101</v>
      </c>
      <c r="Q678" s="12" t="s">
        <v>136</v>
      </c>
      <c r="R678" s="12" t="s">
        <v>64</v>
      </c>
      <c r="S678" s="10" t="n">
        <v>4210218</v>
      </c>
      <c r="T678" s="12" t="s">
        <v>842</v>
      </c>
      <c r="U678" s="13" t="n">
        <v>125</v>
      </c>
      <c r="W678" s="13" t="n">
        <v>0</v>
      </c>
      <c r="X678" s="12" t="s">
        <v>843</v>
      </c>
      <c r="Z678" s="1" t="str">
        <f aca="false">IF($T678="","",IFERROR(INDEX('Resumo Grupos'!$AC$3:$AC$200,MATCH($T678,'Resumo Grupos'!$AB$3:$AB$200,0)),"n/d"))</f>
        <v>Despesa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0" t="n">
        <v>3</v>
      </c>
      <c r="B679" s="11" t="n">
        <v>46230</v>
      </c>
      <c r="C679" s="11" t="n">
        <v>46230</v>
      </c>
      <c r="D679" s="10" t="n">
        <v>515</v>
      </c>
      <c r="E679" s="12" t="s">
        <v>240</v>
      </c>
      <c r="F679" s="10" t="n">
        <v>34</v>
      </c>
      <c r="G679" s="12" t="s">
        <v>58</v>
      </c>
      <c r="H679" s="10" t="n">
        <v>1110204</v>
      </c>
      <c r="I679" s="12" t="s">
        <v>177</v>
      </c>
      <c r="J679" s="10" t="n">
        <v>1464157</v>
      </c>
      <c r="L679" s="10" t="n">
        <v>227795</v>
      </c>
      <c r="M679" s="12" t="s">
        <v>33</v>
      </c>
      <c r="N679" s="12" t="s">
        <v>34</v>
      </c>
      <c r="P679" s="10" t="n">
        <v>102</v>
      </c>
      <c r="Q679" s="12" t="s">
        <v>141</v>
      </c>
      <c r="R679" s="12" t="s">
        <v>667</v>
      </c>
      <c r="S679" s="10" t="n">
        <v>22103</v>
      </c>
      <c r="T679" s="12" t="s">
        <v>667</v>
      </c>
      <c r="U679" s="13" t="n">
        <v>10000</v>
      </c>
      <c r="W679" s="13" t="n">
        <v>0</v>
      </c>
      <c r="X679" s="12" t="s">
        <v>844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3</v>
      </c>
      <c r="B680" s="11" t="n">
        <v>46230</v>
      </c>
      <c r="C680" s="11" t="n">
        <v>46230</v>
      </c>
      <c r="D680" s="10" t="n">
        <v>10047</v>
      </c>
      <c r="E680" s="12" t="s">
        <v>140</v>
      </c>
      <c r="F680" s="10" t="n">
        <v>24</v>
      </c>
      <c r="G680" s="12" t="s">
        <v>31</v>
      </c>
      <c r="H680" s="10" t="n">
        <v>1110204</v>
      </c>
      <c r="I680" s="12" t="s">
        <v>177</v>
      </c>
      <c r="J680" s="10" t="n">
        <v>1468127</v>
      </c>
      <c r="L680" s="10" t="n">
        <v>228381</v>
      </c>
      <c r="M680" s="12" t="s">
        <v>33</v>
      </c>
      <c r="N680" s="12" t="s">
        <v>34</v>
      </c>
      <c r="P680" s="10" t="n">
        <v>102</v>
      </c>
      <c r="Q680" s="12" t="s">
        <v>141</v>
      </c>
      <c r="R680" s="12" t="s">
        <v>36</v>
      </c>
      <c r="S680" s="10" t="n">
        <v>1130101</v>
      </c>
      <c r="T680" s="12" t="s">
        <v>37</v>
      </c>
      <c r="U680" s="13" t="n">
        <v>30.51</v>
      </c>
      <c r="W680" s="13" t="n">
        <v>0</v>
      </c>
      <c r="X680" s="12" t="s">
        <v>845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0" t="n">
        <v>3</v>
      </c>
      <c r="B681" s="11" t="n">
        <v>46199</v>
      </c>
      <c r="C681" s="11" t="n">
        <v>46231</v>
      </c>
      <c r="D681" s="10" t="n">
        <v>1634</v>
      </c>
      <c r="E681" s="12" t="s">
        <v>604</v>
      </c>
      <c r="F681" s="10" t="n">
        <v>24</v>
      </c>
      <c r="G681" s="12" t="s">
        <v>31</v>
      </c>
      <c r="H681" s="10" t="n">
        <v>2110101</v>
      </c>
      <c r="I681" s="12" t="s">
        <v>32</v>
      </c>
      <c r="J681" s="10" t="n">
        <v>1334077</v>
      </c>
      <c r="L681" s="10" t="n">
        <v>3274643</v>
      </c>
      <c r="M681" s="12" t="s">
        <v>33</v>
      </c>
      <c r="N681" s="12" t="s">
        <v>34</v>
      </c>
      <c r="P681" s="10" t="n">
        <v>167</v>
      </c>
      <c r="Q681" s="12" t="s">
        <v>220</v>
      </c>
      <c r="R681" s="12" t="s">
        <v>36</v>
      </c>
      <c r="S681" s="10" t="n">
        <v>1130101</v>
      </c>
      <c r="T681" s="12" t="s">
        <v>37</v>
      </c>
      <c r="U681" s="13" t="n">
        <v>288.37</v>
      </c>
      <c r="W681" s="13" t="n">
        <v>0</v>
      </c>
      <c r="X681" s="12" t="s">
        <v>846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0" t="n">
        <v>3</v>
      </c>
      <c r="B682" s="11" t="n">
        <v>46204</v>
      </c>
      <c r="C682" s="11" t="n">
        <v>46231</v>
      </c>
      <c r="D682" s="10" t="n">
        <v>1624</v>
      </c>
      <c r="E682" s="12" t="s">
        <v>117</v>
      </c>
      <c r="F682" s="10" t="n">
        <v>24</v>
      </c>
      <c r="G682" s="12" t="s">
        <v>31</v>
      </c>
      <c r="H682" s="10" t="n">
        <v>2110101</v>
      </c>
      <c r="I682" s="12" t="s">
        <v>32</v>
      </c>
      <c r="J682" s="10" t="n">
        <v>1340688</v>
      </c>
      <c r="L682" s="10" t="n">
        <v>6615202</v>
      </c>
      <c r="M682" s="12" t="s">
        <v>33</v>
      </c>
      <c r="N682" s="12" t="s">
        <v>34</v>
      </c>
      <c r="P682" s="10" t="n">
        <v>167</v>
      </c>
      <c r="Q682" s="12" t="s">
        <v>220</v>
      </c>
      <c r="R682" s="12" t="s">
        <v>36</v>
      </c>
      <c r="S682" s="10" t="n">
        <v>1130101</v>
      </c>
      <c r="T682" s="12" t="s">
        <v>37</v>
      </c>
      <c r="U682" s="13" t="n">
        <v>656.2</v>
      </c>
      <c r="W682" s="13" t="n">
        <v>0</v>
      </c>
      <c r="X682" s="12" t="s">
        <v>847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0" t="n">
        <v>3</v>
      </c>
      <c r="B683" s="11" t="n">
        <v>46210</v>
      </c>
      <c r="C683" s="11" t="n">
        <v>46231</v>
      </c>
      <c r="D683" s="10" t="n">
        <v>1612</v>
      </c>
      <c r="E683" s="12" t="s">
        <v>192</v>
      </c>
      <c r="F683" s="10" t="n">
        <v>24</v>
      </c>
      <c r="G683" s="12" t="s">
        <v>31</v>
      </c>
      <c r="H683" s="10" t="n">
        <v>2110101</v>
      </c>
      <c r="I683" s="12" t="s">
        <v>32</v>
      </c>
      <c r="J683" s="10" t="n">
        <v>1365024</v>
      </c>
      <c r="L683" s="10" t="n">
        <v>22989872</v>
      </c>
      <c r="M683" s="12" t="s">
        <v>33</v>
      </c>
      <c r="N683" s="12" t="s">
        <v>34</v>
      </c>
      <c r="P683" s="10" t="n">
        <v>167</v>
      </c>
      <c r="Q683" s="12" t="s">
        <v>220</v>
      </c>
      <c r="R683" s="12" t="s">
        <v>36</v>
      </c>
      <c r="S683" s="10" t="n">
        <v>1130101</v>
      </c>
      <c r="T683" s="12" t="s">
        <v>37</v>
      </c>
      <c r="U683" s="13" t="n">
        <v>977.57</v>
      </c>
      <c r="W683" s="13" t="n">
        <v>0</v>
      </c>
      <c r="X683" s="12" t="s">
        <v>848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0" t="n">
        <v>3</v>
      </c>
      <c r="B684" s="11" t="n">
        <v>46223</v>
      </c>
      <c r="C684" s="11" t="n">
        <v>46231</v>
      </c>
      <c r="D684" s="10" t="n">
        <v>1705</v>
      </c>
      <c r="E684" s="12" t="s">
        <v>252</v>
      </c>
      <c r="F684" s="10" t="n">
        <v>24</v>
      </c>
      <c r="G684" s="12" t="s">
        <v>31</v>
      </c>
      <c r="H684" s="10" t="n">
        <v>1110204</v>
      </c>
      <c r="I684" s="12" t="s">
        <v>177</v>
      </c>
      <c r="J684" s="10" t="n">
        <v>1427447</v>
      </c>
      <c r="L684" s="10" t="n">
        <v>12117387</v>
      </c>
      <c r="M684" s="12" t="s">
        <v>33</v>
      </c>
      <c r="N684" s="12" t="s">
        <v>34</v>
      </c>
      <c r="P684" s="10" t="n">
        <v>167</v>
      </c>
      <c r="Q684" s="12" t="s">
        <v>220</v>
      </c>
      <c r="R684" s="12" t="s">
        <v>36</v>
      </c>
      <c r="S684" s="10" t="n">
        <v>1130101</v>
      </c>
      <c r="T684" s="12" t="s">
        <v>37</v>
      </c>
      <c r="U684" s="13" t="n">
        <v>995.03</v>
      </c>
      <c r="W684" s="13" t="n">
        <v>0</v>
      </c>
      <c r="X684" s="12" t="s">
        <v>849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0" t="n">
        <v>3</v>
      </c>
      <c r="B685" s="11" t="n">
        <v>46224</v>
      </c>
      <c r="C685" s="11" t="n">
        <v>46231</v>
      </c>
      <c r="D685" s="10" t="n">
        <v>1705</v>
      </c>
      <c r="E685" s="12" t="s">
        <v>252</v>
      </c>
      <c r="F685" s="10" t="n">
        <v>24</v>
      </c>
      <c r="G685" s="12" t="s">
        <v>31</v>
      </c>
      <c r="H685" s="10" t="n">
        <v>1110204</v>
      </c>
      <c r="I685" s="12" t="s">
        <v>177</v>
      </c>
      <c r="J685" s="10" t="n">
        <v>1427452</v>
      </c>
      <c r="L685" s="10" t="n">
        <v>19463315</v>
      </c>
      <c r="M685" s="12" t="s">
        <v>33</v>
      </c>
      <c r="N685" s="12" t="s">
        <v>34</v>
      </c>
      <c r="P685" s="10" t="n">
        <v>167</v>
      </c>
      <c r="Q685" s="12" t="s">
        <v>220</v>
      </c>
      <c r="R685" s="12" t="s">
        <v>36</v>
      </c>
      <c r="S685" s="10" t="n">
        <v>1130101</v>
      </c>
      <c r="T685" s="12" t="s">
        <v>37</v>
      </c>
      <c r="U685" s="13" t="n">
        <v>4839.24</v>
      </c>
      <c r="W685" s="13" t="n">
        <v>0</v>
      </c>
      <c r="X685" s="12" t="s">
        <v>850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3</v>
      </c>
      <c r="B686" s="11" t="n">
        <v>46224</v>
      </c>
      <c r="C686" s="11" t="n">
        <v>46231</v>
      </c>
      <c r="D686" s="10" t="n">
        <v>1625</v>
      </c>
      <c r="E686" s="12" t="s">
        <v>97</v>
      </c>
      <c r="F686" s="10" t="n">
        <v>24</v>
      </c>
      <c r="G686" s="12" t="s">
        <v>31</v>
      </c>
      <c r="H686" s="10" t="n">
        <v>1110204</v>
      </c>
      <c r="I686" s="12" t="s">
        <v>177</v>
      </c>
      <c r="J686" s="10" t="n">
        <v>1427640</v>
      </c>
      <c r="L686" s="10" t="n">
        <v>14770</v>
      </c>
      <c r="M686" s="12" t="s">
        <v>33</v>
      </c>
      <c r="N686" s="12" t="s">
        <v>34</v>
      </c>
      <c r="P686" s="10" t="n">
        <v>167</v>
      </c>
      <c r="Q686" s="12" t="s">
        <v>220</v>
      </c>
      <c r="R686" s="12" t="s">
        <v>36</v>
      </c>
      <c r="S686" s="10" t="n">
        <v>1130101</v>
      </c>
      <c r="T686" s="12" t="s">
        <v>37</v>
      </c>
      <c r="U686" s="13" t="n">
        <v>3682.25</v>
      </c>
      <c r="W686" s="13" t="n">
        <v>0</v>
      </c>
      <c r="X686" s="12" t="s">
        <v>851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3</v>
      </c>
      <c r="B687" s="11" t="n">
        <v>46225</v>
      </c>
      <c r="C687" s="11" t="n">
        <v>46231</v>
      </c>
      <c r="D687" s="10" t="n">
        <v>42</v>
      </c>
      <c r="E687" s="12" t="s">
        <v>106</v>
      </c>
      <c r="F687" s="10" t="n">
        <v>34</v>
      </c>
      <c r="G687" s="12" t="s">
        <v>58</v>
      </c>
      <c r="H687" s="10" t="n">
        <v>2110101</v>
      </c>
      <c r="I687" s="12" t="s">
        <v>32</v>
      </c>
      <c r="J687" s="10" t="n">
        <v>1434171</v>
      </c>
      <c r="L687" s="10" t="n">
        <v>4409</v>
      </c>
      <c r="M687" s="12" t="s">
        <v>33</v>
      </c>
      <c r="N687" s="12" t="s">
        <v>40</v>
      </c>
      <c r="P687" s="10" t="n">
        <v>167</v>
      </c>
      <c r="Q687" s="12" t="s">
        <v>220</v>
      </c>
      <c r="R687" s="12" t="s">
        <v>36</v>
      </c>
      <c r="S687" s="10" t="n">
        <v>1130101</v>
      </c>
      <c r="T687" s="12" t="s">
        <v>37</v>
      </c>
      <c r="U687" s="13" t="n">
        <v>600</v>
      </c>
      <c r="W687" s="13" t="n">
        <v>0</v>
      </c>
      <c r="X687" s="12" t="s">
        <v>852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0" t="n">
        <v>3</v>
      </c>
      <c r="B688" s="11" t="n">
        <v>46224</v>
      </c>
      <c r="C688" s="11" t="n">
        <v>46231</v>
      </c>
      <c r="D688" s="10" t="n">
        <v>10038</v>
      </c>
      <c r="E688" s="12" t="s">
        <v>44</v>
      </c>
      <c r="F688" s="10" t="n">
        <v>24</v>
      </c>
      <c r="G688" s="12" t="s">
        <v>31</v>
      </c>
      <c r="H688" s="10" t="n">
        <v>1110204</v>
      </c>
      <c r="I688" s="12" t="s">
        <v>177</v>
      </c>
      <c r="J688" s="10" t="n">
        <v>1434266</v>
      </c>
      <c r="L688" s="10" t="n">
        <v>194167005</v>
      </c>
      <c r="M688" s="12" t="s">
        <v>33</v>
      </c>
      <c r="N688" s="12" t="s">
        <v>34</v>
      </c>
      <c r="P688" s="10" t="n">
        <v>167</v>
      </c>
      <c r="Q688" s="12" t="s">
        <v>220</v>
      </c>
      <c r="R688" s="12" t="s">
        <v>36</v>
      </c>
      <c r="S688" s="10" t="n">
        <v>1130101</v>
      </c>
      <c r="T688" s="12" t="s">
        <v>37</v>
      </c>
      <c r="U688" s="13" t="n">
        <v>574</v>
      </c>
      <c r="W688" s="13" t="n">
        <v>0</v>
      </c>
      <c r="X688" s="12" t="s">
        <v>45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0" t="n">
        <v>3</v>
      </c>
      <c r="B689" s="11" t="n">
        <v>46224</v>
      </c>
      <c r="C689" s="11" t="n">
        <v>46231</v>
      </c>
      <c r="D689" s="10" t="n">
        <v>1378</v>
      </c>
      <c r="E689" s="12" t="s">
        <v>119</v>
      </c>
      <c r="F689" s="10" t="n">
        <v>24</v>
      </c>
      <c r="G689" s="12" t="s">
        <v>31</v>
      </c>
      <c r="H689" s="10" t="n">
        <v>1110204</v>
      </c>
      <c r="I689" s="12" t="s">
        <v>177</v>
      </c>
      <c r="J689" s="10" t="n">
        <v>1434292</v>
      </c>
      <c r="L689" s="10" t="n">
        <v>18314</v>
      </c>
      <c r="M689" s="12" t="s">
        <v>33</v>
      </c>
      <c r="N689" s="12" t="s">
        <v>34</v>
      </c>
      <c r="P689" s="10" t="n">
        <v>167</v>
      </c>
      <c r="Q689" s="12" t="s">
        <v>220</v>
      </c>
      <c r="R689" s="12" t="s">
        <v>36</v>
      </c>
      <c r="S689" s="10" t="n">
        <v>1130101</v>
      </c>
      <c r="T689" s="12" t="s">
        <v>37</v>
      </c>
      <c r="U689" s="13" t="n">
        <v>200</v>
      </c>
      <c r="W689" s="13" t="n">
        <v>0</v>
      </c>
      <c r="X689" s="12" t="s">
        <v>853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3</v>
      </c>
      <c r="B690" s="11" t="n">
        <v>46225</v>
      </c>
      <c r="C690" s="11" t="n">
        <v>46231</v>
      </c>
      <c r="D690" s="10" t="n">
        <v>1722</v>
      </c>
      <c r="E690" s="12" t="s">
        <v>469</v>
      </c>
      <c r="F690" s="10" t="n">
        <v>24</v>
      </c>
      <c r="G690" s="12" t="s">
        <v>31</v>
      </c>
      <c r="H690" s="10" t="n">
        <v>1110204</v>
      </c>
      <c r="I690" s="12" t="s">
        <v>177</v>
      </c>
      <c r="J690" s="10" t="n">
        <v>1434705</v>
      </c>
      <c r="L690" s="10" t="n">
        <v>6860</v>
      </c>
      <c r="M690" s="12" t="s">
        <v>33</v>
      </c>
      <c r="N690" s="12" t="s">
        <v>34</v>
      </c>
      <c r="P690" s="10" t="n">
        <v>167</v>
      </c>
      <c r="Q690" s="12" t="s">
        <v>220</v>
      </c>
      <c r="R690" s="12" t="s">
        <v>36</v>
      </c>
      <c r="S690" s="10" t="n">
        <v>1130101</v>
      </c>
      <c r="T690" s="12" t="s">
        <v>37</v>
      </c>
      <c r="U690" s="13" t="n">
        <v>233</v>
      </c>
      <c r="W690" s="13" t="n">
        <v>0</v>
      </c>
      <c r="X690" s="12" t="s">
        <v>854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0" t="n">
        <v>3</v>
      </c>
      <c r="B691" s="11" t="n">
        <v>46224</v>
      </c>
      <c r="C691" s="11" t="n">
        <v>46231</v>
      </c>
      <c r="D691" s="10" t="n">
        <v>1734</v>
      </c>
      <c r="E691" s="12" t="s">
        <v>214</v>
      </c>
      <c r="F691" s="10" t="n">
        <v>24</v>
      </c>
      <c r="G691" s="12" t="s">
        <v>31</v>
      </c>
      <c r="H691" s="10" t="n">
        <v>1110204</v>
      </c>
      <c r="I691" s="12" t="s">
        <v>177</v>
      </c>
      <c r="J691" s="10" t="n">
        <v>1438981</v>
      </c>
      <c r="L691" s="10" t="n">
        <v>2560201</v>
      </c>
      <c r="M691" s="12" t="s">
        <v>33</v>
      </c>
      <c r="N691" s="12" t="s">
        <v>34</v>
      </c>
      <c r="P691" s="10" t="n">
        <v>167</v>
      </c>
      <c r="Q691" s="12" t="s">
        <v>220</v>
      </c>
      <c r="R691" s="12" t="s">
        <v>36</v>
      </c>
      <c r="S691" s="10" t="n">
        <v>1130101</v>
      </c>
      <c r="T691" s="12" t="s">
        <v>37</v>
      </c>
      <c r="U691" s="13" t="n">
        <v>355</v>
      </c>
      <c r="W691" s="13" t="n">
        <v>0</v>
      </c>
      <c r="X691" s="12" t="s">
        <v>855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3</v>
      </c>
      <c r="B692" s="11" t="n">
        <v>46227</v>
      </c>
      <c r="C692" s="11" t="n">
        <v>46231</v>
      </c>
      <c r="D692" s="10" t="n">
        <v>42</v>
      </c>
      <c r="E692" s="12" t="s">
        <v>106</v>
      </c>
      <c r="F692" s="10" t="n">
        <v>34</v>
      </c>
      <c r="G692" s="12" t="s">
        <v>58</v>
      </c>
      <c r="H692" s="10" t="n">
        <v>2110101</v>
      </c>
      <c r="I692" s="12" t="s">
        <v>32</v>
      </c>
      <c r="J692" s="10" t="n">
        <v>1445099</v>
      </c>
      <c r="L692" s="10" t="n">
        <v>4420</v>
      </c>
      <c r="M692" s="12" t="s">
        <v>33</v>
      </c>
      <c r="N692" s="12" t="s">
        <v>40</v>
      </c>
      <c r="P692" s="10" t="n">
        <v>167</v>
      </c>
      <c r="Q692" s="12" t="s">
        <v>220</v>
      </c>
      <c r="R692" s="12" t="s">
        <v>36</v>
      </c>
      <c r="S692" s="10" t="n">
        <v>1130101</v>
      </c>
      <c r="T692" s="12" t="s">
        <v>37</v>
      </c>
      <c r="U692" s="13" t="n">
        <v>2232</v>
      </c>
      <c r="W692" s="13" t="n">
        <v>0</v>
      </c>
      <c r="X692" s="12" t="s">
        <v>561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3</v>
      </c>
      <c r="B693" s="11" t="n">
        <v>46227</v>
      </c>
      <c r="C693" s="11" t="n">
        <v>46231</v>
      </c>
      <c r="D693" s="10" t="n">
        <v>1615</v>
      </c>
      <c r="E693" s="12" t="s">
        <v>57</v>
      </c>
      <c r="F693" s="10" t="n">
        <v>34</v>
      </c>
      <c r="G693" s="12" t="s">
        <v>58</v>
      </c>
      <c r="H693" s="10" t="n">
        <v>1110204</v>
      </c>
      <c r="I693" s="12" t="s">
        <v>177</v>
      </c>
      <c r="J693" s="10" t="n">
        <v>1445108</v>
      </c>
      <c r="L693" s="10" t="n">
        <v>14946</v>
      </c>
      <c r="M693" s="12" t="s">
        <v>33</v>
      </c>
      <c r="N693" s="12" t="s">
        <v>34</v>
      </c>
      <c r="P693" s="10" t="n">
        <v>167</v>
      </c>
      <c r="Q693" s="12" t="s">
        <v>220</v>
      </c>
      <c r="R693" s="12" t="s">
        <v>36</v>
      </c>
      <c r="S693" s="10" t="n">
        <v>1130101</v>
      </c>
      <c r="T693" s="12" t="s">
        <v>37</v>
      </c>
      <c r="U693" s="13" t="n">
        <v>310</v>
      </c>
      <c r="W693" s="13" t="n">
        <v>0</v>
      </c>
      <c r="X693" s="12" t="s">
        <v>856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36.75" hidden="false" customHeight="true" outlineLevel="0" collapsed="false">
      <c r="A694" s="10" t="n">
        <v>3</v>
      </c>
      <c r="B694" s="11" t="n">
        <v>46227</v>
      </c>
      <c r="C694" s="11" t="n">
        <v>46231</v>
      </c>
      <c r="D694" s="10" t="n">
        <v>1615</v>
      </c>
      <c r="E694" s="12" t="s">
        <v>57</v>
      </c>
      <c r="F694" s="10" t="n">
        <v>34</v>
      </c>
      <c r="G694" s="12" t="s">
        <v>58</v>
      </c>
      <c r="H694" s="10" t="n">
        <v>1110204</v>
      </c>
      <c r="I694" s="12" t="s">
        <v>177</v>
      </c>
      <c r="J694" s="10" t="n">
        <v>1445113</v>
      </c>
      <c r="L694" s="10" t="n">
        <v>224939</v>
      </c>
      <c r="M694" s="12" t="s">
        <v>33</v>
      </c>
      <c r="N694" s="12" t="s">
        <v>34</v>
      </c>
      <c r="P694" s="10" t="n">
        <v>167</v>
      </c>
      <c r="Q694" s="12" t="s">
        <v>220</v>
      </c>
      <c r="R694" s="12" t="s">
        <v>36</v>
      </c>
      <c r="S694" s="10" t="n">
        <v>1130101</v>
      </c>
      <c r="T694" s="12" t="s">
        <v>37</v>
      </c>
      <c r="U694" s="13" t="n">
        <v>175</v>
      </c>
      <c r="W694" s="13" t="n">
        <v>0</v>
      </c>
      <c r="X694" s="12" t="s">
        <v>857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36.75" hidden="false" customHeight="true" outlineLevel="0" collapsed="false">
      <c r="A695" s="10" t="n">
        <v>3</v>
      </c>
      <c r="B695" s="11" t="n">
        <v>46228</v>
      </c>
      <c r="C695" s="11" t="n">
        <v>46231</v>
      </c>
      <c r="D695" s="10" t="n">
        <v>642</v>
      </c>
      <c r="E695" s="12" t="s">
        <v>343</v>
      </c>
      <c r="F695" s="10" t="n">
        <v>24</v>
      </c>
      <c r="G695" s="12" t="s">
        <v>31</v>
      </c>
      <c r="H695" s="10" t="n">
        <v>1110204</v>
      </c>
      <c r="I695" s="12" t="s">
        <v>177</v>
      </c>
      <c r="J695" s="10" t="n">
        <v>1458619</v>
      </c>
      <c r="L695" s="10" t="n">
        <v>545</v>
      </c>
      <c r="M695" s="12" t="s">
        <v>33</v>
      </c>
      <c r="N695" s="12" t="s">
        <v>34</v>
      </c>
      <c r="P695" s="10" t="n">
        <v>167</v>
      </c>
      <c r="Q695" s="12" t="s">
        <v>220</v>
      </c>
      <c r="R695" s="12" t="s">
        <v>36</v>
      </c>
      <c r="S695" s="10" t="n">
        <v>1130101</v>
      </c>
      <c r="T695" s="12" t="s">
        <v>37</v>
      </c>
      <c r="U695" s="13" t="n">
        <v>240</v>
      </c>
      <c r="W695" s="13" t="n">
        <v>0</v>
      </c>
      <c r="X695" s="12" t="s">
        <v>858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3</v>
      </c>
      <c r="B696" s="11" t="n">
        <v>46223</v>
      </c>
      <c r="C696" s="11" t="n">
        <v>46231</v>
      </c>
      <c r="D696" s="10" t="n">
        <v>17</v>
      </c>
      <c r="E696" s="12" t="s">
        <v>859</v>
      </c>
      <c r="F696" s="10" t="n">
        <v>34</v>
      </c>
      <c r="G696" s="12" t="s">
        <v>58</v>
      </c>
      <c r="H696" s="10" t="n">
        <v>2110405</v>
      </c>
      <c r="I696" s="12" t="s">
        <v>63</v>
      </c>
      <c r="J696" s="10" t="n">
        <v>1464473</v>
      </c>
      <c r="L696" s="10" t="n">
        <v>227845</v>
      </c>
      <c r="M696" s="12" t="s">
        <v>33</v>
      </c>
      <c r="N696" s="12" t="s">
        <v>34</v>
      </c>
      <c r="P696" s="10" t="n">
        <v>101</v>
      </c>
      <c r="Q696" s="12" t="s">
        <v>136</v>
      </c>
      <c r="R696" s="12" t="s">
        <v>222</v>
      </c>
      <c r="S696" s="10" t="n">
        <v>4220199</v>
      </c>
      <c r="T696" s="12" t="s">
        <v>223</v>
      </c>
      <c r="U696" s="13" t="n">
        <v>2600</v>
      </c>
      <c r="W696" s="13" t="n">
        <v>0</v>
      </c>
      <c r="X696" s="12" t="s">
        <v>860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</row>
    <row r="697" customFormat="false" ht="45.75" hidden="false" customHeight="true" outlineLevel="0" collapsed="false">
      <c r="A697" s="10" t="n">
        <v>3</v>
      </c>
      <c r="B697" s="11" t="n">
        <v>46231</v>
      </c>
      <c r="C697" s="11" t="n">
        <v>46231</v>
      </c>
      <c r="D697" s="10" t="n">
        <v>42</v>
      </c>
      <c r="E697" s="12" t="s">
        <v>106</v>
      </c>
      <c r="F697" s="10" t="n">
        <v>13</v>
      </c>
      <c r="G697" s="12" t="s">
        <v>91</v>
      </c>
      <c r="H697" s="10" t="n">
        <v>2110101</v>
      </c>
      <c r="I697" s="12" t="s">
        <v>32</v>
      </c>
      <c r="J697" s="10" t="n">
        <v>1464750</v>
      </c>
      <c r="L697" s="10" t="n">
        <v>4435</v>
      </c>
      <c r="M697" s="12" t="s">
        <v>33</v>
      </c>
      <c r="N697" s="12" t="s">
        <v>40</v>
      </c>
      <c r="P697" s="10" t="n">
        <v>167</v>
      </c>
      <c r="Q697" s="12" t="s">
        <v>220</v>
      </c>
      <c r="R697" s="12" t="s">
        <v>36</v>
      </c>
      <c r="S697" s="10" t="n">
        <v>1130101</v>
      </c>
      <c r="T697" s="12" t="s">
        <v>37</v>
      </c>
      <c r="U697" s="13" t="n">
        <v>75</v>
      </c>
      <c r="W697" s="13" t="n">
        <v>75</v>
      </c>
      <c r="X697" s="12" t="s">
        <v>221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3</v>
      </c>
      <c r="B698" s="11" t="n">
        <v>46231</v>
      </c>
      <c r="C698" s="11" t="n">
        <v>46231</v>
      </c>
      <c r="D698" s="10" t="n">
        <v>42</v>
      </c>
      <c r="E698" s="12" t="s">
        <v>106</v>
      </c>
      <c r="F698" s="10" t="n">
        <v>13</v>
      </c>
      <c r="G698" s="12" t="s">
        <v>91</v>
      </c>
      <c r="H698" s="10" t="n">
        <v>2110101</v>
      </c>
      <c r="I698" s="12" t="s">
        <v>32</v>
      </c>
      <c r="J698" s="10" t="n">
        <v>1465112</v>
      </c>
      <c r="L698" s="10" t="n">
        <v>4436</v>
      </c>
      <c r="M698" s="12" t="s">
        <v>33</v>
      </c>
      <c r="N698" s="12" t="s">
        <v>40</v>
      </c>
      <c r="P698" s="10" t="n">
        <v>167</v>
      </c>
      <c r="Q698" s="12" t="s">
        <v>220</v>
      </c>
      <c r="R698" s="12" t="s">
        <v>36</v>
      </c>
      <c r="S698" s="10" t="n">
        <v>1130101</v>
      </c>
      <c r="T698" s="12" t="s">
        <v>37</v>
      </c>
      <c r="U698" s="13" t="n">
        <v>250</v>
      </c>
      <c r="W698" s="13" t="n">
        <v>250</v>
      </c>
      <c r="X698" s="12" t="s">
        <v>861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3</v>
      </c>
      <c r="B699" s="11" t="n">
        <v>46204</v>
      </c>
      <c r="C699" s="11" t="n">
        <v>46232</v>
      </c>
      <c r="D699" s="10" t="n">
        <v>1740</v>
      </c>
      <c r="E699" s="12" t="s">
        <v>273</v>
      </c>
      <c r="F699" s="10" t="n">
        <v>24</v>
      </c>
      <c r="G699" s="12" t="s">
        <v>31</v>
      </c>
      <c r="H699" s="10" t="n">
        <v>2110101</v>
      </c>
      <c r="I699" s="12" t="s">
        <v>32</v>
      </c>
      <c r="J699" s="10" t="n">
        <v>1335363</v>
      </c>
      <c r="L699" s="10" t="n">
        <v>12428243</v>
      </c>
      <c r="M699" s="12" t="s">
        <v>33</v>
      </c>
      <c r="N699" s="12" t="s">
        <v>34</v>
      </c>
      <c r="P699" s="10" t="n">
        <v>167</v>
      </c>
      <c r="Q699" s="12" t="s">
        <v>220</v>
      </c>
      <c r="R699" s="12" t="s">
        <v>36</v>
      </c>
      <c r="S699" s="10" t="n">
        <v>1130101</v>
      </c>
      <c r="T699" s="12" t="s">
        <v>37</v>
      </c>
      <c r="U699" s="13" t="n">
        <v>683</v>
      </c>
      <c r="W699" s="13" t="n">
        <v>0</v>
      </c>
      <c r="X699" s="12" t="s">
        <v>862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3</v>
      </c>
      <c r="B700" s="11" t="n">
        <v>46204</v>
      </c>
      <c r="C700" s="11" t="n">
        <v>46232</v>
      </c>
      <c r="D700" s="10" t="n">
        <v>1740</v>
      </c>
      <c r="E700" s="12" t="s">
        <v>273</v>
      </c>
      <c r="F700" s="10" t="n">
        <v>24</v>
      </c>
      <c r="G700" s="12" t="s">
        <v>31</v>
      </c>
      <c r="H700" s="10" t="n">
        <v>2110101</v>
      </c>
      <c r="I700" s="12" t="s">
        <v>32</v>
      </c>
      <c r="J700" s="10" t="n">
        <v>1335374</v>
      </c>
      <c r="L700" s="10" t="n">
        <v>12428253</v>
      </c>
      <c r="M700" s="12" t="s">
        <v>33</v>
      </c>
      <c r="N700" s="12" t="s">
        <v>34</v>
      </c>
      <c r="P700" s="10" t="n">
        <v>167</v>
      </c>
      <c r="Q700" s="12" t="s">
        <v>220</v>
      </c>
      <c r="R700" s="12" t="s">
        <v>36</v>
      </c>
      <c r="S700" s="10" t="n">
        <v>1130101</v>
      </c>
      <c r="T700" s="12" t="s">
        <v>37</v>
      </c>
      <c r="U700" s="13" t="n">
        <v>764</v>
      </c>
      <c r="W700" s="13" t="n">
        <v>0</v>
      </c>
      <c r="X700" s="12" t="s">
        <v>863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0" t="n">
        <v>3</v>
      </c>
      <c r="B701" s="11" t="n">
        <v>46206</v>
      </c>
      <c r="C701" s="11" t="n">
        <v>46232</v>
      </c>
      <c r="D701" s="10" t="n">
        <v>1815</v>
      </c>
      <c r="E701" s="12" t="s">
        <v>157</v>
      </c>
      <c r="F701" s="10" t="n">
        <v>24</v>
      </c>
      <c r="G701" s="12" t="s">
        <v>31</v>
      </c>
      <c r="H701" s="10" t="n">
        <v>2110101</v>
      </c>
      <c r="I701" s="12" t="s">
        <v>32</v>
      </c>
      <c r="J701" s="10" t="n">
        <v>1345436</v>
      </c>
      <c r="L701" s="10" t="n">
        <v>4544843</v>
      </c>
      <c r="M701" s="12" t="s">
        <v>33</v>
      </c>
      <c r="N701" s="12" t="s">
        <v>34</v>
      </c>
      <c r="P701" s="10" t="n">
        <v>167</v>
      </c>
      <c r="Q701" s="12" t="s">
        <v>220</v>
      </c>
      <c r="R701" s="12" t="s">
        <v>36</v>
      </c>
      <c r="S701" s="10" t="n">
        <v>1130101</v>
      </c>
      <c r="T701" s="12" t="s">
        <v>37</v>
      </c>
      <c r="U701" s="13" t="n">
        <v>2508.9</v>
      </c>
      <c r="W701" s="13" t="n">
        <v>0</v>
      </c>
      <c r="X701" s="12" t="s">
        <v>864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3</v>
      </c>
      <c r="B702" s="11" t="n">
        <v>46212</v>
      </c>
      <c r="C702" s="11" t="n">
        <v>46232</v>
      </c>
      <c r="D702" s="10" t="n">
        <v>1734</v>
      </c>
      <c r="E702" s="12" t="s">
        <v>214</v>
      </c>
      <c r="F702" s="10" t="n">
        <v>24</v>
      </c>
      <c r="G702" s="12" t="s">
        <v>31</v>
      </c>
      <c r="H702" s="10" t="n">
        <v>2110101</v>
      </c>
      <c r="I702" s="12" t="s">
        <v>32</v>
      </c>
      <c r="J702" s="10" t="n">
        <v>1373726</v>
      </c>
      <c r="L702" s="10" t="n">
        <v>255010</v>
      </c>
      <c r="M702" s="12" t="s">
        <v>33</v>
      </c>
      <c r="N702" s="12" t="s">
        <v>40</v>
      </c>
      <c r="P702" s="10" t="n">
        <v>167</v>
      </c>
      <c r="Q702" s="12" t="s">
        <v>220</v>
      </c>
      <c r="R702" s="12" t="s">
        <v>36</v>
      </c>
      <c r="S702" s="10" t="n">
        <v>1130101</v>
      </c>
      <c r="T702" s="12" t="s">
        <v>37</v>
      </c>
      <c r="U702" s="13" t="n">
        <v>553.87</v>
      </c>
      <c r="W702" s="13" t="n">
        <v>0</v>
      </c>
      <c r="X702" s="12" t="s">
        <v>865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3</v>
      </c>
      <c r="B703" s="11" t="n">
        <v>46211</v>
      </c>
      <c r="C703" s="11" t="n">
        <v>46232</v>
      </c>
      <c r="D703" s="10" t="n">
        <v>1740</v>
      </c>
      <c r="E703" s="12" t="s">
        <v>273</v>
      </c>
      <c r="F703" s="10" t="n">
        <v>24</v>
      </c>
      <c r="G703" s="12" t="s">
        <v>31</v>
      </c>
      <c r="H703" s="10" t="n">
        <v>2110101</v>
      </c>
      <c r="I703" s="12" t="s">
        <v>32</v>
      </c>
      <c r="J703" s="10" t="n">
        <v>1373787</v>
      </c>
      <c r="L703" s="10" t="n">
        <v>12453552</v>
      </c>
      <c r="M703" s="12" t="s">
        <v>33</v>
      </c>
      <c r="N703" s="12" t="s">
        <v>34</v>
      </c>
      <c r="P703" s="10" t="n">
        <v>167</v>
      </c>
      <c r="Q703" s="12" t="s">
        <v>220</v>
      </c>
      <c r="R703" s="12" t="s">
        <v>36</v>
      </c>
      <c r="S703" s="10" t="n">
        <v>1130101</v>
      </c>
      <c r="T703" s="12" t="s">
        <v>37</v>
      </c>
      <c r="U703" s="13" t="n">
        <v>902.57</v>
      </c>
      <c r="W703" s="13" t="n">
        <v>0</v>
      </c>
      <c r="X703" s="12" t="s">
        <v>866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45.75" hidden="false" customHeight="true" outlineLevel="0" collapsed="false">
      <c r="A704" s="10" t="n">
        <v>3</v>
      </c>
      <c r="B704" s="11" t="n">
        <v>46210</v>
      </c>
      <c r="C704" s="11" t="n">
        <v>46232</v>
      </c>
      <c r="D704" s="10" t="n">
        <v>1107</v>
      </c>
      <c r="E704" s="12" t="s">
        <v>103</v>
      </c>
      <c r="F704" s="10" t="n">
        <v>24</v>
      </c>
      <c r="G704" s="12" t="s">
        <v>31</v>
      </c>
      <c r="H704" s="10" t="n">
        <v>2110101</v>
      </c>
      <c r="I704" s="12" t="s">
        <v>32</v>
      </c>
      <c r="J704" s="10" t="n">
        <v>1373797</v>
      </c>
      <c r="L704" s="10" t="n">
        <v>4263682</v>
      </c>
      <c r="M704" s="12" t="s">
        <v>33</v>
      </c>
      <c r="N704" s="12" t="s">
        <v>34</v>
      </c>
      <c r="P704" s="10" t="n">
        <v>167</v>
      </c>
      <c r="Q704" s="12" t="s">
        <v>220</v>
      </c>
      <c r="R704" s="12" t="s">
        <v>36</v>
      </c>
      <c r="S704" s="10" t="n">
        <v>1130101</v>
      </c>
      <c r="T704" s="12" t="s">
        <v>37</v>
      </c>
      <c r="U704" s="13" t="n">
        <v>651.11</v>
      </c>
      <c r="W704" s="13" t="n">
        <v>0</v>
      </c>
      <c r="X704" s="12" t="s">
        <v>867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3</v>
      </c>
      <c r="B705" s="11" t="n">
        <v>46211</v>
      </c>
      <c r="C705" s="11" t="n">
        <v>46232</v>
      </c>
      <c r="D705" s="10" t="n">
        <v>1676</v>
      </c>
      <c r="E705" s="12" t="s">
        <v>197</v>
      </c>
      <c r="F705" s="10" t="n">
        <v>24</v>
      </c>
      <c r="G705" s="12" t="s">
        <v>31</v>
      </c>
      <c r="H705" s="10" t="n">
        <v>2110101</v>
      </c>
      <c r="I705" s="12" t="s">
        <v>32</v>
      </c>
      <c r="J705" s="10" t="n">
        <v>1373838</v>
      </c>
      <c r="L705" s="10" t="n">
        <v>1037762</v>
      </c>
      <c r="M705" s="12" t="s">
        <v>33</v>
      </c>
      <c r="N705" s="12" t="s">
        <v>34</v>
      </c>
      <c r="P705" s="10" t="n">
        <v>167</v>
      </c>
      <c r="Q705" s="12" t="s">
        <v>220</v>
      </c>
      <c r="R705" s="12" t="s">
        <v>36</v>
      </c>
      <c r="S705" s="10" t="n">
        <v>1130101</v>
      </c>
      <c r="T705" s="12" t="s">
        <v>37</v>
      </c>
      <c r="U705" s="13" t="n">
        <v>572.37</v>
      </c>
      <c r="W705" s="13" t="n">
        <v>0</v>
      </c>
      <c r="X705" s="12" t="s">
        <v>868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0" t="n">
        <v>3</v>
      </c>
      <c r="B706" s="11" t="n">
        <v>46218</v>
      </c>
      <c r="C706" s="11" t="n">
        <v>46232</v>
      </c>
      <c r="D706" s="10" t="n">
        <v>1740</v>
      </c>
      <c r="E706" s="12" t="s">
        <v>273</v>
      </c>
      <c r="F706" s="10" t="n">
        <v>24</v>
      </c>
      <c r="G706" s="12" t="s">
        <v>31</v>
      </c>
      <c r="H706" s="10" t="n">
        <v>1110204</v>
      </c>
      <c r="I706" s="12" t="s">
        <v>177</v>
      </c>
      <c r="J706" s="10" t="n">
        <v>1402423</v>
      </c>
      <c r="L706" s="10" t="n">
        <v>12479161</v>
      </c>
      <c r="M706" s="12" t="s">
        <v>33</v>
      </c>
      <c r="N706" s="12" t="s">
        <v>34</v>
      </c>
      <c r="P706" s="10" t="n">
        <v>167</v>
      </c>
      <c r="Q706" s="12" t="s">
        <v>220</v>
      </c>
      <c r="R706" s="12" t="s">
        <v>36</v>
      </c>
      <c r="S706" s="10" t="n">
        <v>1130101</v>
      </c>
      <c r="T706" s="12" t="s">
        <v>37</v>
      </c>
      <c r="U706" s="13" t="n">
        <v>623.07</v>
      </c>
      <c r="W706" s="13" t="n">
        <v>0</v>
      </c>
      <c r="X706" s="12" t="s">
        <v>869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3</v>
      </c>
      <c r="B707" s="11" t="n">
        <v>46218</v>
      </c>
      <c r="C707" s="11" t="n">
        <v>46232</v>
      </c>
      <c r="D707" s="10" t="n">
        <v>1740</v>
      </c>
      <c r="E707" s="12" t="s">
        <v>273</v>
      </c>
      <c r="F707" s="10" t="n">
        <v>24</v>
      </c>
      <c r="G707" s="12" t="s">
        <v>31</v>
      </c>
      <c r="H707" s="10" t="n">
        <v>1110204</v>
      </c>
      <c r="I707" s="12" t="s">
        <v>177</v>
      </c>
      <c r="J707" s="10" t="n">
        <v>1402525</v>
      </c>
      <c r="L707" s="10" t="n">
        <v>12479171</v>
      </c>
      <c r="M707" s="12" t="s">
        <v>33</v>
      </c>
      <c r="N707" s="12" t="s">
        <v>34</v>
      </c>
      <c r="P707" s="10" t="n">
        <v>167</v>
      </c>
      <c r="Q707" s="12" t="s">
        <v>220</v>
      </c>
      <c r="R707" s="12" t="s">
        <v>36</v>
      </c>
      <c r="S707" s="10" t="n">
        <v>1130101</v>
      </c>
      <c r="T707" s="12" t="s">
        <v>37</v>
      </c>
      <c r="U707" s="13" t="n">
        <v>840.92</v>
      </c>
      <c r="W707" s="13" t="n">
        <v>0</v>
      </c>
      <c r="X707" s="12" t="s">
        <v>870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3</v>
      </c>
      <c r="B708" s="11" t="n">
        <v>46224</v>
      </c>
      <c r="C708" s="11" t="n">
        <v>46232</v>
      </c>
      <c r="D708" s="10" t="n">
        <v>1024</v>
      </c>
      <c r="E708" s="12" t="s">
        <v>278</v>
      </c>
      <c r="F708" s="10" t="n">
        <v>24</v>
      </c>
      <c r="G708" s="12" t="s">
        <v>31</v>
      </c>
      <c r="H708" s="10" t="n">
        <v>1110204</v>
      </c>
      <c r="I708" s="12" t="s">
        <v>177</v>
      </c>
      <c r="J708" s="10" t="n">
        <v>1434255</v>
      </c>
      <c r="L708" s="10" t="n">
        <v>6077011</v>
      </c>
      <c r="M708" s="12" t="s">
        <v>33</v>
      </c>
      <c r="N708" s="12" t="s">
        <v>34</v>
      </c>
      <c r="P708" s="10" t="n">
        <v>167</v>
      </c>
      <c r="Q708" s="12" t="s">
        <v>220</v>
      </c>
      <c r="R708" s="12" t="s">
        <v>36</v>
      </c>
      <c r="S708" s="10" t="n">
        <v>1130101</v>
      </c>
      <c r="T708" s="12" t="s">
        <v>37</v>
      </c>
      <c r="U708" s="13" t="n">
        <v>600.4</v>
      </c>
      <c r="W708" s="13" t="n">
        <v>0</v>
      </c>
      <c r="X708" s="12" t="s">
        <v>871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3</v>
      </c>
      <c r="B709" s="11" t="n">
        <v>46225</v>
      </c>
      <c r="C709" s="11" t="n">
        <v>46232</v>
      </c>
      <c r="D709" s="10" t="n">
        <v>1625</v>
      </c>
      <c r="E709" s="12" t="s">
        <v>97</v>
      </c>
      <c r="F709" s="10" t="n">
        <v>24</v>
      </c>
      <c r="G709" s="12" t="s">
        <v>31</v>
      </c>
      <c r="H709" s="10" t="n">
        <v>1110204</v>
      </c>
      <c r="I709" s="12" t="s">
        <v>177</v>
      </c>
      <c r="J709" s="10" t="n">
        <v>1434300</v>
      </c>
      <c r="L709" s="10" t="n">
        <v>14783</v>
      </c>
      <c r="M709" s="12" t="s">
        <v>33</v>
      </c>
      <c r="N709" s="12" t="s">
        <v>34</v>
      </c>
      <c r="P709" s="10" t="n">
        <v>167</v>
      </c>
      <c r="Q709" s="12" t="s">
        <v>220</v>
      </c>
      <c r="R709" s="12" t="s">
        <v>36</v>
      </c>
      <c r="S709" s="10" t="n">
        <v>1130101</v>
      </c>
      <c r="T709" s="12" t="s">
        <v>37</v>
      </c>
      <c r="U709" s="13" t="n">
        <v>2086.5</v>
      </c>
      <c r="W709" s="13" t="n">
        <v>0</v>
      </c>
      <c r="X709" s="12" t="s">
        <v>872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3</v>
      </c>
      <c r="B710" s="11" t="n">
        <v>46224</v>
      </c>
      <c r="C710" s="11" t="n">
        <v>46232</v>
      </c>
      <c r="D710" s="10" t="n">
        <v>1457</v>
      </c>
      <c r="E710" s="12" t="s">
        <v>39</v>
      </c>
      <c r="F710" s="10" t="n">
        <v>24</v>
      </c>
      <c r="G710" s="12" t="s">
        <v>31</v>
      </c>
      <c r="H710" s="10" t="n">
        <v>1110204</v>
      </c>
      <c r="I710" s="12" t="s">
        <v>177</v>
      </c>
      <c r="J710" s="10" t="n">
        <v>1434314</v>
      </c>
      <c r="L710" s="10" t="n">
        <v>13342</v>
      </c>
      <c r="M710" s="12" t="s">
        <v>33</v>
      </c>
      <c r="N710" s="12" t="s">
        <v>34</v>
      </c>
      <c r="P710" s="10" t="n">
        <v>167</v>
      </c>
      <c r="Q710" s="12" t="s">
        <v>220</v>
      </c>
      <c r="R710" s="12" t="s">
        <v>36</v>
      </c>
      <c r="S710" s="10" t="n">
        <v>1130101</v>
      </c>
      <c r="T710" s="12" t="s">
        <v>37</v>
      </c>
      <c r="U710" s="13" t="n">
        <v>203.08</v>
      </c>
      <c r="W710" s="13" t="n">
        <v>0</v>
      </c>
      <c r="X710" s="12" t="s">
        <v>873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3</v>
      </c>
      <c r="B711" s="11" t="n">
        <v>46225</v>
      </c>
      <c r="C711" s="11" t="n">
        <v>46232</v>
      </c>
      <c r="D711" s="10" t="n">
        <v>1613</v>
      </c>
      <c r="E711" s="12" t="s">
        <v>209</v>
      </c>
      <c r="F711" s="10" t="n">
        <v>24</v>
      </c>
      <c r="G711" s="12" t="s">
        <v>31</v>
      </c>
      <c r="H711" s="10" t="n">
        <v>1110204</v>
      </c>
      <c r="I711" s="12" t="s">
        <v>177</v>
      </c>
      <c r="J711" s="10" t="n">
        <v>1434377</v>
      </c>
      <c r="L711" s="10" t="n">
        <v>16099461</v>
      </c>
      <c r="M711" s="12" t="s">
        <v>33</v>
      </c>
      <c r="N711" s="12" t="s">
        <v>34</v>
      </c>
      <c r="P711" s="10" t="n">
        <v>167</v>
      </c>
      <c r="Q711" s="12" t="s">
        <v>220</v>
      </c>
      <c r="R711" s="12" t="s">
        <v>36</v>
      </c>
      <c r="S711" s="10" t="n">
        <v>1130101</v>
      </c>
      <c r="T711" s="12" t="s">
        <v>37</v>
      </c>
      <c r="U711" s="13" t="n">
        <v>1315.54</v>
      </c>
      <c r="W711" s="13" t="n">
        <v>0</v>
      </c>
      <c r="X711" s="12" t="s">
        <v>874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0" t="n">
        <v>3</v>
      </c>
      <c r="B712" s="11" t="n">
        <v>46225</v>
      </c>
      <c r="C712" s="11" t="n">
        <v>46232</v>
      </c>
      <c r="D712" s="10" t="n">
        <v>1609</v>
      </c>
      <c r="E712" s="12" t="s">
        <v>85</v>
      </c>
      <c r="F712" s="10" t="n">
        <v>24</v>
      </c>
      <c r="G712" s="12" t="s">
        <v>31</v>
      </c>
      <c r="H712" s="10" t="n">
        <v>1110204</v>
      </c>
      <c r="I712" s="12" t="s">
        <v>177</v>
      </c>
      <c r="J712" s="10" t="n">
        <v>1435851</v>
      </c>
      <c r="L712" s="10" t="n">
        <v>5838</v>
      </c>
      <c r="M712" s="12" t="s">
        <v>33</v>
      </c>
      <c r="N712" s="12" t="s">
        <v>34</v>
      </c>
      <c r="P712" s="10" t="n">
        <v>167</v>
      </c>
      <c r="Q712" s="12" t="s">
        <v>220</v>
      </c>
      <c r="R712" s="12" t="s">
        <v>36</v>
      </c>
      <c r="S712" s="10" t="n">
        <v>1130101</v>
      </c>
      <c r="T712" s="12" t="s">
        <v>37</v>
      </c>
      <c r="U712" s="13" t="n">
        <v>884.95</v>
      </c>
      <c r="W712" s="13" t="n">
        <v>0</v>
      </c>
      <c r="X712" s="12" t="s">
        <v>875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45.75" hidden="false" customHeight="true" outlineLevel="0" collapsed="false">
      <c r="A713" s="10" t="n">
        <v>3</v>
      </c>
      <c r="B713" s="11" t="n">
        <v>46231</v>
      </c>
      <c r="C713" s="11" t="n">
        <v>46232</v>
      </c>
      <c r="D713" s="10" t="n">
        <v>10096</v>
      </c>
      <c r="E713" s="12" t="s">
        <v>785</v>
      </c>
      <c r="F713" s="10" t="n">
        <v>34</v>
      </c>
      <c r="G713" s="12" t="s">
        <v>58</v>
      </c>
      <c r="H713" s="10" t="n">
        <v>1110204</v>
      </c>
      <c r="I713" s="12" t="s">
        <v>177</v>
      </c>
      <c r="J713" s="10" t="n">
        <v>1465408</v>
      </c>
      <c r="L713" s="10" t="n">
        <v>88</v>
      </c>
      <c r="M713" s="12" t="s">
        <v>33</v>
      </c>
      <c r="N713" s="12" t="s">
        <v>34</v>
      </c>
      <c r="P713" s="10" t="n">
        <v>167</v>
      </c>
      <c r="Q713" s="12" t="s">
        <v>220</v>
      </c>
      <c r="R713" s="12" t="s">
        <v>36</v>
      </c>
      <c r="S713" s="10" t="n">
        <v>1130101</v>
      </c>
      <c r="T713" s="12" t="s">
        <v>37</v>
      </c>
      <c r="U713" s="13" t="n">
        <v>180</v>
      </c>
      <c r="W713" s="13" t="n">
        <v>0</v>
      </c>
      <c r="X713" s="12" t="s">
        <v>876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0" t="n">
        <v>3</v>
      </c>
      <c r="B714" s="11" t="n">
        <v>46232</v>
      </c>
      <c r="C714" s="11" t="n">
        <v>46232</v>
      </c>
      <c r="D714" s="10" t="n">
        <v>42</v>
      </c>
      <c r="E714" s="12" t="s">
        <v>106</v>
      </c>
      <c r="F714" s="10" t="n">
        <v>13</v>
      </c>
      <c r="G714" s="12" t="s">
        <v>91</v>
      </c>
      <c r="H714" s="10" t="n">
        <v>2110101</v>
      </c>
      <c r="I714" s="12" t="s">
        <v>32</v>
      </c>
      <c r="J714" s="10" t="n">
        <v>1468153</v>
      </c>
      <c r="L714" s="10" t="n">
        <v>4437</v>
      </c>
      <c r="M714" s="12" t="s">
        <v>33</v>
      </c>
      <c r="N714" s="12" t="s">
        <v>40</v>
      </c>
      <c r="P714" s="10" t="n">
        <v>167</v>
      </c>
      <c r="Q714" s="12" t="s">
        <v>220</v>
      </c>
      <c r="R714" s="12" t="s">
        <v>36</v>
      </c>
      <c r="S714" s="10" t="n">
        <v>1130101</v>
      </c>
      <c r="T714" s="12" t="s">
        <v>37</v>
      </c>
      <c r="U714" s="13" t="n">
        <v>100</v>
      </c>
      <c r="W714" s="13" t="n">
        <v>100</v>
      </c>
      <c r="X714" s="12" t="s">
        <v>877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3</v>
      </c>
      <c r="B715" s="11" t="n">
        <v>46230</v>
      </c>
      <c r="C715" s="11" t="n">
        <v>46233</v>
      </c>
      <c r="D715" s="10" t="n">
        <v>1807</v>
      </c>
      <c r="E715" s="12" t="s">
        <v>168</v>
      </c>
      <c r="F715" s="10" t="n">
        <v>24</v>
      </c>
      <c r="G715" s="12" t="s">
        <v>31</v>
      </c>
      <c r="H715" s="10" t="n">
        <v>1110204</v>
      </c>
      <c r="I715" s="12" t="s">
        <v>177</v>
      </c>
      <c r="J715" s="10" t="n">
        <v>1459268</v>
      </c>
      <c r="L715" s="10" t="n">
        <v>227124</v>
      </c>
      <c r="M715" s="12" t="s">
        <v>33</v>
      </c>
      <c r="N715" s="12" t="s">
        <v>34</v>
      </c>
      <c r="P715" s="10" t="n">
        <v>101</v>
      </c>
      <c r="Q715" s="12" t="s">
        <v>136</v>
      </c>
      <c r="R715" s="12" t="s">
        <v>169</v>
      </c>
      <c r="S715" s="10" t="n">
        <v>2110712</v>
      </c>
      <c r="T715" s="12" t="s">
        <v>878</v>
      </c>
      <c r="U715" s="13" t="n">
        <v>515.73</v>
      </c>
      <c r="W715" s="13" t="n">
        <v>0</v>
      </c>
      <c r="X715" s="12" t="s">
        <v>879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</row>
    <row r="716" customFormat="false" ht="27.75" hidden="false" customHeight="true" outlineLevel="0" collapsed="false">
      <c r="A716" s="10" t="n">
        <v>3</v>
      </c>
      <c r="B716" s="11" t="n">
        <v>46230</v>
      </c>
      <c r="C716" s="11" t="n">
        <v>46233</v>
      </c>
      <c r="D716" s="10" t="n">
        <v>1807</v>
      </c>
      <c r="E716" s="12" t="s">
        <v>168</v>
      </c>
      <c r="F716" s="10" t="n">
        <v>24</v>
      </c>
      <c r="G716" s="12" t="s">
        <v>31</v>
      </c>
      <c r="H716" s="10" t="n">
        <v>1110204</v>
      </c>
      <c r="I716" s="12" t="s">
        <v>177</v>
      </c>
      <c r="J716" s="10" t="n">
        <v>1459271</v>
      </c>
      <c r="L716" s="10" t="n">
        <v>227125</v>
      </c>
      <c r="M716" s="12" t="s">
        <v>33</v>
      </c>
      <c r="N716" s="12" t="s">
        <v>34</v>
      </c>
      <c r="P716" s="10" t="n">
        <v>101</v>
      </c>
      <c r="Q716" s="12" t="s">
        <v>136</v>
      </c>
      <c r="R716" s="12" t="s">
        <v>169</v>
      </c>
      <c r="S716" s="10" t="n">
        <v>2110704</v>
      </c>
      <c r="T716" s="12" t="s">
        <v>170</v>
      </c>
      <c r="U716" s="13" t="n">
        <v>859.55</v>
      </c>
      <c r="W716" s="13" t="n">
        <v>0</v>
      </c>
      <c r="X716" s="12" t="s">
        <v>880</v>
      </c>
      <c r="Z716" s="1" t="str">
        <f aca="false">IF($T716="","",IFERROR(INDEX('Resumo Grupos'!$AC$3:$AC$200,MATCH($T716,'Resumo Grupos'!$AB$3:$AB$200,0)),"n/d"))</f>
        <v>Despesa</v>
      </c>
      <c r="AA716" s="1" t="str">
        <f aca="false">IF($T716="","",IF(COUNTIF('Resumo Grupos'!$AE$3:$AE$40,$T716)&gt;0,"NAO","SIM"))</f>
        <v>SIM</v>
      </c>
    </row>
    <row r="717" customFormat="false" ht="27.75" hidden="false" customHeight="true" outlineLevel="0" collapsed="false">
      <c r="A717" s="10" t="n">
        <v>3</v>
      </c>
      <c r="B717" s="11" t="n">
        <v>46230</v>
      </c>
      <c r="C717" s="11" t="n">
        <v>46233</v>
      </c>
      <c r="D717" s="10" t="n">
        <v>642</v>
      </c>
      <c r="E717" s="12" t="s">
        <v>343</v>
      </c>
      <c r="F717" s="10" t="n">
        <v>24</v>
      </c>
      <c r="G717" s="12" t="s">
        <v>31</v>
      </c>
      <c r="H717" s="10" t="n">
        <v>1110204</v>
      </c>
      <c r="I717" s="12" t="s">
        <v>177</v>
      </c>
      <c r="J717" s="10" t="n">
        <v>1464503</v>
      </c>
      <c r="L717" s="10" t="n">
        <v>551</v>
      </c>
      <c r="M717" s="12" t="s">
        <v>33</v>
      </c>
      <c r="N717" s="12" t="s">
        <v>34</v>
      </c>
      <c r="P717" s="10" t="n">
        <v>167</v>
      </c>
      <c r="Q717" s="12" t="s">
        <v>220</v>
      </c>
      <c r="R717" s="12" t="s">
        <v>36</v>
      </c>
      <c r="S717" s="10" t="n">
        <v>1130101</v>
      </c>
      <c r="T717" s="12" t="s">
        <v>37</v>
      </c>
      <c r="U717" s="13" t="n">
        <v>180</v>
      </c>
      <c r="W717" s="13" t="n">
        <v>0</v>
      </c>
      <c r="X717" s="12" t="s">
        <v>881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3</v>
      </c>
      <c r="B718" s="11" t="n">
        <v>46205</v>
      </c>
      <c r="C718" s="11" t="n">
        <v>46233</v>
      </c>
      <c r="D718" s="10" t="n">
        <v>794</v>
      </c>
      <c r="E718" s="12" t="s">
        <v>74</v>
      </c>
      <c r="F718" s="10" t="n">
        <v>24</v>
      </c>
      <c r="G718" s="12" t="s">
        <v>31</v>
      </c>
      <c r="H718" s="10" t="n">
        <v>2110405</v>
      </c>
      <c r="I718" s="12" t="s">
        <v>63</v>
      </c>
      <c r="J718" s="10" t="n">
        <v>1340248</v>
      </c>
      <c r="L718" s="10" t="n">
        <v>82673</v>
      </c>
      <c r="M718" s="12" t="s">
        <v>33</v>
      </c>
      <c r="N718" s="12" t="s">
        <v>34</v>
      </c>
      <c r="P718" s="10" t="n">
        <v>167</v>
      </c>
      <c r="Q718" s="12" t="s">
        <v>220</v>
      </c>
      <c r="R718" s="12" t="s">
        <v>64</v>
      </c>
      <c r="S718" s="10" t="n">
        <v>4210299</v>
      </c>
      <c r="T718" s="12" t="s">
        <v>615</v>
      </c>
      <c r="U718" s="13" t="n">
        <v>475.95</v>
      </c>
      <c r="W718" s="13" t="n">
        <v>0</v>
      </c>
      <c r="X718" s="12" t="s">
        <v>882</v>
      </c>
      <c r="Z718" s="1" t="str">
        <f aca="false">IF($T718="","",IFERROR(INDEX('Resumo Grupos'!$AC$3:$AC$200,MATCH($T718,'Resumo Grupos'!$AB$3:$AB$200,0)),"n/d"))</f>
        <v>Despesa</v>
      </c>
      <c r="AA718" s="1" t="str">
        <f aca="false">IF($T718="","",IF(COUNTIF('Resumo Grupos'!$AE$3:$AE$40,$T718)&gt;0,"NAO","SIM"))</f>
        <v>SIM</v>
      </c>
    </row>
    <row r="719" customFormat="false" ht="54.75" hidden="false" customHeight="true" outlineLevel="0" collapsed="false">
      <c r="A719" s="10" t="n">
        <v>3</v>
      </c>
      <c r="B719" s="11" t="n">
        <v>46204</v>
      </c>
      <c r="C719" s="11" t="n">
        <v>46233</v>
      </c>
      <c r="D719" s="10" t="n">
        <v>1664</v>
      </c>
      <c r="E719" s="12" t="s">
        <v>618</v>
      </c>
      <c r="F719" s="10" t="n">
        <v>24</v>
      </c>
      <c r="G719" s="12" t="s">
        <v>31</v>
      </c>
      <c r="H719" s="10" t="n">
        <v>2110101</v>
      </c>
      <c r="I719" s="12" t="s">
        <v>32</v>
      </c>
      <c r="J719" s="10" t="n">
        <v>1340460</v>
      </c>
      <c r="L719" s="10" t="n">
        <v>784223</v>
      </c>
      <c r="M719" s="12" t="s">
        <v>33</v>
      </c>
      <c r="N719" s="12" t="s">
        <v>34</v>
      </c>
      <c r="P719" s="10" t="n">
        <v>167</v>
      </c>
      <c r="Q719" s="12" t="s">
        <v>220</v>
      </c>
      <c r="R719" s="12" t="s">
        <v>36</v>
      </c>
      <c r="S719" s="10" t="n">
        <v>1130101</v>
      </c>
      <c r="T719" s="12" t="s">
        <v>37</v>
      </c>
      <c r="U719" s="13" t="n">
        <v>323.78</v>
      </c>
      <c r="W719" s="13" t="n">
        <v>0</v>
      </c>
      <c r="X719" s="12" t="s">
        <v>883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54.75" hidden="false" customHeight="true" outlineLevel="0" collapsed="false">
      <c r="A720" s="10" t="n">
        <v>3</v>
      </c>
      <c r="B720" s="11" t="n">
        <v>46211</v>
      </c>
      <c r="C720" s="11" t="n">
        <v>46233</v>
      </c>
      <c r="D720" s="10" t="n">
        <v>1718</v>
      </c>
      <c r="E720" s="12" t="s">
        <v>67</v>
      </c>
      <c r="F720" s="10" t="n">
        <v>24</v>
      </c>
      <c r="G720" s="12" t="s">
        <v>31</v>
      </c>
      <c r="H720" s="10" t="n">
        <v>2110101</v>
      </c>
      <c r="I720" s="12" t="s">
        <v>32</v>
      </c>
      <c r="J720" s="10" t="n">
        <v>1373757</v>
      </c>
      <c r="L720" s="10" t="n">
        <v>8043782</v>
      </c>
      <c r="M720" s="12" t="s">
        <v>33</v>
      </c>
      <c r="N720" s="12" t="s">
        <v>34</v>
      </c>
      <c r="P720" s="10" t="n">
        <v>167</v>
      </c>
      <c r="Q720" s="12" t="s">
        <v>220</v>
      </c>
      <c r="R720" s="12" t="s">
        <v>36</v>
      </c>
      <c r="S720" s="10" t="n">
        <v>1130101</v>
      </c>
      <c r="T720" s="12" t="s">
        <v>37</v>
      </c>
      <c r="U720" s="13" t="n">
        <v>369.82</v>
      </c>
      <c r="W720" s="13" t="n">
        <v>0</v>
      </c>
      <c r="X720" s="12" t="s">
        <v>884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3</v>
      </c>
      <c r="B721" s="11" t="n">
        <v>46212</v>
      </c>
      <c r="C721" s="11" t="n">
        <v>46233</v>
      </c>
      <c r="D721" s="10" t="n">
        <v>1656</v>
      </c>
      <c r="E721" s="12" t="s">
        <v>330</v>
      </c>
      <c r="F721" s="10" t="n">
        <v>24</v>
      </c>
      <c r="G721" s="12" t="s">
        <v>31</v>
      </c>
      <c r="H721" s="10" t="n">
        <v>2110101</v>
      </c>
      <c r="I721" s="12" t="s">
        <v>32</v>
      </c>
      <c r="J721" s="10" t="n">
        <v>1373885</v>
      </c>
      <c r="L721" s="10" t="n">
        <v>2233332</v>
      </c>
      <c r="M721" s="12" t="s">
        <v>33</v>
      </c>
      <c r="N721" s="12" t="s">
        <v>34</v>
      </c>
      <c r="P721" s="10" t="n">
        <v>167</v>
      </c>
      <c r="Q721" s="12" t="s">
        <v>220</v>
      </c>
      <c r="R721" s="12" t="s">
        <v>36</v>
      </c>
      <c r="S721" s="10" t="n">
        <v>1130101</v>
      </c>
      <c r="T721" s="12" t="s">
        <v>37</v>
      </c>
      <c r="U721" s="13" t="n">
        <v>396.51</v>
      </c>
      <c r="W721" s="13" t="n">
        <v>0</v>
      </c>
      <c r="X721" s="12" t="s">
        <v>885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3</v>
      </c>
      <c r="B722" s="11" t="n">
        <v>46211</v>
      </c>
      <c r="C722" s="11" t="n">
        <v>46233</v>
      </c>
      <c r="D722" s="10" t="n">
        <v>1605</v>
      </c>
      <c r="E722" s="12" t="s">
        <v>114</v>
      </c>
      <c r="F722" s="10" t="n">
        <v>24</v>
      </c>
      <c r="G722" s="12" t="s">
        <v>31</v>
      </c>
      <c r="H722" s="10" t="n">
        <v>2110101</v>
      </c>
      <c r="I722" s="12" t="s">
        <v>32</v>
      </c>
      <c r="J722" s="10" t="n">
        <v>1374953</v>
      </c>
      <c r="L722" s="10" t="n">
        <v>2178643</v>
      </c>
      <c r="M722" s="12" t="s">
        <v>33</v>
      </c>
      <c r="N722" s="12" t="s">
        <v>34</v>
      </c>
      <c r="P722" s="10" t="n">
        <v>167</v>
      </c>
      <c r="Q722" s="12" t="s">
        <v>220</v>
      </c>
      <c r="R722" s="12" t="s">
        <v>36</v>
      </c>
      <c r="S722" s="10" t="n">
        <v>1130101</v>
      </c>
      <c r="T722" s="12" t="s">
        <v>37</v>
      </c>
      <c r="U722" s="13" t="n">
        <v>357.26</v>
      </c>
      <c r="W722" s="13" t="n">
        <v>0</v>
      </c>
      <c r="X722" s="12" t="s">
        <v>886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3</v>
      </c>
      <c r="B723" s="11" t="n">
        <v>46213</v>
      </c>
      <c r="C723" s="11" t="n">
        <v>46233</v>
      </c>
      <c r="D723" s="10" t="n">
        <v>911</v>
      </c>
      <c r="E723" s="12" t="s">
        <v>887</v>
      </c>
      <c r="F723" s="10" t="n">
        <v>24</v>
      </c>
      <c r="G723" s="12" t="s">
        <v>31</v>
      </c>
      <c r="H723" s="10" t="n">
        <v>2110101</v>
      </c>
      <c r="I723" s="12" t="s">
        <v>32</v>
      </c>
      <c r="J723" s="10" t="n">
        <v>1376528</v>
      </c>
      <c r="L723" s="10" t="n">
        <v>53461</v>
      </c>
      <c r="M723" s="12" t="s">
        <v>33</v>
      </c>
      <c r="N723" s="12" t="s">
        <v>40</v>
      </c>
      <c r="P723" s="10" t="n">
        <v>167</v>
      </c>
      <c r="Q723" s="12" t="s">
        <v>220</v>
      </c>
      <c r="R723" s="12" t="s">
        <v>36</v>
      </c>
      <c r="S723" s="10" t="n">
        <v>1130101</v>
      </c>
      <c r="T723" s="12" t="s">
        <v>37</v>
      </c>
      <c r="U723" s="13" t="n">
        <v>591.47</v>
      </c>
      <c r="W723" s="13" t="n">
        <v>0</v>
      </c>
      <c r="X723" s="12" t="s">
        <v>888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3</v>
      </c>
      <c r="B724" s="11" t="n">
        <v>46219</v>
      </c>
      <c r="C724" s="11" t="n">
        <v>46233</v>
      </c>
      <c r="D724" s="10" t="n">
        <v>1039</v>
      </c>
      <c r="E724" s="12" t="s">
        <v>150</v>
      </c>
      <c r="F724" s="10" t="n">
        <v>24</v>
      </c>
      <c r="G724" s="12" t="s">
        <v>31</v>
      </c>
      <c r="H724" s="10" t="n">
        <v>1110204</v>
      </c>
      <c r="I724" s="12" t="s">
        <v>177</v>
      </c>
      <c r="J724" s="10" t="n">
        <v>1410316</v>
      </c>
      <c r="L724" s="10" t="n">
        <v>192872</v>
      </c>
      <c r="M724" s="12" t="s">
        <v>33</v>
      </c>
      <c r="N724" s="12" t="s">
        <v>34</v>
      </c>
      <c r="P724" s="10" t="n">
        <v>167</v>
      </c>
      <c r="Q724" s="12" t="s">
        <v>220</v>
      </c>
      <c r="R724" s="12" t="s">
        <v>36</v>
      </c>
      <c r="S724" s="10" t="n">
        <v>1130101</v>
      </c>
      <c r="T724" s="12" t="s">
        <v>37</v>
      </c>
      <c r="U724" s="13" t="n">
        <v>1453.93</v>
      </c>
      <c r="W724" s="13" t="n">
        <v>0</v>
      </c>
      <c r="X724" s="12" t="s">
        <v>889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36.75" hidden="false" customHeight="true" outlineLevel="0" collapsed="false">
      <c r="A725" s="10" t="n">
        <v>3</v>
      </c>
      <c r="B725" s="11" t="n">
        <v>46225</v>
      </c>
      <c r="C725" s="11" t="n">
        <v>46233</v>
      </c>
      <c r="D725" s="10" t="n">
        <v>1642</v>
      </c>
      <c r="E725" s="12" t="s">
        <v>48</v>
      </c>
      <c r="F725" s="10" t="n">
        <v>24</v>
      </c>
      <c r="G725" s="12" t="s">
        <v>31</v>
      </c>
      <c r="H725" s="10" t="n">
        <v>1110204</v>
      </c>
      <c r="I725" s="12" t="s">
        <v>177</v>
      </c>
      <c r="J725" s="10" t="n">
        <v>1438963</v>
      </c>
      <c r="L725" s="10" t="n">
        <v>103313</v>
      </c>
      <c r="M725" s="12" t="s">
        <v>33</v>
      </c>
      <c r="N725" s="12" t="s">
        <v>34</v>
      </c>
      <c r="P725" s="10" t="n">
        <v>167</v>
      </c>
      <c r="Q725" s="12" t="s">
        <v>220</v>
      </c>
      <c r="R725" s="12" t="s">
        <v>36</v>
      </c>
      <c r="S725" s="10" t="n">
        <v>1130101</v>
      </c>
      <c r="T725" s="12" t="s">
        <v>37</v>
      </c>
      <c r="U725" s="13" t="n">
        <v>540.18</v>
      </c>
      <c r="W725" s="13" t="n">
        <v>0</v>
      </c>
      <c r="X725" s="12" t="s">
        <v>890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3</v>
      </c>
      <c r="B726" s="11" t="n">
        <v>46226</v>
      </c>
      <c r="C726" s="11" t="n">
        <v>46233</v>
      </c>
      <c r="D726" s="10" t="n">
        <v>42</v>
      </c>
      <c r="E726" s="12" t="s">
        <v>106</v>
      </c>
      <c r="F726" s="10" t="n">
        <v>34</v>
      </c>
      <c r="G726" s="12" t="s">
        <v>58</v>
      </c>
      <c r="H726" s="10" t="n">
        <v>2110101</v>
      </c>
      <c r="I726" s="12" t="s">
        <v>32</v>
      </c>
      <c r="J726" s="10" t="n">
        <v>1439290</v>
      </c>
      <c r="L726" s="10" t="n">
        <v>4414</v>
      </c>
      <c r="M726" s="12" t="s">
        <v>33</v>
      </c>
      <c r="N726" s="12" t="s">
        <v>40</v>
      </c>
      <c r="P726" s="10" t="n">
        <v>167</v>
      </c>
      <c r="Q726" s="12" t="s">
        <v>220</v>
      </c>
      <c r="R726" s="12" t="s">
        <v>36</v>
      </c>
      <c r="S726" s="10" t="n">
        <v>1130101</v>
      </c>
      <c r="T726" s="12" t="s">
        <v>37</v>
      </c>
      <c r="U726" s="13" t="n">
        <v>1200</v>
      </c>
      <c r="W726" s="13" t="n">
        <v>0</v>
      </c>
      <c r="X726" s="12" t="s">
        <v>891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3</v>
      </c>
      <c r="B727" s="11" t="n">
        <v>46227</v>
      </c>
      <c r="C727" s="11" t="n">
        <v>46233</v>
      </c>
      <c r="D727" s="10" t="n">
        <v>42</v>
      </c>
      <c r="E727" s="12" t="s">
        <v>106</v>
      </c>
      <c r="F727" s="10" t="n">
        <v>34</v>
      </c>
      <c r="G727" s="12" t="s">
        <v>58</v>
      </c>
      <c r="H727" s="10" t="n">
        <v>2110101</v>
      </c>
      <c r="I727" s="12" t="s">
        <v>32</v>
      </c>
      <c r="J727" s="10" t="n">
        <v>1443631</v>
      </c>
      <c r="L727" s="10" t="n">
        <v>4418</v>
      </c>
      <c r="M727" s="12" t="s">
        <v>33</v>
      </c>
      <c r="N727" s="12" t="s">
        <v>40</v>
      </c>
      <c r="P727" s="10" t="n">
        <v>167</v>
      </c>
      <c r="Q727" s="12" t="s">
        <v>220</v>
      </c>
      <c r="R727" s="12" t="s">
        <v>36</v>
      </c>
      <c r="S727" s="10" t="n">
        <v>1130101</v>
      </c>
      <c r="T727" s="12" t="s">
        <v>37</v>
      </c>
      <c r="U727" s="13" t="n">
        <v>280</v>
      </c>
      <c r="W727" s="13" t="n">
        <v>0</v>
      </c>
      <c r="X727" s="12" t="s">
        <v>389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3</v>
      </c>
      <c r="B728" s="11" t="n">
        <v>46233</v>
      </c>
      <c r="C728" s="11" t="n">
        <v>46233</v>
      </c>
      <c r="D728" s="10" t="n">
        <v>42</v>
      </c>
      <c r="E728" s="12" t="s">
        <v>106</v>
      </c>
      <c r="F728" s="10" t="n">
        <v>13</v>
      </c>
      <c r="G728" s="12" t="s">
        <v>91</v>
      </c>
      <c r="H728" s="10" t="n">
        <v>2110101</v>
      </c>
      <c r="I728" s="12" t="s">
        <v>32</v>
      </c>
      <c r="J728" s="10" t="n">
        <v>1473140</v>
      </c>
      <c r="L728" s="10" t="n">
        <v>4439</v>
      </c>
      <c r="M728" s="12" t="s">
        <v>33</v>
      </c>
      <c r="N728" s="12" t="s">
        <v>40</v>
      </c>
      <c r="P728" s="10" t="n">
        <v>167</v>
      </c>
      <c r="Q728" s="12" t="s">
        <v>220</v>
      </c>
      <c r="R728" s="12" t="s">
        <v>36</v>
      </c>
      <c r="S728" s="10" t="n">
        <v>1130101</v>
      </c>
      <c r="T728" s="12" t="s">
        <v>37</v>
      </c>
      <c r="U728" s="13" t="n">
        <v>145</v>
      </c>
      <c r="W728" s="13" t="n">
        <v>145</v>
      </c>
      <c r="X728" s="12" t="s">
        <v>815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3</v>
      </c>
      <c r="B729" s="11" t="n">
        <v>46233</v>
      </c>
      <c r="C729" s="11" t="n">
        <v>46233</v>
      </c>
      <c r="D729" s="10" t="n">
        <v>42</v>
      </c>
      <c r="E729" s="12" t="s">
        <v>106</v>
      </c>
      <c r="F729" s="10" t="n">
        <v>13</v>
      </c>
      <c r="G729" s="12" t="s">
        <v>91</v>
      </c>
      <c r="H729" s="10" t="n">
        <v>2110101</v>
      </c>
      <c r="I729" s="12" t="s">
        <v>32</v>
      </c>
      <c r="J729" s="10" t="n">
        <v>1473157</v>
      </c>
      <c r="L729" s="10" t="n">
        <v>4440</v>
      </c>
      <c r="M729" s="12" t="s">
        <v>33</v>
      </c>
      <c r="N729" s="12" t="s">
        <v>40</v>
      </c>
      <c r="P729" s="10" t="n">
        <v>167</v>
      </c>
      <c r="Q729" s="12" t="s">
        <v>220</v>
      </c>
      <c r="R729" s="12" t="s">
        <v>36</v>
      </c>
      <c r="S729" s="10" t="n">
        <v>1130101</v>
      </c>
      <c r="T729" s="12" t="s">
        <v>37</v>
      </c>
      <c r="U729" s="13" t="n">
        <v>250</v>
      </c>
      <c r="W729" s="13" t="n">
        <v>250</v>
      </c>
      <c r="X729" s="12" t="s">
        <v>892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45.75" hidden="false" customHeight="true" outlineLevel="0" collapsed="false">
      <c r="A730" s="10" t="n">
        <v>3</v>
      </c>
      <c r="B730" s="11" t="n">
        <v>46231</v>
      </c>
      <c r="C730" s="11" t="n">
        <v>46234</v>
      </c>
      <c r="D730" s="10" t="n">
        <v>1615</v>
      </c>
      <c r="E730" s="12" t="s">
        <v>57</v>
      </c>
      <c r="F730" s="10" t="n">
        <v>34</v>
      </c>
      <c r="G730" s="12" t="s">
        <v>58</v>
      </c>
      <c r="H730" s="10" t="n">
        <v>1110204</v>
      </c>
      <c r="I730" s="12" t="s">
        <v>177</v>
      </c>
      <c r="J730" s="10" t="n">
        <v>1464520</v>
      </c>
      <c r="L730" s="10" t="n">
        <v>14968</v>
      </c>
      <c r="M730" s="12" t="s">
        <v>33</v>
      </c>
      <c r="N730" s="12" t="s">
        <v>34</v>
      </c>
      <c r="P730" s="10" t="n">
        <v>167</v>
      </c>
      <c r="Q730" s="12" t="s">
        <v>220</v>
      </c>
      <c r="R730" s="12" t="s">
        <v>36</v>
      </c>
      <c r="S730" s="10" t="n">
        <v>1130101</v>
      </c>
      <c r="T730" s="12" t="s">
        <v>37</v>
      </c>
      <c r="U730" s="13" t="n">
        <v>140</v>
      </c>
      <c r="W730" s="13" t="n">
        <v>0</v>
      </c>
      <c r="X730" s="12" t="s">
        <v>893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3</v>
      </c>
      <c r="B731" s="11" t="n">
        <v>46209</v>
      </c>
      <c r="C731" s="11" t="n">
        <v>46234</v>
      </c>
      <c r="D731" s="10" t="n">
        <v>1136</v>
      </c>
      <c r="E731" s="12" t="s">
        <v>123</v>
      </c>
      <c r="F731" s="10" t="n">
        <v>24</v>
      </c>
      <c r="G731" s="12" t="s">
        <v>31</v>
      </c>
      <c r="H731" s="10" t="n">
        <v>2110101</v>
      </c>
      <c r="I731" s="12" t="s">
        <v>32</v>
      </c>
      <c r="J731" s="10" t="n">
        <v>1377178</v>
      </c>
      <c r="L731" s="10" t="n">
        <v>516262</v>
      </c>
      <c r="M731" s="12" t="s">
        <v>33</v>
      </c>
      <c r="N731" s="12" t="s">
        <v>34</v>
      </c>
      <c r="P731" s="10" t="n">
        <v>167</v>
      </c>
      <c r="Q731" s="12" t="s">
        <v>220</v>
      </c>
      <c r="R731" s="12" t="s">
        <v>36</v>
      </c>
      <c r="S731" s="10" t="n">
        <v>1130101</v>
      </c>
      <c r="T731" s="12" t="s">
        <v>37</v>
      </c>
      <c r="U731" s="13" t="n">
        <v>567.72</v>
      </c>
      <c r="W731" s="13" t="n">
        <v>0</v>
      </c>
      <c r="X731" s="12" t="s">
        <v>894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3</v>
      </c>
      <c r="B732" s="11" t="n">
        <v>46212</v>
      </c>
      <c r="C732" s="11" t="n">
        <v>46234</v>
      </c>
      <c r="D732" s="10" t="n">
        <v>1816</v>
      </c>
      <c r="E732" s="12" t="s">
        <v>83</v>
      </c>
      <c r="F732" s="10" t="n">
        <v>24</v>
      </c>
      <c r="G732" s="12" t="s">
        <v>31</v>
      </c>
      <c r="H732" s="10" t="n">
        <v>1110204</v>
      </c>
      <c r="I732" s="12" t="s">
        <v>177</v>
      </c>
      <c r="J732" s="10" t="n">
        <v>1392489</v>
      </c>
      <c r="L732" s="10" t="n">
        <v>3333642</v>
      </c>
      <c r="M732" s="12" t="s">
        <v>33</v>
      </c>
      <c r="N732" s="12" t="s">
        <v>34</v>
      </c>
      <c r="P732" s="10" t="n">
        <v>167</v>
      </c>
      <c r="Q732" s="12" t="s">
        <v>220</v>
      </c>
      <c r="R732" s="12" t="s">
        <v>36</v>
      </c>
      <c r="S732" s="10" t="n">
        <v>1130101</v>
      </c>
      <c r="T732" s="12" t="s">
        <v>37</v>
      </c>
      <c r="U732" s="13" t="n">
        <v>1528.61</v>
      </c>
      <c r="W732" s="13" t="n">
        <v>0</v>
      </c>
      <c r="X732" s="12" t="s">
        <v>895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27.75" hidden="false" customHeight="true" outlineLevel="0" collapsed="false">
      <c r="A733" s="10" t="n">
        <v>3</v>
      </c>
      <c r="B733" s="11" t="n">
        <v>46212</v>
      </c>
      <c r="C733" s="11" t="n">
        <v>46234</v>
      </c>
      <c r="D733" s="10" t="n">
        <v>10037</v>
      </c>
      <c r="E733" s="12" t="s">
        <v>81</v>
      </c>
      <c r="F733" s="10" t="n">
        <v>24</v>
      </c>
      <c r="G733" s="12" t="s">
        <v>31</v>
      </c>
      <c r="H733" s="10" t="n">
        <v>1110204</v>
      </c>
      <c r="I733" s="12" t="s">
        <v>177</v>
      </c>
      <c r="J733" s="10" t="n">
        <v>1392502</v>
      </c>
      <c r="L733" s="10" t="n">
        <v>27511</v>
      </c>
      <c r="M733" s="12" t="s">
        <v>33</v>
      </c>
      <c r="N733" s="12" t="s">
        <v>34</v>
      </c>
      <c r="P733" s="10" t="n">
        <v>167</v>
      </c>
      <c r="Q733" s="12" t="s">
        <v>220</v>
      </c>
      <c r="R733" s="12" t="s">
        <v>36</v>
      </c>
      <c r="S733" s="10" t="n">
        <v>1130101</v>
      </c>
      <c r="T733" s="12" t="s">
        <v>37</v>
      </c>
      <c r="U733" s="13" t="n">
        <v>565.04</v>
      </c>
      <c r="W733" s="13" t="n">
        <v>0</v>
      </c>
      <c r="X733" s="12" t="s">
        <v>896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3</v>
      </c>
      <c r="B734" s="11" t="n">
        <v>46211</v>
      </c>
      <c r="C734" s="11" t="n">
        <v>46234</v>
      </c>
      <c r="D734" s="10" t="n">
        <v>1027</v>
      </c>
      <c r="E734" s="12" t="s">
        <v>897</v>
      </c>
      <c r="F734" s="10" t="n">
        <v>24</v>
      </c>
      <c r="G734" s="12" t="s">
        <v>31</v>
      </c>
      <c r="H734" s="10" t="n">
        <v>1110204</v>
      </c>
      <c r="I734" s="12" t="s">
        <v>177</v>
      </c>
      <c r="J734" s="10" t="n">
        <v>1396995</v>
      </c>
      <c r="L734" s="10" t="n">
        <v>11403</v>
      </c>
      <c r="M734" s="12" t="s">
        <v>33</v>
      </c>
      <c r="N734" s="12" t="s">
        <v>34</v>
      </c>
      <c r="P734" s="10" t="n">
        <v>167</v>
      </c>
      <c r="Q734" s="12" t="s">
        <v>220</v>
      </c>
      <c r="R734" s="12" t="s">
        <v>36</v>
      </c>
      <c r="S734" s="10" t="n">
        <v>1130101</v>
      </c>
      <c r="T734" s="12" t="s">
        <v>37</v>
      </c>
      <c r="U734" s="13" t="n">
        <v>293.4</v>
      </c>
      <c r="W734" s="13" t="n">
        <v>0</v>
      </c>
      <c r="X734" s="12" t="s">
        <v>898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36.75" hidden="false" customHeight="true" outlineLevel="0" collapsed="false">
      <c r="A735" s="10" t="n">
        <v>3</v>
      </c>
      <c r="B735" s="11" t="n">
        <v>46213</v>
      </c>
      <c r="C735" s="11" t="n">
        <v>46234</v>
      </c>
      <c r="D735" s="10" t="n">
        <v>10009</v>
      </c>
      <c r="E735" s="12" t="s">
        <v>99</v>
      </c>
      <c r="F735" s="10" t="n">
        <v>24</v>
      </c>
      <c r="G735" s="12" t="s">
        <v>31</v>
      </c>
      <c r="H735" s="10" t="n">
        <v>1110204</v>
      </c>
      <c r="I735" s="12" t="s">
        <v>177</v>
      </c>
      <c r="J735" s="10" t="n">
        <v>1402522</v>
      </c>
      <c r="L735" s="10" t="n">
        <v>1426592</v>
      </c>
      <c r="M735" s="12" t="s">
        <v>33</v>
      </c>
      <c r="N735" s="12" t="s">
        <v>34</v>
      </c>
      <c r="P735" s="10" t="n">
        <v>167</v>
      </c>
      <c r="Q735" s="12" t="s">
        <v>220</v>
      </c>
      <c r="R735" s="12" t="s">
        <v>36</v>
      </c>
      <c r="S735" s="10" t="n">
        <v>1130101</v>
      </c>
      <c r="T735" s="12" t="s">
        <v>37</v>
      </c>
      <c r="U735" s="13" t="n">
        <v>1041.28</v>
      </c>
      <c r="W735" s="13" t="n">
        <v>0</v>
      </c>
      <c r="X735" s="12" t="s">
        <v>899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27.75" hidden="false" customHeight="true" outlineLevel="0" collapsed="false">
      <c r="A736" s="10" t="n">
        <v>3</v>
      </c>
      <c r="B736" s="11" t="n">
        <v>46213</v>
      </c>
      <c r="C736" s="11" t="n">
        <v>46234</v>
      </c>
      <c r="D736" s="10" t="n">
        <v>1657</v>
      </c>
      <c r="E736" s="12" t="s">
        <v>333</v>
      </c>
      <c r="F736" s="10" t="n">
        <v>24</v>
      </c>
      <c r="G736" s="12" t="s">
        <v>31</v>
      </c>
      <c r="H736" s="10" t="n">
        <v>1110204</v>
      </c>
      <c r="I736" s="12" t="s">
        <v>177</v>
      </c>
      <c r="J736" s="10" t="n">
        <v>1407149</v>
      </c>
      <c r="L736" s="10" t="n">
        <v>3761992</v>
      </c>
      <c r="M736" s="12" t="s">
        <v>33</v>
      </c>
      <c r="N736" s="12" t="s">
        <v>34</v>
      </c>
      <c r="P736" s="10" t="n">
        <v>167</v>
      </c>
      <c r="Q736" s="12" t="s">
        <v>220</v>
      </c>
      <c r="R736" s="12" t="s">
        <v>36</v>
      </c>
      <c r="S736" s="10" t="n">
        <v>1130101</v>
      </c>
      <c r="T736" s="12" t="s">
        <v>37</v>
      </c>
      <c r="U736" s="13" t="n">
        <v>708.09</v>
      </c>
      <c r="W736" s="13" t="n">
        <v>0</v>
      </c>
      <c r="X736" s="12" t="s">
        <v>900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3</v>
      </c>
      <c r="B737" s="11" t="n">
        <v>46219</v>
      </c>
      <c r="C737" s="11" t="n">
        <v>46234</v>
      </c>
      <c r="D737" s="10" t="n">
        <v>1814</v>
      </c>
      <c r="E737" s="12" t="s">
        <v>280</v>
      </c>
      <c r="F737" s="10" t="n">
        <v>24</v>
      </c>
      <c r="G737" s="12" t="s">
        <v>31</v>
      </c>
      <c r="H737" s="10" t="n">
        <v>1110204</v>
      </c>
      <c r="I737" s="12" t="s">
        <v>177</v>
      </c>
      <c r="J737" s="10" t="n">
        <v>1411451</v>
      </c>
      <c r="L737" s="10" t="n">
        <v>276212</v>
      </c>
      <c r="M737" s="12" t="s">
        <v>33</v>
      </c>
      <c r="N737" s="12" t="s">
        <v>34</v>
      </c>
      <c r="P737" s="10" t="n">
        <v>167</v>
      </c>
      <c r="Q737" s="12" t="s">
        <v>220</v>
      </c>
      <c r="R737" s="12" t="s">
        <v>36</v>
      </c>
      <c r="S737" s="10" t="n">
        <v>1130101</v>
      </c>
      <c r="T737" s="12" t="s">
        <v>37</v>
      </c>
      <c r="U737" s="13" t="n">
        <v>678.13</v>
      </c>
      <c r="W737" s="13" t="n">
        <v>0</v>
      </c>
      <c r="X737" s="12" t="s">
        <v>901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3</v>
      </c>
      <c r="B738" s="11" t="n">
        <v>46219</v>
      </c>
      <c r="C738" s="11" t="n">
        <v>46234</v>
      </c>
      <c r="D738" s="10" t="n">
        <v>1873</v>
      </c>
      <c r="E738" s="12" t="s">
        <v>902</v>
      </c>
      <c r="F738" s="10" t="n">
        <v>24</v>
      </c>
      <c r="G738" s="12" t="s">
        <v>31</v>
      </c>
      <c r="H738" s="10" t="n">
        <v>1110204</v>
      </c>
      <c r="I738" s="12" t="s">
        <v>177</v>
      </c>
      <c r="J738" s="10" t="n">
        <v>1411467</v>
      </c>
      <c r="L738" s="10" t="n">
        <v>1116701</v>
      </c>
      <c r="M738" s="12" t="s">
        <v>33</v>
      </c>
      <c r="N738" s="12" t="s">
        <v>34</v>
      </c>
      <c r="P738" s="10" t="n">
        <v>167</v>
      </c>
      <c r="Q738" s="12" t="s">
        <v>220</v>
      </c>
      <c r="R738" s="12" t="s">
        <v>36</v>
      </c>
      <c r="S738" s="10" t="n">
        <v>1130101</v>
      </c>
      <c r="T738" s="12" t="s">
        <v>37</v>
      </c>
      <c r="U738" s="13" t="n">
        <v>337.5</v>
      </c>
      <c r="W738" s="13" t="n">
        <v>0</v>
      </c>
      <c r="X738" s="12" t="s">
        <v>903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36.75" hidden="false" customHeight="true" outlineLevel="0" collapsed="false">
      <c r="A739" s="10" t="n">
        <v>3</v>
      </c>
      <c r="B739" s="11" t="n">
        <v>46219</v>
      </c>
      <c r="C739" s="11" t="n">
        <v>46234</v>
      </c>
      <c r="D739" s="10" t="n">
        <v>1166</v>
      </c>
      <c r="E739" s="12" t="s">
        <v>460</v>
      </c>
      <c r="F739" s="10" t="n">
        <v>24</v>
      </c>
      <c r="G739" s="12" t="s">
        <v>31</v>
      </c>
      <c r="H739" s="10" t="n">
        <v>1110204</v>
      </c>
      <c r="I739" s="12" t="s">
        <v>177</v>
      </c>
      <c r="J739" s="10" t="n">
        <v>1411487</v>
      </c>
      <c r="L739" s="10" t="n">
        <v>355192</v>
      </c>
      <c r="M739" s="12" t="s">
        <v>33</v>
      </c>
      <c r="N739" s="12" t="s">
        <v>34</v>
      </c>
      <c r="P739" s="10" t="n">
        <v>167</v>
      </c>
      <c r="Q739" s="12" t="s">
        <v>220</v>
      </c>
      <c r="R739" s="12" t="s">
        <v>36</v>
      </c>
      <c r="S739" s="10" t="n">
        <v>1130101</v>
      </c>
      <c r="T739" s="12" t="s">
        <v>37</v>
      </c>
      <c r="U739" s="13" t="n">
        <v>631.62</v>
      </c>
      <c r="W739" s="13" t="n">
        <v>0</v>
      </c>
      <c r="X739" s="12" t="s">
        <v>904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3</v>
      </c>
      <c r="B740" s="11" t="n">
        <v>46227</v>
      </c>
      <c r="C740" s="11" t="n">
        <v>46234</v>
      </c>
      <c r="D740" s="10" t="n">
        <v>1723</v>
      </c>
      <c r="E740" s="12" t="s">
        <v>54</v>
      </c>
      <c r="F740" s="10" t="n">
        <v>24</v>
      </c>
      <c r="G740" s="12" t="s">
        <v>31</v>
      </c>
      <c r="H740" s="10" t="n">
        <v>1110204</v>
      </c>
      <c r="I740" s="12" t="s">
        <v>177</v>
      </c>
      <c r="J740" s="10" t="n">
        <v>1448504</v>
      </c>
      <c r="L740" s="10" t="n">
        <v>574651</v>
      </c>
      <c r="M740" s="12" t="s">
        <v>33</v>
      </c>
      <c r="N740" s="12" t="s">
        <v>34</v>
      </c>
      <c r="P740" s="10" t="n">
        <v>167</v>
      </c>
      <c r="Q740" s="12" t="s">
        <v>220</v>
      </c>
      <c r="R740" s="12" t="s">
        <v>36</v>
      </c>
      <c r="S740" s="10" t="n">
        <v>1130101</v>
      </c>
      <c r="T740" s="12" t="s">
        <v>37</v>
      </c>
      <c r="U740" s="13" t="n">
        <v>3653.9</v>
      </c>
      <c r="W740" s="13" t="n">
        <v>0</v>
      </c>
      <c r="X740" s="12" t="s">
        <v>905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3</v>
      </c>
      <c r="B741" s="11" t="n">
        <v>46226</v>
      </c>
      <c r="C741" s="11" t="n">
        <v>46234</v>
      </c>
      <c r="D741" s="10" t="n">
        <v>10063</v>
      </c>
      <c r="E741" s="12" t="s">
        <v>76</v>
      </c>
      <c r="F741" s="10" t="n">
        <v>24</v>
      </c>
      <c r="G741" s="12" t="s">
        <v>31</v>
      </c>
      <c r="H741" s="10" t="n">
        <v>1110204</v>
      </c>
      <c r="I741" s="12" t="s">
        <v>177</v>
      </c>
      <c r="J741" s="10" t="n">
        <v>1443617</v>
      </c>
      <c r="L741" s="10" t="n">
        <v>2587</v>
      </c>
      <c r="M741" s="12" t="s">
        <v>33</v>
      </c>
      <c r="N741" s="12" t="s">
        <v>34</v>
      </c>
      <c r="P741" s="10" t="n">
        <v>167</v>
      </c>
      <c r="Q741" s="12" t="s">
        <v>220</v>
      </c>
      <c r="R741" s="12" t="s">
        <v>36</v>
      </c>
      <c r="S741" s="10" t="n">
        <v>1130101</v>
      </c>
      <c r="T741" s="12" t="s">
        <v>37</v>
      </c>
      <c r="U741" s="13" t="n">
        <v>1870</v>
      </c>
      <c r="W741" s="13" t="n">
        <v>0</v>
      </c>
      <c r="X741" s="12" t="s">
        <v>906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3</v>
      </c>
      <c r="B742" s="11" t="n">
        <v>46227</v>
      </c>
      <c r="C742" s="11" t="n">
        <v>46234</v>
      </c>
      <c r="D742" s="10" t="n">
        <v>200</v>
      </c>
      <c r="E742" s="12" t="s">
        <v>231</v>
      </c>
      <c r="F742" s="10" t="n">
        <v>34</v>
      </c>
      <c r="G742" s="12" t="s">
        <v>58</v>
      </c>
      <c r="H742" s="10" t="n">
        <v>1110204</v>
      </c>
      <c r="I742" s="12" t="s">
        <v>177</v>
      </c>
      <c r="J742" s="10" t="n">
        <v>1445376</v>
      </c>
      <c r="L742" s="10" t="n">
        <v>224969</v>
      </c>
      <c r="M742" s="12" t="s">
        <v>33</v>
      </c>
      <c r="N742" s="12" t="s">
        <v>34</v>
      </c>
      <c r="P742" s="10" t="n">
        <v>101</v>
      </c>
      <c r="Q742" s="12" t="s">
        <v>136</v>
      </c>
      <c r="R742" s="12" t="s">
        <v>137</v>
      </c>
      <c r="S742" s="10" t="n">
        <v>4210304</v>
      </c>
      <c r="T742" s="12" t="s">
        <v>138</v>
      </c>
      <c r="U742" s="13" t="n">
        <v>1801.5</v>
      </c>
      <c r="W742" s="13" t="n">
        <v>0</v>
      </c>
      <c r="X742" s="12" t="s">
        <v>907</v>
      </c>
      <c r="Z742" s="1" t="str">
        <f aca="false">IF($T742="","",IFERROR(INDEX('Resumo Grupos'!$AC$3:$AC$200,MATCH($T742,'Resumo Grupos'!$AB$3:$AB$200,0)),"n/d"))</f>
        <v>Salários</v>
      </c>
      <c r="AA742" s="1" t="str">
        <f aca="false">IF($T742="","",IF(COUNTIF('Resumo Grupos'!$AE$3:$AE$40,$T742)&gt;0,"NAO","SIM"))</f>
        <v>SIM</v>
      </c>
    </row>
    <row r="743" customFormat="false" ht="36.75" hidden="false" customHeight="true" outlineLevel="0" collapsed="false">
      <c r="A743" s="10" t="n">
        <v>3</v>
      </c>
      <c r="B743" s="11" t="n">
        <v>46227</v>
      </c>
      <c r="C743" s="11" t="n">
        <v>46234</v>
      </c>
      <c r="D743" s="10" t="n">
        <v>1378</v>
      </c>
      <c r="E743" s="12" t="s">
        <v>119</v>
      </c>
      <c r="F743" s="10" t="n">
        <v>24</v>
      </c>
      <c r="G743" s="12" t="s">
        <v>31</v>
      </c>
      <c r="H743" s="10" t="n">
        <v>1110204</v>
      </c>
      <c r="I743" s="12" t="s">
        <v>177</v>
      </c>
      <c r="J743" s="10" t="n">
        <v>1448384</v>
      </c>
      <c r="L743" s="10" t="n">
        <v>18359</v>
      </c>
      <c r="M743" s="12" t="s">
        <v>33</v>
      </c>
      <c r="N743" s="12" t="s">
        <v>34</v>
      </c>
      <c r="P743" s="10" t="n">
        <v>167</v>
      </c>
      <c r="Q743" s="12" t="s">
        <v>220</v>
      </c>
      <c r="R743" s="12" t="s">
        <v>36</v>
      </c>
      <c r="S743" s="10" t="n">
        <v>1130101</v>
      </c>
      <c r="T743" s="12" t="s">
        <v>37</v>
      </c>
      <c r="U743" s="13" t="n">
        <v>199</v>
      </c>
      <c r="W743" s="13" t="n">
        <v>0</v>
      </c>
      <c r="X743" s="12" t="s">
        <v>908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0" t="n">
        <v>3</v>
      </c>
      <c r="B744" s="11" t="n">
        <v>46227</v>
      </c>
      <c r="C744" s="11" t="n">
        <v>46234</v>
      </c>
      <c r="D744" s="10" t="n">
        <v>1705</v>
      </c>
      <c r="E744" s="12" t="s">
        <v>252</v>
      </c>
      <c r="F744" s="10" t="n">
        <v>24</v>
      </c>
      <c r="G744" s="12" t="s">
        <v>31</v>
      </c>
      <c r="H744" s="10" t="n">
        <v>1110204</v>
      </c>
      <c r="I744" s="12" t="s">
        <v>177</v>
      </c>
      <c r="J744" s="10" t="n">
        <v>1448391</v>
      </c>
      <c r="L744" s="10" t="n">
        <v>1954505</v>
      </c>
      <c r="M744" s="12" t="s">
        <v>33</v>
      </c>
      <c r="N744" s="12" t="s">
        <v>34</v>
      </c>
      <c r="P744" s="10" t="n">
        <v>167</v>
      </c>
      <c r="Q744" s="12" t="s">
        <v>220</v>
      </c>
      <c r="R744" s="12" t="s">
        <v>36</v>
      </c>
      <c r="S744" s="10" t="n">
        <v>1130101</v>
      </c>
      <c r="T744" s="12" t="s">
        <v>37</v>
      </c>
      <c r="U744" s="13" t="n">
        <v>2748.77</v>
      </c>
      <c r="W744" s="13" t="n">
        <v>0</v>
      </c>
      <c r="X744" s="12" t="s">
        <v>909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27.75" hidden="false" customHeight="true" outlineLevel="0" collapsed="false">
      <c r="A745" s="10" t="n">
        <v>3</v>
      </c>
      <c r="B745" s="11" t="n">
        <v>46227</v>
      </c>
      <c r="C745" s="11" t="n">
        <v>46234</v>
      </c>
      <c r="D745" s="10" t="n">
        <v>1705</v>
      </c>
      <c r="E745" s="12" t="s">
        <v>252</v>
      </c>
      <c r="F745" s="10" t="n">
        <v>24</v>
      </c>
      <c r="G745" s="12" t="s">
        <v>31</v>
      </c>
      <c r="H745" s="10" t="n">
        <v>1110204</v>
      </c>
      <c r="I745" s="12" t="s">
        <v>177</v>
      </c>
      <c r="J745" s="10" t="n">
        <v>1448397</v>
      </c>
      <c r="L745" s="10" t="n">
        <v>1220130</v>
      </c>
      <c r="M745" s="12" t="s">
        <v>33</v>
      </c>
      <c r="N745" s="12" t="s">
        <v>34</v>
      </c>
      <c r="P745" s="10" t="n">
        <v>167</v>
      </c>
      <c r="Q745" s="12" t="s">
        <v>220</v>
      </c>
      <c r="R745" s="12" t="s">
        <v>36</v>
      </c>
      <c r="S745" s="10" t="n">
        <v>1130101</v>
      </c>
      <c r="T745" s="12" t="s">
        <v>37</v>
      </c>
      <c r="U745" s="13" t="n">
        <v>1666.43</v>
      </c>
      <c r="W745" s="13" t="n">
        <v>0</v>
      </c>
      <c r="X745" s="12" t="s">
        <v>910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63.75" hidden="false" customHeight="true" outlineLevel="0" collapsed="false">
      <c r="A746" s="10" t="n">
        <v>3</v>
      </c>
      <c r="B746" s="11" t="n">
        <v>46231</v>
      </c>
      <c r="C746" s="11" t="n">
        <v>46234</v>
      </c>
      <c r="D746" s="10" t="n">
        <v>42</v>
      </c>
      <c r="E746" s="12" t="s">
        <v>106</v>
      </c>
      <c r="F746" s="10" t="n">
        <v>34</v>
      </c>
      <c r="G746" s="12" t="s">
        <v>58</v>
      </c>
      <c r="H746" s="10" t="n">
        <v>2110101</v>
      </c>
      <c r="I746" s="12" t="s">
        <v>32</v>
      </c>
      <c r="J746" s="10" t="n">
        <v>1464707</v>
      </c>
      <c r="L746" s="10" t="n">
        <v>4434</v>
      </c>
      <c r="M746" s="12" t="s">
        <v>33</v>
      </c>
      <c r="N746" s="12" t="s">
        <v>40</v>
      </c>
      <c r="P746" s="10" t="n">
        <v>167</v>
      </c>
      <c r="Q746" s="12" t="s">
        <v>220</v>
      </c>
      <c r="R746" s="12" t="s">
        <v>36</v>
      </c>
      <c r="S746" s="10" t="n">
        <v>1130101</v>
      </c>
      <c r="T746" s="12" t="s">
        <v>37</v>
      </c>
      <c r="U746" s="13" t="n">
        <v>2004</v>
      </c>
      <c r="W746" s="13" t="n">
        <v>0</v>
      </c>
      <c r="X746" s="12" t="s">
        <v>911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3</v>
      </c>
      <c r="B747" s="11" t="n">
        <v>46234</v>
      </c>
      <c r="C747" s="11" t="n">
        <v>46234</v>
      </c>
      <c r="D747" s="10" t="n">
        <v>42</v>
      </c>
      <c r="E747" s="12" t="s">
        <v>106</v>
      </c>
      <c r="F747" s="10" t="n">
        <v>13</v>
      </c>
      <c r="G747" s="12" t="s">
        <v>91</v>
      </c>
      <c r="H747" s="10" t="n">
        <v>2110101</v>
      </c>
      <c r="I747" s="12" t="s">
        <v>32</v>
      </c>
      <c r="J747" s="10" t="n">
        <v>1478173</v>
      </c>
      <c r="L747" s="10" t="n">
        <v>4446</v>
      </c>
      <c r="M747" s="12" t="s">
        <v>33</v>
      </c>
      <c r="N747" s="12" t="s">
        <v>40</v>
      </c>
      <c r="P747" s="10" t="n">
        <v>167</v>
      </c>
      <c r="Q747" s="12" t="s">
        <v>220</v>
      </c>
      <c r="R747" s="12" t="s">
        <v>36</v>
      </c>
      <c r="S747" s="10" t="n">
        <v>1130101</v>
      </c>
      <c r="T747" s="12" t="s">
        <v>37</v>
      </c>
      <c r="U747" s="13" t="n">
        <v>145</v>
      </c>
      <c r="W747" s="13" t="n">
        <v>145</v>
      </c>
      <c r="X747" s="12" t="s">
        <v>221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3</v>
      </c>
      <c r="B748" s="11" t="n">
        <v>46234</v>
      </c>
      <c r="C748" s="11" t="n">
        <v>46234</v>
      </c>
      <c r="D748" s="10" t="n">
        <v>10035</v>
      </c>
      <c r="E748" s="12" t="s">
        <v>300</v>
      </c>
      <c r="F748" s="10" t="n">
        <v>13</v>
      </c>
      <c r="G748" s="12" t="s">
        <v>91</v>
      </c>
      <c r="H748" s="10" t="n">
        <v>2110101</v>
      </c>
      <c r="I748" s="12" t="s">
        <v>32</v>
      </c>
      <c r="J748" s="10" t="n">
        <v>1481673</v>
      </c>
      <c r="L748" s="10" t="n">
        <v>388</v>
      </c>
      <c r="M748" s="12" t="s">
        <v>33</v>
      </c>
      <c r="N748" s="12" t="s">
        <v>40</v>
      </c>
      <c r="P748" s="10" t="n">
        <v>167</v>
      </c>
      <c r="Q748" s="12" t="s">
        <v>220</v>
      </c>
      <c r="R748" s="12" t="s">
        <v>36</v>
      </c>
      <c r="S748" s="10" t="n">
        <v>1130101</v>
      </c>
      <c r="T748" s="12" t="s">
        <v>37</v>
      </c>
      <c r="U748" s="13" t="n">
        <v>1070</v>
      </c>
      <c r="W748" s="13" t="n">
        <v>1070</v>
      </c>
      <c r="X748" s="12" t="s">
        <v>912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3</v>
      </c>
      <c r="B749" s="11" t="n">
        <v>46228</v>
      </c>
      <c r="C749" s="11" t="n">
        <v>46235</v>
      </c>
      <c r="D749" s="10" t="n">
        <v>1625</v>
      </c>
      <c r="E749" s="12" t="s">
        <v>97</v>
      </c>
      <c r="F749" s="10" t="n">
        <v>24</v>
      </c>
      <c r="G749" s="12" t="s">
        <v>31</v>
      </c>
      <c r="H749" s="10" t="n">
        <v>2110405</v>
      </c>
      <c r="I749" s="12" t="s">
        <v>63</v>
      </c>
      <c r="J749" s="10" t="n">
        <v>1458735</v>
      </c>
      <c r="L749" s="10" t="n">
        <v>14819</v>
      </c>
      <c r="M749" s="12" t="s">
        <v>33</v>
      </c>
      <c r="N749" s="12" t="s">
        <v>34</v>
      </c>
      <c r="P749" s="10" t="n">
        <v>167</v>
      </c>
      <c r="Q749" s="12" t="s">
        <v>220</v>
      </c>
      <c r="R749" s="12" t="s">
        <v>36</v>
      </c>
      <c r="S749" s="10" t="n">
        <v>1130101</v>
      </c>
      <c r="T749" s="12" t="s">
        <v>37</v>
      </c>
      <c r="U749" s="13" t="n">
        <v>4441.6</v>
      </c>
      <c r="W749" s="13" t="n">
        <v>0</v>
      </c>
      <c r="X749" s="12" t="s">
        <v>913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3</v>
      </c>
      <c r="B750" s="11" t="n">
        <v>46221</v>
      </c>
      <c r="C750" s="11" t="n">
        <v>46235</v>
      </c>
      <c r="D750" s="10" t="n">
        <v>1681</v>
      </c>
      <c r="E750" s="12" t="s">
        <v>914</v>
      </c>
      <c r="F750" s="10" t="n">
        <v>24</v>
      </c>
      <c r="G750" s="12" t="s">
        <v>31</v>
      </c>
      <c r="H750" s="10" t="n">
        <v>2110405</v>
      </c>
      <c r="I750" s="12" t="s">
        <v>63</v>
      </c>
      <c r="J750" s="10" t="n">
        <v>1415987</v>
      </c>
      <c r="L750" s="10" t="n">
        <v>391951</v>
      </c>
      <c r="M750" s="12" t="s">
        <v>33</v>
      </c>
      <c r="N750" s="12" t="s">
        <v>34</v>
      </c>
      <c r="P750" s="10" t="n">
        <v>167</v>
      </c>
      <c r="Q750" s="12" t="s">
        <v>220</v>
      </c>
      <c r="R750" s="12" t="s">
        <v>36</v>
      </c>
      <c r="S750" s="10" t="n">
        <v>1130101</v>
      </c>
      <c r="T750" s="12" t="s">
        <v>37</v>
      </c>
      <c r="U750" s="13" t="n">
        <v>2254.72</v>
      </c>
      <c r="W750" s="13" t="n">
        <v>0</v>
      </c>
      <c r="X750" s="12" t="s">
        <v>915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3</v>
      </c>
      <c r="B751" s="11" t="n">
        <v>46223</v>
      </c>
      <c r="C751" s="11" t="n">
        <v>46235</v>
      </c>
      <c r="D751" s="10" t="n">
        <v>33</v>
      </c>
      <c r="E751" s="12" t="s">
        <v>297</v>
      </c>
      <c r="F751" s="10" t="n">
        <v>34</v>
      </c>
      <c r="G751" s="12" t="s">
        <v>58</v>
      </c>
      <c r="H751" s="10" t="n">
        <v>1110204</v>
      </c>
      <c r="I751" s="12" t="s">
        <v>177</v>
      </c>
      <c r="J751" s="10" t="n">
        <v>1425043</v>
      </c>
      <c r="L751" s="10" t="n">
        <v>222360</v>
      </c>
      <c r="M751" s="12" t="s">
        <v>349</v>
      </c>
      <c r="N751" s="12" t="s">
        <v>34</v>
      </c>
      <c r="P751" s="10" t="n">
        <v>101</v>
      </c>
      <c r="Q751" s="12" t="s">
        <v>136</v>
      </c>
      <c r="R751" s="12" t="s">
        <v>337</v>
      </c>
      <c r="S751" s="10" t="n">
        <v>1240203</v>
      </c>
      <c r="T751" s="12" t="s">
        <v>338</v>
      </c>
      <c r="U751" s="13" t="n">
        <v>2320.3</v>
      </c>
      <c r="W751" s="13" t="n">
        <v>0</v>
      </c>
      <c r="X751" s="12" t="s">
        <v>916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3</v>
      </c>
      <c r="B752" s="11" t="n">
        <v>46223</v>
      </c>
      <c r="C752" s="11" t="n">
        <v>46235</v>
      </c>
      <c r="D752" s="10" t="n">
        <v>1672</v>
      </c>
      <c r="E752" s="12" t="s">
        <v>93</v>
      </c>
      <c r="F752" s="10" t="n">
        <v>24</v>
      </c>
      <c r="G752" s="12" t="s">
        <v>31</v>
      </c>
      <c r="H752" s="10" t="n">
        <v>1110204</v>
      </c>
      <c r="I752" s="12" t="s">
        <v>177</v>
      </c>
      <c r="J752" s="10" t="n">
        <v>1434234</v>
      </c>
      <c r="L752" s="10" t="n">
        <v>14005101</v>
      </c>
      <c r="M752" s="12" t="s">
        <v>33</v>
      </c>
      <c r="N752" s="12" t="s">
        <v>34</v>
      </c>
      <c r="P752" s="10" t="n">
        <v>167</v>
      </c>
      <c r="Q752" s="12" t="s">
        <v>220</v>
      </c>
      <c r="R752" s="12" t="s">
        <v>36</v>
      </c>
      <c r="S752" s="10" t="n">
        <v>1130101</v>
      </c>
      <c r="T752" s="12" t="s">
        <v>37</v>
      </c>
      <c r="U752" s="13" t="n">
        <v>1316.75</v>
      </c>
      <c r="W752" s="13" t="n">
        <v>0</v>
      </c>
      <c r="X752" s="12" t="s">
        <v>917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3</v>
      </c>
      <c r="B753" s="11" t="n">
        <v>46225</v>
      </c>
      <c r="C753" s="11" t="n">
        <v>46235</v>
      </c>
      <c r="D753" s="10" t="n">
        <v>1672</v>
      </c>
      <c r="E753" s="12" t="s">
        <v>93</v>
      </c>
      <c r="F753" s="10" t="n">
        <v>24</v>
      </c>
      <c r="G753" s="12" t="s">
        <v>31</v>
      </c>
      <c r="H753" s="10" t="n">
        <v>1110204</v>
      </c>
      <c r="I753" s="12" t="s">
        <v>177</v>
      </c>
      <c r="J753" s="10" t="n">
        <v>1438968</v>
      </c>
      <c r="L753" s="10" t="n">
        <v>14006311</v>
      </c>
      <c r="M753" s="12" t="s">
        <v>33</v>
      </c>
      <c r="N753" s="12" t="s">
        <v>34</v>
      </c>
      <c r="P753" s="10" t="n">
        <v>167</v>
      </c>
      <c r="Q753" s="12" t="s">
        <v>220</v>
      </c>
      <c r="R753" s="12" t="s">
        <v>36</v>
      </c>
      <c r="S753" s="10" t="n">
        <v>1130101</v>
      </c>
      <c r="T753" s="12" t="s">
        <v>37</v>
      </c>
      <c r="U753" s="13" t="n">
        <v>887.5</v>
      </c>
      <c r="W753" s="13" t="n">
        <v>0</v>
      </c>
      <c r="X753" s="12" t="s">
        <v>918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0" t="n">
        <v>3</v>
      </c>
      <c r="B754" s="11" t="n">
        <v>46228</v>
      </c>
      <c r="C754" s="11" t="n">
        <v>46235</v>
      </c>
      <c r="D754" s="10" t="n">
        <v>1039</v>
      </c>
      <c r="E754" s="12" t="s">
        <v>150</v>
      </c>
      <c r="F754" s="10" t="n">
        <v>24</v>
      </c>
      <c r="G754" s="12" t="s">
        <v>31</v>
      </c>
      <c r="H754" s="10" t="n">
        <v>2110405</v>
      </c>
      <c r="I754" s="12" t="s">
        <v>63</v>
      </c>
      <c r="J754" s="10" t="n">
        <v>1458340</v>
      </c>
      <c r="L754" s="10" t="n">
        <v>1945301</v>
      </c>
      <c r="M754" s="12" t="s">
        <v>33</v>
      </c>
      <c r="N754" s="12" t="s">
        <v>34</v>
      </c>
      <c r="P754" s="10" t="n">
        <v>167</v>
      </c>
      <c r="Q754" s="12" t="s">
        <v>220</v>
      </c>
      <c r="R754" s="12" t="s">
        <v>36</v>
      </c>
      <c r="S754" s="10" t="n">
        <v>1130101</v>
      </c>
      <c r="T754" s="12" t="s">
        <v>37</v>
      </c>
      <c r="U754" s="13" t="n">
        <v>1086.18</v>
      </c>
      <c r="W754" s="13" t="n">
        <v>0</v>
      </c>
      <c r="X754" s="12" t="s">
        <v>919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3</v>
      </c>
      <c r="B755" s="11" t="n">
        <v>46235</v>
      </c>
      <c r="C755" s="11" t="n">
        <v>46235</v>
      </c>
      <c r="D755" s="10" t="n">
        <v>42</v>
      </c>
      <c r="E755" s="12" t="s">
        <v>106</v>
      </c>
      <c r="F755" s="10" t="n">
        <v>13</v>
      </c>
      <c r="G755" s="12" t="s">
        <v>91</v>
      </c>
      <c r="H755" s="10" t="n">
        <v>2110101</v>
      </c>
      <c r="I755" s="12" t="s">
        <v>32</v>
      </c>
      <c r="J755" s="10" t="n">
        <v>1482174</v>
      </c>
      <c r="L755" s="10" t="n">
        <v>4448</v>
      </c>
      <c r="M755" s="12" t="s">
        <v>33</v>
      </c>
      <c r="N755" s="12" t="s">
        <v>40</v>
      </c>
      <c r="P755" s="10" t="n">
        <v>167</v>
      </c>
      <c r="Q755" s="12" t="s">
        <v>220</v>
      </c>
      <c r="R755" s="12" t="s">
        <v>36</v>
      </c>
      <c r="S755" s="10" t="n">
        <v>1130101</v>
      </c>
      <c r="T755" s="12" t="s">
        <v>37</v>
      </c>
      <c r="U755" s="13" t="n">
        <v>280</v>
      </c>
      <c r="W755" s="13" t="n">
        <v>280</v>
      </c>
      <c r="X755" s="12" t="s">
        <v>920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0" t="n">
        <v>3</v>
      </c>
      <c r="B756" s="11" t="n">
        <v>46235</v>
      </c>
      <c r="C756" s="11" t="n">
        <v>46235</v>
      </c>
      <c r="D756" s="10" t="n">
        <v>42</v>
      </c>
      <c r="E756" s="12" t="s">
        <v>106</v>
      </c>
      <c r="F756" s="10" t="n">
        <v>13</v>
      </c>
      <c r="G756" s="12" t="s">
        <v>91</v>
      </c>
      <c r="H756" s="10" t="n">
        <v>2110101</v>
      </c>
      <c r="I756" s="12" t="s">
        <v>32</v>
      </c>
      <c r="J756" s="10" t="n">
        <v>1482544</v>
      </c>
      <c r="L756" s="10" t="n">
        <v>4450</v>
      </c>
      <c r="M756" s="12" t="s">
        <v>33</v>
      </c>
      <c r="N756" s="12" t="s">
        <v>40</v>
      </c>
      <c r="P756" s="10" t="n">
        <v>167</v>
      </c>
      <c r="Q756" s="12" t="s">
        <v>220</v>
      </c>
      <c r="R756" s="12" t="s">
        <v>36</v>
      </c>
      <c r="S756" s="10" t="n">
        <v>1130101</v>
      </c>
      <c r="T756" s="12" t="s">
        <v>37</v>
      </c>
      <c r="U756" s="13" t="n">
        <v>128.44</v>
      </c>
      <c r="W756" s="13" t="n">
        <v>128.44</v>
      </c>
      <c r="X756" s="12" t="s">
        <v>921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3</v>
      </c>
      <c r="B757" s="11" t="n">
        <v>46235</v>
      </c>
      <c r="C757" s="11" t="n">
        <v>46235</v>
      </c>
      <c r="D757" s="10" t="n">
        <v>10043</v>
      </c>
      <c r="E757" s="12" t="s">
        <v>145</v>
      </c>
      <c r="F757" s="10" t="n">
        <v>13</v>
      </c>
      <c r="G757" s="12" t="s">
        <v>91</v>
      </c>
      <c r="H757" s="10" t="n">
        <v>2110101</v>
      </c>
      <c r="I757" s="12" t="s">
        <v>32</v>
      </c>
      <c r="J757" s="10" t="n">
        <v>1492757</v>
      </c>
      <c r="L757" s="10" t="n">
        <v>821</v>
      </c>
      <c r="M757" s="12" t="s">
        <v>33</v>
      </c>
      <c r="N757" s="12" t="s">
        <v>40</v>
      </c>
      <c r="P757" s="10" t="n">
        <v>167</v>
      </c>
      <c r="Q757" s="12" t="s">
        <v>220</v>
      </c>
      <c r="R757" s="12" t="s">
        <v>36</v>
      </c>
      <c r="S757" s="10" t="n">
        <v>1130101</v>
      </c>
      <c r="T757" s="12" t="s">
        <v>37</v>
      </c>
      <c r="U757" s="13" t="n">
        <v>270</v>
      </c>
      <c r="W757" s="13" t="n">
        <v>270</v>
      </c>
      <c r="X757" s="12" t="s">
        <v>922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0" t="n">
        <v>3</v>
      </c>
      <c r="B758" s="11" t="n">
        <v>46220</v>
      </c>
      <c r="C758" s="11" t="n">
        <v>46236</v>
      </c>
      <c r="D758" s="10" t="n">
        <v>1778</v>
      </c>
      <c r="E758" s="12" t="s">
        <v>248</v>
      </c>
      <c r="F758" s="10" t="n">
        <v>24</v>
      </c>
      <c r="G758" s="12" t="s">
        <v>31</v>
      </c>
      <c r="H758" s="10" t="n">
        <v>1110204</v>
      </c>
      <c r="I758" s="12" t="s">
        <v>177</v>
      </c>
      <c r="J758" s="10" t="n">
        <v>1410513</v>
      </c>
      <c r="L758" s="10" t="n">
        <v>163145085</v>
      </c>
      <c r="M758" s="12" t="s">
        <v>33</v>
      </c>
      <c r="N758" s="12" t="s">
        <v>34</v>
      </c>
      <c r="P758" s="10" t="n">
        <v>167</v>
      </c>
      <c r="Q758" s="12" t="s">
        <v>220</v>
      </c>
      <c r="R758" s="12" t="s">
        <v>64</v>
      </c>
      <c r="S758" s="10" t="n">
        <v>4210207</v>
      </c>
      <c r="T758" s="12" t="s">
        <v>249</v>
      </c>
      <c r="U758" s="13" t="n">
        <v>337.29</v>
      </c>
      <c r="W758" s="13" t="n">
        <v>0</v>
      </c>
      <c r="X758" s="12" t="s">
        <v>923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3</v>
      </c>
      <c r="B759" s="11" t="n">
        <v>46226</v>
      </c>
      <c r="C759" s="11" t="n">
        <v>46236</v>
      </c>
      <c r="D759" s="10" t="n">
        <v>10061</v>
      </c>
      <c r="E759" s="12" t="s">
        <v>697</v>
      </c>
      <c r="F759" s="10" t="n">
        <v>24</v>
      </c>
      <c r="G759" s="12" t="s">
        <v>31</v>
      </c>
      <c r="H759" s="10" t="n">
        <v>2110405</v>
      </c>
      <c r="I759" s="12" t="s">
        <v>63</v>
      </c>
      <c r="J759" s="10" t="n">
        <v>1443681</v>
      </c>
      <c r="L759" s="10" t="n">
        <v>3082</v>
      </c>
      <c r="M759" s="12" t="s">
        <v>33</v>
      </c>
      <c r="N759" s="12" t="s">
        <v>34</v>
      </c>
      <c r="P759" s="10" t="n">
        <v>167</v>
      </c>
      <c r="Q759" s="12" t="s">
        <v>220</v>
      </c>
      <c r="R759" s="12" t="s">
        <v>36</v>
      </c>
      <c r="S759" s="10" t="n">
        <v>1130101</v>
      </c>
      <c r="T759" s="12" t="s">
        <v>37</v>
      </c>
      <c r="U759" s="13" t="n">
        <v>400.5</v>
      </c>
      <c r="W759" s="13" t="n">
        <v>0</v>
      </c>
      <c r="X759" s="12" t="s">
        <v>924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3</v>
      </c>
      <c r="B760" s="11" t="n">
        <v>46231</v>
      </c>
      <c r="C760" s="11" t="n">
        <v>46236</v>
      </c>
      <c r="D760" s="10" t="n">
        <v>49</v>
      </c>
      <c r="E760" s="12" t="s">
        <v>610</v>
      </c>
      <c r="F760" s="10" t="n">
        <v>34</v>
      </c>
      <c r="G760" s="12" t="s">
        <v>58</v>
      </c>
      <c r="H760" s="10" t="n">
        <v>2110405</v>
      </c>
      <c r="I760" s="12" t="s">
        <v>63</v>
      </c>
      <c r="J760" s="10" t="n">
        <v>1464754</v>
      </c>
      <c r="L760" s="10" t="n">
        <v>227889</v>
      </c>
      <c r="M760" s="12" t="s">
        <v>33</v>
      </c>
      <c r="N760" s="12" t="s">
        <v>34</v>
      </c>
      <c r="P760" s="10" t="n">
        <v>101</v>
      </c>
      <c r="Q760" s="12" t="s">
        <v>136</v>
      </c>
      <c r="R760" s="12" t="s">
        <v>411</v>
      </c>
      <c r="S760" s="10" t="n">
        <v>2110901</v>
      </c>
      <c r="T760" s="12" t="s">
        <v>412</v>
      </c>
      <c r="U760" s="13" t="n">
        <v>4107.42</v>
      </c>
      <c r="W760" s="13" t="n">
        <v>0</v>
      </c>
      <c r="X760" s="12" t="s">
        <v>925</v>
      </c>
      <c r="Z760" s="1" t="str">
        <f aca="false">IF($T760="","",IFERROR(INDEX('Resumo Grupos'!$AC$3:$AC$200,MATCH($T760,'Resumo Grupos'!$AB$3:$AB$200,0)),"n/d"))</f>
        <v>Empréstimo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3</v>
      </c>
      <c r="B761" s="11" t="n">
        <v>46236</v>
      </c>
      <c r="C761" s="11" t="n">
        <v>46236</v>
      </c>
      <c r="D761" s="10" t="n">
        <v>978</v>
      </c>
      <c r="E761" s="12" t="s">
        <v>155</v>
      </c>
      <c r="F761" s="10" t="n">
        <v>13</v>
      </c>
      <c r="G761" s="12" t="s">
        <v>91</v>
      </c>
      <c r="H761" s="10" t="n">
        <v>2110101</v>
      </c>
      <c r="I761" s="12" t="s">
        <v>32</v>
      </c>
      <c r="J761" s="10" t="n">
        <v>1493184</v>
      </c>
      <c r="L761" s="10" t="n">
        <v>407</v>
      </c>
      <c r="M761" s="12" t="s">
        <v>33</v>
      </c>
      <c r="N761" s="12" t="s">
        <v>40</v>
      </c>
      <c r="P761" s="10" t="n">
        <v>167</v>
      </c>
      <c r="Q761" s="12" t="s">
        <v>220</v>
      </c>
      <c r="R761" s="12" t="s">
        <v>36</v>
      </c>
      <c r="S761" s="10" t="n">
        <v>1130101</v>
      </c>
      <c r="T761" s="12" t="s">
        <v>37</v>
      </c>
      <c r="U761" s="13" t="n">
        <v>436</v>
      </c>
      <c r="W761" s="13" t="n">
        <v>0</v>
      </c>
      <c r="X761" s="12" t="s">
        <v>926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0" t="n">
        <v>3</v>
      </c>
      <c r="B762" s="11" t="n">
        <v>46230</v>
      </c>
      <c r="C762" s="11" t="n">
        <v>46237</v>
      </c>
      <c r="D762" s="10" t="n">
        <v>1723</v>
      </c>
      <c r="E762" s="12" t="s">
        <v>54</v>
      </c>
      <c r="F762" s="10" t="n">
        <v>24</v>
      </c>
      <c r="G762" s="12" t="s">
        <v>31</v>
      </c>
      <c r="H762" s="10" t="n">
        <v>1110204</v>
      </c>
      <c r="I762" s="12" t="s">
        <v>177</v>
      </c>
      <c r="J762" s="10" t="n">
        <v>1458785</v>
      </c>
      <c r="L762" s="10" t="n">
        <v>57685</v>
      </c>
      <c r="M762" s="12" t="s">
        <v>33</v>
      </c>
      <c r="N762" s="12" t="s">
        <v>34</v>
      </c>
      <c r="P762" s="10" t="n">
        <v>167</v>
      </c>
      <c r="Q762" s="12" t="s">
        <v>220</v>
      </c>
      <c r="R762" s="12" t="s">
        <v>36</v>
      </c>
      <c r="S762" s="10" t="n">
        <v>1130101</v>
      </c>
      <c r="T762" s="12" t="s">
        <v>37</v>
      </c>
      <c r="U762" s="13" t="n">
        <v>2329.6</v>
      </c>
      <c r="W762" s="13" t="n">
        <v>0</v>
      </c>
      <c r="X762" s="12" t="s">
        <v>927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0" t="n">
        <v>3</v>
      </c>
      <c r="B763" s="11" t="n">
        <v>46230</v>
      </c>
      <c r="C763" s="11" t="n">
        <v>46237</v>
      </c>
      <c r="D763" s="10" t="n">
        <v>1628</v>
      </c>
      <c r="E763" s="12" t="s">
        <v>288</v>
      </c>
      <c r="F763" s="10" t="n">
        <v>24</v>
      </c>
      <c r="G763" s="12" t="s">
        <v>31</v>
      </c>
      <c r="H763" s="10" t="n">
        <v>1110204</v>
      </c>
      <c r="I763" s="12" t="s">
        <v>177</v>
      </c>
      <c r="J763" s="10" t="n">
        <v>1464512</v>
      </c>
      <c r="L763" s="10" t="n">
        <v>90670</v>
      </c>
      <c r="M763" s="12" t="s">
        <v>33</v>
      </c>
      <c r="N763" s="12" t="s">
        <v>34</v>
      </c>
      <c r="P763" s="10" t="n">
        <v>167</v>
      </c>
      <c r="Q763" s="12" t="s">
        <v>220</v>
      </c>
      <c r="R763" s="12" t="s">
        <v>36</v>
      </c>
      <c r="S763" s="10" t="n">
        <v>1130101</v>
      </c>
      <c r="T763" s="12" t="s">
        <v>37</v>
      </c>
      <c r="U763" s="13" t="n">
        <v>408.29</v>
      </c>
      <c r="W763" s="13" t="n">
        <v>0</v>
      </c>
      <c r="X763" s="12" t="s">
        <v>928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3</v>
      </c>
      <c r="B764" s="11" t="n">
        <v>46202</v>
      </c>
      <c r="C764" s="11" t="n">
        <v>46237</v>
      </c>
      <c r="D764" s="10" t="n">
        <v>10011</v>
      </c>
      <c r="E764" s="12" t="s">
        <v>770</v>
      </c>
      <c r="F764" s="10" t="n">
        <v>24</v>
      </c>
      <c r="G764" s="12" t="s">
        <v>31</v>
      </c>
      <c r="H764" s="10" t="n">
        <v>2110101</v>
      </c>
      <c r="I764" s="12" t="s">
        <v>32</v>
      </c>
      <c r="J764" s="10" t="n">
        <v>1334046</v>
      </c>
      <c r="L764" s="10" t="n">
        <v>344682</v>
      </c>
      <c r="M764" s="12" t="s">
        <v>33</v>
      </c>
      <c r="N764" s="12" t="s">
        <v>34</v>
      </c>
      <c r="P764" s="10" t="n">
        <v>167</v>
      </c>
      <c r="Q764" s="12" t="s">
        <v>220</v>
      </c>
      <c r="R764" s="12" t="s">
        <v>36</v>
      </c>
      <c r="S764" s="10" t="n">
        <v>1130101</v>
      </c>
      <c r="T764" s="12" t="s">
        <v>37</v>
      </c>
      <c r="U764" s="13" t="n">
        <v>925.9</v>
      </c>
      <c r="W764" s="13" t="n">
        <v>0</v>
      </c>
      <c r="X764" s="12" t="s">
        <v>929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0" t="n">
        <v>3</v>
      </c>
      <c r="B765" s="11" t="n">
        <v>46205</v>
      </c>
      <c r="C765" s="11" t="n">
        <v>46237</v>
      </c>
      <c r="D765" s="10" t="n">
        <v>10017</v>
      </c>
      <c r="E765" s="12" t="s">
        <v>693</v>
      </c>
      <c r="F765" s="10" t="n">
        <v>24</v>
      </c>
      <c r="G765" s="12" t="s">
        <v>31</v>
      </c>
      <c r="H765" s="10" t="n">
        <v>2110101</v>
      </c>
      <c r="I765" s="12" t="s">
        <v>32</v>
      </c>
      <c r="J765" s="10" t="n">
        <v>1359846</v>
      </c>
      <c r="L765" s="10" t="n">
        <v>1941143</v>
      </c>
      <c r="M765" s="12" t="s">
        <v>33</v>
      </c>
      <c r="N765" s="12" t="s">
        <v>34</v>
      </c>
      <c r="P765" s="10" t="n">
        <v>167</v>
      </c>
      <c r="Q765" s="12" t="s">
        <v>220</v>
      </c>
      <c r="R765" s="12" t="s">
        <v>36</v>
      </c>
      <c r="S765" s="10" t="n">
        <v>1130101</v>
      </c>
      <c r="T765" s="12" t="s">
        <v>37</v>
      </c>
      <c r="U765" s="13" t="n">
        <v>1819.31</v>
      </c>
      <c r="W765" s="13" t="n">
        <v>0</v>
      </c>
      <c r="X765" s="12" t="s">
        <v>930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3</v>
      </c>
      <c r="B766" s="11" t="n">
        <v>46216</v>
      </c>
      <c r="C766" s="11" t="n">
        <v>46237</v>
      </c>
      <c r="D766" s="10" t="n">
        <v>1636</v>
      </c>
      <c r="E766" s="12" t="s">
        <v>195</v>
      </c>
      <c r="F766" s="10" t="n">
        <v>24</v>
      </c>
      <c r="G766" s="12" t="s">
        <v>31</v>
      </c>
      <c r="H766" s="10" t="n">
        <v>2110405</v>
      </c>
      <c r="I766" s="12" t="s">
        <v>63</v>
      </c>
      <c r="J766" s="10" t="n">
        <v>1401755</v>
      </c>
      <c r="L766" s="10" t="n">
        <v>32187182</v>
      </c>
      <c r="M766" s="12" t="s">
        <v>33</v>
      </c>
      <c r="N766" s="12" t="s">
        <v>34</v>
      </c>
      <c r="P766" s="10" t="n">
        <v>167</v>
      </c>
      <c r="Q766" s="12" t="s">
        <v>220</v>
      </c>
      <c r="R766" s="12" t="s">
        <v>36</v>
      </c>
      <c r="S766" s="10" t="n">
        <v>1130101</v>
      </c>
      <c r="T766" s="12" t="s">
        <v>37</v>
      </c>
      <c r="U766" s="13" t="n">
        <v>930.36</v>
      </c>
      <c r="W766" s="13" t="n">
        <v>0</v>
      </c>
      <c r="X766" s="12" t="s">
        <v>931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0" t="n">
        <v>3</v>
      </c>
      <c r="B767" s="11" t="n">
        <v>46216</v>
      </c>
      <c r="C767" s="11" t="n">
        <v>46237</v>
      </c>
      <c r="D767" s="10" t="n">
        <v>1445</v>
      </c>
      <c r="E767" s="12" t="s">
        <v>835</v>
      </c>
      <c r="F767" s="10" t="n">
        <v>24</v>
      </c>
      <c r="G767" s="12" t="s">
        <v>31</v>
      </c>
      <c r="H767" s="10" t="n">
        <v>1110204</v>
      </c>
      <c r="I767" s="12" t="s">
        <v>177</v>
      </c>
      <c r="J767" s="10" t="n">
        <v>1407208</v>
      </c>
      <c r="L767" s="10" t="n">
        <v>2982072</v>
      </c>
      <c r="M767" s="12" t="s">
        <v>33</v>
      </c>
      <c r="N767" s="12" t="s">
        <v>34</v>
      </c>
      <c r="P767" s="10" t="n">
        <v>167</v>
      </c>
      <c r="Q767" s="12" t="s">
        <v>220</v>
      </c>
      <c r="R767" s="12" t="s">
        <v>36</v>
      </c>
      <c r="S767" s="10" t="n">
        <v>1130101</v>
      </c>
      <c r="T767" s="12" t="s">
        <v>37</v>
      </c>
      <c r="U767" s="13" t="n">
        <v>620.25</v>
      </c>
      <c r="W767" s="13" t="n">
        <v>0</v>
      </c>
      <c r="X767" s="12" t="s">
        <v>932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0" t="n">
        <v>3</v>
      </c>
      <c r="B768" s="11" t="n">
        <v>46218</v>
      </c>
      <c r="C768" s="11" t="n">
        <v>46237</v>
      </c>
      <c r="D768" s="10" t="n">
        <v>1789</v>
      </c>
      <c r="E768" s="12" t="s">
        <v>205</v>
      </c>
      <c r="F768" s="10" t="n">
        <v>24</v>
      </c>
      <c r="G768" s="12" t="s">
        <v>31</v>
      </c>
      <c r="H768" s="10" t="n">
        <v>2110405</v>
      </c>
      <c r="I768" s="12" t="s">
        <v>63</v>
      </c>
      <c r="J768" s="10" t="n">
        <v>1410504</v>
      </c>
      <c r="L768" s="10" t="n">
        <v>11872767</v>
      </c>
      <c r="M768" s="12" t="s">
        <v>33</v>
      </c>
      <c r="N768" s="12" t="s">
        <v>34</v>
      </c>
      <c r="P768" s="10" t="n">
        <v>167</v>
      </c>
      <c r="Q768" s="12" t="s">
        <v>220</v>
      </c>
      <c r="R768" s="12" t="s">
        <v>206</v>
      </c>
      <c r="S768" s="10" t="n">
        <v>4210112</v>
      </c>
      <c r="T768" s="12" t="s">
        <v>207</v>
      </c>
      <c r="U768" s="13" t="n">
        <v>238.7</v>
      </c>
      <c r="W768" s="13" t="n">
        <v>0</v>
      </c>
      <c r="X768" s="12" t="s">
        <v>933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0" t="n">
        <v>3</v>
      </c>
      <c r="B769" s="11" t="n">
        <v>46220</v>
      </c>
      <c r="C769" s="11" t="n">
        <v>46237</v>
      </c>
      <c r="D769" s="10" t="n">
        <v>1166</v>
      </c>
      <c r="E769" s="12" t="s">
        <v>460</v>
      </c>
      <c r="F769" s="10" t="n">
        <v>24</v>
      </c>
      <c r="G769" s="12" t="s">
        <v>31</v>
      </c>
      <c r="H769" s="10" t="n">
        <v>1110204</v>
      </c>
      <c r="I769" s="12" t="s">
        <v>177</v>
      </c>
      <c r="J769" s="10" t="n">
        <v>1424569</v>
      </c>
      <c r="L769" s="10" t="n">
        <v>355481</v>
      </c>
      <c r="M769" s="12" t="s">
        <v>33</v>
      </c>
      <c r="N769" s="12" t="s">
        <v>34</v>
      </c>
      <c r="P769" s="10" t="n">
        <v>167</v>
      </c>
      <c r="Q769" s="12" t="s">
        <v>220</v>
      </c>
      <c r="R769" s="12" t="s">
        <v>36</v>
      </c>
      <c r="S769" s="10" t="n">
        <v>1130101</v>
      </c>
      <c r="T769" s="12" t="s">
        <v>37</v>
      </c>
      <c r="U769" s="13" t="n">
        <v>404.55</v>
      </c>
      <c r="W769" s="13" t="n">
        <v>0</v>
      </c>
      <c r="X769" s="12" t="s">
        <v>934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0" t="n">
        <v>3</v>
      </c>
      <c r="B770" s="11" t="n">
        <v>46223</v>
      </c>
      <c r="C770" s="11" t="n">
        <v>46237</v>
      </c>
      <c r="D770" s="10" t="n">
        <v>1723</v>
      </c>
      <c r="E770" s="12" t="s">
        <v>54</v>
      </c>
      <c r="F770" s="10" t="n">
        <v>24</v>
      </c>
      <c r="G770" s="12" t="s">
        <v>31</v>
      </c>
      <c r="H770" s="10" t="n">
        <v>1110204</v>
      </c>
      <c r="I770" s="12" t="s">
        <v>177</v>
      </c>
      <c r="J770" s="10" t="n">
        <v>1427462</v>
      </c>
      <c r="L770" s="10" t="n">
        <v>570362</v>
      </c>
      <c r="M770" s="12" t="s">
        <v>33</v>
      </c>
      <c r="N770" s="12" t="s">
        <v>34</v>
      </c>
      <c r="P770" s="10" t="n">
        <v>167</v>
      </c>
      <c r="Q770" s="12" t="s">
        <v>220</v>
      </c>
      <c r="R770" s="12" t="s">
        <v>36</v>
      </c>
      <c r="S770" s="10" t="n">
        <v>1130101</v>
      </c>
      <c r="T770" s="12" t="s">
        <v>37</v>
      </c>
      <c r="U770" s="13" t="n">
        <v>5478.25</v>
      </c>
      <c r="W770" s="13" t="n">
        <v>0</v>
      </c>
      <c r="X770" s="12" t="s">
        <v>935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3</v>
      </c>
      <c r="B771" s="11" t="n">
        <v>46224</v>
      </c>
      <c r="C771" s="11" t="n">
        <v>46237</v>
      </c>
      <c r="D771" s="10" t="n">
        <v>1789</v>
      </c>
      <c r="E771" s="12" t="s">
        <v>205</v>
      </c>
      <c r="F771" s="10" t="n">
        <v>24</v>
      </c>
      <c r="G771" s="12" t="s">
        <v>31</v>
      </c>
      <c r="H771" s="10" t="n">
        <v>2110405</v>
      </c>
      <c r="I771" s="12" t="s">
        <v>63</v>
      </c>
      <c r="J771" s="10" t="n">
        <v>1427532</v>
      </c>
      <c r="L771" s="10" t="n">
        <v>118727166</v>
      </c>
      <c r="M771" s="12" t="s">
        <v>33</v>
      </c>
      <c r="N771" s="12" t="s">
        <v>34</v>
      </c>
      <c r="P771" s="10" t="n">
        <v>167</v>
      </c>
      <c r="Q771" s="12" t="s">
        <v>220</v>
      </c>
      <c r="R771" s="12" t="s">
        <v>206</v>
      </c>
      <c r="S771" s="10" t="n">
        <v>4210112</v>
      </c>
      <c r="T771" s="12" t="s">
        <v>207</v>
      </c>
      <c r="U771" s="13" t="n">
        <v>5522.24</v>
      </c>
      <c r="W771" s="13" t="n">
        <v>0</v>
      </c>
      <c r="X771" s="12" t="s">
        <v>936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0" t="n">
        <v>3</v>
      </c>
      <c r="B772" s="11" t="n">
        <v>46225</v>
      </c>
      <c r="C772" s="11" t="n">
        <v>46237</v>
      </c>
      <c r="D772" s="10" t="n">
        <v>1613</v>
      </c>
      <c r="E772" s="12" t="s">
        <v>209</v>
      </c>
      <c r="F772" s="10" t="n">
        <v>24</v>
      </c>
      <c r="G772" s="12" t="s">
        <v>31</v>
      </c>
      <c r="H772" s="10" t="n">
        <v>2110405</v>
      </c>
      <c r="I772" s="12" t="s">
        <v>63</v>
      </c>
      <c r="J772" s="10" t="n">
        <v>1434398</v>
      </c>
      <c r="L772" s="10" t="n">
        <v>16099462</v>
      </c>
      <c r="M772" s="12" t="s">
        <v>33</v>
      </c>
      <c r="N772" s="12" t="s">
        <v>34</v>
      </c>
      <c r="P772" s="10" t="n">
        <v>167</v>
      </c>
      <c r="Q772" s="12" t="s">
        <v>220</v>
      </c>
      <c r="R772" s="12" t="s">
        <v>36</v>
      </c>
      <c r="S772" s="10" t="n">
        <v>1130101</v>
      </c>
      <c r="T772" s="12" t="s">
        <v>37</v>
      </c>
      <c r="U772" s="13" t="n">
        <v>1315.54</v>
      </c>
      <c r="W772" s="13" t="n">
        <v>0</v>
      </c>
      <c r="X772" s="12" t="s">
        <v>937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0" t="n">
        <v>3</v>
      </c>
      <c r="B773" s="11" t="n">
        <v>46230</v>
      </c>
      <c r="C773" s="11" t="n">
        <v>46237</v>
      </c>
      <c r="D773" s="10" t="n">
        <v>1269</v>
      </c>
      <c r="E773" s="12" t="s">
        <v>938</v>
      </c>
      <c r="F773" s="10" t="n">
        <v>24</v>
      </c>
      <c r="G773" s="12" t="s">
        <v>31</v>
      </c>
      <c r="H773" s="10" t="n">
        <v>2110405</v>
      </c>
      <c r="I773" s="12" t="s">
        <v>63</v>
      </c>
      <c r="J773" s="10" t="n">
        <v>1458688</v>
      </c>
      <c r="L773" s="10" t="n">
        <v>41</v>
      </c>
      <c r="M773" s="12" t="s">
        <v>33</v>
      </c>
      <c r="N773" s="12" t="s">
        <v>34</v>
      </c>
      <c r="P773" s="10" t="n">
        <v>167</v>
      </c>
      <c r="Q773" s="12" t="s">
        <v>220</v>
      </c>
      <c r="R773" s="12" t="s">
        <v>36</v>
      </c>
      <c r="S773" s="10" t="n">
        <v>1130101</v>
      </c>
      <c r="T773" s="12" t="s">
        <v>37</v>
      </c>
      <c r="U773" s="13" t="n">
        <v>746.66</v>
      </c>
      <c r="W773" s="13" t="n">
        <v>0</v>
      </c>
      <c r="X773" s="12" t="s">
        <v>939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0" t="n">
        <v>3</v>
      </c>
      <c r="B774" s="11" t="n">
        <v>46237</v>
      </c>
      <c r="C774" s="11" t="n">
        <v>46237</v>
      </c>
      <c r="D774" s="10" t="n">
        <v>42</v>
      </c>
      <c r="E774" s="12" t="s">
        <v>106</v>
      </c>
      <c r="F774" s="10" t="n">
        <v>13</v>
      </c>
      <c r="G774" s="12" t="s">
        <v>91</v>
      </c>
      <c r="H774" s="10" t="n">
        <v>2110101</v>
      </c>
      <c r="I774" s="12" t="s">
        <v>32</v>
      </c>
      <c r="J774" s="10" t="n">
        <v>1492790</v>
      </c>
      <c r="L774" s="10" t="n">
        <v>4452</v>
      </c>
      <c r="M774" s="12" t="s">
        <v>33</v>
      </c>
      <c r="N774" s="12" t="s">
        <v>40</v>
      </c>
      <c r="P774" s="10" t="n">
        <v>167</v>
      </c>
      <c r="Q774" s="12" t="s">
        <v>220</v>
      </c>
      <c r="R774" s="12" t="s">
        <v>36</v>
      </c>
      <c r="S774" s="10" t="n">
        <v>1130101</v>
      </c>
      <c r="T774" s="12" t="s">
        <v>37</v>
      </c>
      <c r="U774" s="13" t="n">
        <v>100</v>
      </c>
      <c r="W774" s="13" t="n">
        <v>100</v>
      </c>
      <c r="X774" s="12" t="s">
        <v>940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0" t="n">
        <v>3</v>
      </c>
      <c r="B775" s="11" t="n">
        <v>46237</v>
      </c>
      <c r="C775" s="11" t="n">
        <v>46237</v>
      </c>
      <c r="D775" s="10" t="n">
        <v>42</v>
      </c>
      <c r="E775" s="12" t="s">
        <v>106</v>
      </c>
      <c r="F775" s="10" t="n">
        <v>13</v>
      </c>
      <c r="G775" s="12" t="s">
        <v>91</v>
      </c>
      <c r="H775" s="10" t="n">
        <v>2110101</v>
      </c>
      <c r="I775" s="12" t="s">
        <v>32</v>
      </c>
      <c r="J775" s="10" t="n">
        <v>1493149</v>
      </c>
      <c r="L775" s="10" t="n">
        <v>4453</v>
      </c>
      <c r="M775" s="12" t="s">
        <v>33</v>
      </c>
      <c r="N775" s="12" t="s">
        <v>40</v>
      </c>
      <c r="P775" s="10" t="n">
        <v>167</v>
      </c>
      <c r="Q775" s="12" t="s">
        <v>220</v>
      </c>
      <c r="R775" s="12" t="s">
        <v>36</v>
      </c>
      <c r="S775" s="10" t="n">
        <v>1130101</v>
      </c>
      <c r="T775" s="12" t="s">
        <v>37</v>
      </c>
      <c r="U775" s="13" t="n">
        <v>125</v>
      </c>
      <c r="W775" s="13" t="n">
        <v>125</v>
      </c>
      <c r="X775" s="12" t="s">
        <v>941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0" t="n">
        <v>3</v>
      </c>
      <c r="B776" s="11" t="n">
        <v>46237</v>
      </c>
      <c r="C776" s="11" t="n">
        <v>46237</v>
      </c>
      <c r="D776" s="10" t="n">
        <v>1792</v>
      </c>
      <c r="E776" s="12" t="s">
        <v>336</v>
      </c>
      <c r="F776" s="10" t="n">
        <v>24</v>
      </c>
      <c r="G776" s="12" t="s">
        <v>31</v>
      </c>
      <c r="H776" s="10" t="n">
        <v>2110405</v>
      </c>
      <c r="I776" s="12" t="s">
        <v>63</v>
      </c>
      <c r="J776" s="10" t="n">
        <v>1290195</v>
      </c>
      <c r="L776" s="10" t="n">
        <v>201754</v>
      </c>
      <c r="M776" s="12" t="s">
        <v>559</v>
      </c>
      <c r="N776" s="12" t="s">
        <v>34</v>
      </c>
      <c r="P776" s="10" t="n">
        <v>102</v>
      </c>
      <c r="Q776" s="12" t="s">
        <v>141</v>
      </c>
      <c r="R776" s="12" t="s">
        <v>337</v>
      </c>
      <c r="S776" s="10" t="n">
        <v>1240203</v>
      </c>
      <c r="T776" s="12" t="s">
        <v>338</v>
      </c>
      <c r="U776" s="13" t="n">
        <v>404.78</v>
      </c>
      <c r="W776" s="13" t="n">
        <v>0</v>
      </c>
      <c r="X776" s="12" t="s">
        <v>339</v>
      </c>
      <c r="Z776" s="1" t="str">
        <f aca="false">IF($T776="","",IFERROR(INDEX('Resumo Grupos'!$AC$3:$AC$200,MATCH($T776,'Resumo Grupos'!$AB$3:$AB$200,0)),"n/d"))</f>
        <v>Despesa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0" t="n">
        <v>3</v>
      </c>
      <c r="B777" s="11" t="n">
        <v>46237</v>
      </c>
      <c r="C777" s="11" t="n">
        <v>46237</v>
      </c>
      <c r="D777" s="10" t="n">
        <v>358</v>
      </c>
      <c r="E777" s="12" t="s">
        <v>144</v>
      </c>
      <c r="F777" s="10" t="n">
        <v>34</v>
      </c>
      <c r="G777" s="12" t="s">
        <v>58</v>
      </c>
      <c r="H777" s="10" t="n">
        <v>1110204</v>
      </c>
      <c r="I777" s="12" t="s">
        <v>177</v>
      </c>
      <c r="J777" s="10" t="n">
        <v>1495492</v>
      </c>
      <c r="L777" s="10" t="n">
        <v>232266</v>
      </c>
      <c r="M777" s="12" t="s">
        <v>33</v>
      </c>
      <c r="N777" s="12" t="s">
        <v>34</v>
      </c>
      <c r="P777" s="10" t="n">
        <v>167</v>
      </c>
      <c r="Q777" s="12" t="s">
        <v>220</v>
      </c>
      <c r="R777" s="12" t="s">
        <v>137</v>
      </c>
      <c r="S777" s="10" t="n">
        <v>4210310</v>
      </c>
      <c r="T777" s="12" t="s">
        <v>226</v>
      </c>
      <c r="U777" s="13" t="n">
        <v>405</v>
      </c>
      <c r="W777" s="13" t="n">
        <v>0</v>
      </c>
      <c r="X777" s="12" t="s">
        <v>942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3</v>
      </c>
      <c r="B778" s="11" t="n">
        <v>46237</v>
      </c>
      <c r="C778" s="11" t="n">
        <v>46237</v>
      </c>
      <c r="D778" s="10" t="n">
        <v>41</v>
      </c>
      <c r="E778" s="12" t="s">
        <v>228</v>
      </c>
      <c r="F778" s="10" t="n">
        <v>34</v>
      </c>
      <c r="G778" s="12" t="s">
        <v>58</v>
      </c>
      <c r="H778" s="10" t="n">
        <v>1110204</v>
      </c>
      <c r="I778" s="12" t="s">
        <v>177</v>
      </c>
      <c r="J778" s="10" t="n">
        <v>1495496</v>
      </c>
      <c r="L778" s="10" t="n">
        <v>232267</v>
      </c>
      <c r="M778" s="12" t="s">
        <v>33</v>
      </c>
      <c r="N778" s="12" t="s">
        <v>34</v>
      </c>
      <c r="P778" s="10" t="n">
        <v>167</v>
      </c>
      <c r="Q778" s="12" t="s">
        <v>220</v>
      </c>
      <c r="R778" s="12" t="s">
        <v>137</v>
      </c>
      <c r="S778" s="10" t="n">
        <v>4210310</v>
      </c>
      <c r="T778" s="12" t="s">
        <v>226</v>
      </c>
      <c r="U778" s="13" t="n">
        <v>390</v>
      </c>
      <c r="W778" s="13" t="n">
        <v>0</v>
      </c>
      <c r="X778" s="12" t="s">
        <v>942</v>
      </c>
      <c r="Z778" s="1" t="str">
        <f aca="false">IF($T778="","",IFERROR(INDEX('Resumo Grupos'!$AC$3:$AC$200,MATCH($T778,'Resumo Grupos'!$AB$3:$AB$200,0)),"n/d"))</f>
        <v>Despesa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0" t="n">
        <v>3</v>
      </c>
      <c r="B779" s="11" t="n">
        <v>46237</v>
      </c>
      <c r="C779" s="11" t="n">
        <v>46237</v>
      </c>
      <c r="D779" s="10" t="n">
        <v>313</v>
      </c>
      <c r="E779" s="12" t="s">
        <v>234</v>
      </c>
      <c r="F779" s="10" t="n">
        <v>34</v>
      </c>
      <c r="G779" s="12" t="s">
        <v>58</v>
      </c>
      <c r="H779" s="10" t="n">
        <v>2110405</v>
      </c>
      <c r="I779" s="12" t="s">
        <v>63</v>
      </c>
      <c r="J779" s="10" t="n">
        <v>1495497</v>
      </c>
      <c r="L779" s="10" t="n">
        <v>232269</v>
      </c>
      <c r="M779" s="12" t="s">
        <v>33</v>
      </c>
      <c r="N779" s="12" t="s">
        <v>34</v>
      </c>
      <c r="P779" s="10" t="n">
        <v>167</v>
      </c>
      <c r="Q779" s="12" t="s">
        <v>220</v>
      </c>
      <c r="R779" s="12" t="s">
        <v>137</v>
      </c>
      <c r="S779" s="10" t="n">
        <v>4210310</v>
      </c>
      <c r="T779" s="12" t="s">
        <v>226</v>
      </c>
      <c r="U779" s="13" t="n">
        <v>390</v>
      </c>
      <c r="W779" s="13" t="n">
        <v>0</v>
      </c>
      <c r="X779" s="12" t="s">
        <v>942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0" t="n">
        <v>3</v>
      </c>
      <c r="B780" s="11" t="n">
        <v>46237</v>
      </c>
      <c r="C780" s="11" t="n">
        <v>46237</v>
      </c>
      <c r="D780" s="10" t="n">
        <v>332</v>
      </c>
      <c r="E780" s="12" t="s">
        <v>235</v>
      </c>
      <c r="F780" s="10" t="n">
        <v>34</v>
      </c>
      <c r="G780" s="12" t="s">
        <v>58</v>
      </c>
      <c r="H780" s="10" t="n">
        <v>2110405</v>
      </c>
      <c r="I780" s="12" t="s">
        <v>63</v>
      </c>
      <c r="J780" s="10" t="n">
        <v>1495499</v>
      </c>
      <c r="L780" s="10" t="n">
        <v>232270</v>
      </c>
      <c r="M780" s="12" t="s">
        <v>33</v>
      </c>
      <c r="N780" s="12" t="s">
        <v>34</v>
      </c>
      <c r="P780" s="10" t="n">
        <v>167</v>
      </c>
      <c r="Q780" s="12" t="s">
        <v>220</v>
      </c>
      <c r="R780" s="12" t="s">
        <v>137</v>
      </c>
      <c r="S780" s="10" t="n">
        <v>4210310</v>
      </c>
      <c r="T780" s="12" t="s">
        <v>226</v>
      </c>
      <c r="U780" s="13" t="n">
        <v>390</v>
      </c>
      <c r="W780" s="13" t="n">
        <v>0</v>
      </c>
      <c r="X780" s="12" t="s">
        <v>942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0" t="n">
        <v>3</v>
      </c>
      <c r="B781" s="11" t="n">
        <v>46237</v>
      </c>
      <c r="C781" s="11" t="n">
        <v>46237</v>
      </c>
      <c r="D781" s="10" t="n">
        <v>35</v>
      </c>
      <c r="E781" s="12" t="s">
        <v>35</v>
      </c>
      <c r="F781" s="10" t="n">
        <v>34</v>
      </c>
      <c r="G781" s="12" t="s">
        <v>58</v>
      </c>
      <c r="H781" s="10" t="n">
        <v>2110405</v>
      </c>
      <c r="I781" s="12" t="s">
        <v>63</v>
      </c>
      <c r="J781" s="10" t="n">
        <v>1495500</v>
      </c>
      <c r="L781" s="10" t="n">
        <v>232271</v>
      </c>
      <c r="M781" s="12" t="s">
        <v>33</v>
      </c>
      <c r="N781" s="12" t="s">
        <v>34</v>
      </c>
      <c r="P781" s="10" t="n">
        <v>167</v>
      </c>
      <c r="Q781" s="12" t="s">
        <v>220</v>
      </c>
      <c r="R781" s="12" t="s">
        <v>137</v>
      </c>
      <c r="S781" s="10" t="n">
        <v>4210310</v>
      </c>
      <c r="T781" s="12" t="s">
        <v>226</v>
      </c>
      <c r="U781" s="13" t="n">
        <v>390</v>
      </c>
      <c r="W781" s="13" t="n">
        <v>0</v>
      </c>
      <c r="X781" s="12" t="s">
        <v>942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0" t="n">
        <v>3</v>
      </c>
      <c r="B782" s="11" t="n">
        <v>46237</v>
      </c>
      <c r="C782" s="11" t="n">
        <v>46237</v>
      </c>
      <c r="D782" s="10" t="n">
        <v>10070</v>
      </c>
      <c r="E782" s="12" t="s">
        <v>232</v>
      </c>
      <c r="F782" s="10" t="n">
        <v>34</v>
      </c>
      <c r="G782" s="12" t="s">
        <v>58</v>
      </c>
      <c r="H782" s="10" t="n">
        <v>2110405</v>
      </c>
      <c r="I782" s="12" t="s">
        <v>63</v>
      </c>
      <c r="J782" s="10" t="n">
        <v>1495504</v>
      </c>
      <c r="L782" s="10" t="n">
        <v>232272</v>
      </c>
      <c r="M782" s="12" t="s">
        <v>33</v>
      </c>
      <c r="N782" s="12" t="s">
        <v>34</v>
      </c>
      <c r="P782" s="10" t="n">
        <v>167</v>
      </c>
      <c r="Q782" s="12" t="s">
        <v>220</v>
      </c>
      <c r="R782" s="12" t="s">
        <v>137</v>
      </c>
      <c r="S782" s="10" t="n">
        <v>4210310</v>
      </c>
      <c r="T782" s="12" t="s">
        <v>226</v>
      </c>
      <c r="U782" s="13" t="n">
        <v>390</v>
      </c>
      <c r="W782" s="13" t="n">
        <v>0</v>
      </c>
      <c r="X782" s="12" t="s">
        <v>942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0" t="n">
        <v>3</v>
      </c>
      <c r="B783" s="11" t="n">
        <v>46237</v>
      </c>
      <c r="C783" s="11" t="n">
        <v>46237</v>
      </c>
      <c r="D783" s="10" t="n">
        <v>320</v>
      </c>
      <c r="E783" s="12" t="s">
        <v>237</v>
      </c>
      <c r="F783" s="10" t="n">
        <v>34</v>
      </c>
      <c r="G783" s="12" t="s">
        <v>58</v>
      </c>
      <c r="H783" s="10" t="n">
        <v>1110204</v>
      </c>
      <c r="I783" s="12" t="s">
        <v>177</v>
      </c>
      <c r="J783" s="10" t="n">
        <v>1495505</v>
      </c>
      <c r="L783" s="10" t="n">
        <v>232274</v>
      </c>
      <c r="M783" s="12" t="s">
        <v>33</v>
      </c>
      <c r="N783" s="12" t="s">
        <v>34</v>
      </c>
      <c r="P783" s="10" t="n">
        <v>167</v>
      </c>
      <c r="Q783" s="12" t="s">
        <v>220</v>
      </c>
      <c r="R783" s="12" t="s">
        <v>137</v>
      </c>
      <c r="S783" s="10" t="n">
        <v>4210310</v>
      </c>
      <c r="T783" s="12" t="s">
        <v>226</v>
      </c>
      <c r="U783" s="13" t="n">
        <v>375</v>
      </c>
      <c r="W783" s="13" t="n">
        <v>0</v>
      </c>
      <c r="X783" s="12" t="s">
        <v>942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0" t="n">
        <v>3</v>
      </c>
      <c r="B784" s="11" t="n">
        <v>46237</v>
      </c>
      <c r="C784" s="11" t="n">
        <v>46237</v>
      </c>
      <c r="D784" s="10" t="n">
        <v>389</v>
      </c>
      <c r="E784" s="12" t="s">
        <v>233</v>
      </c>
      <c r="F784" s="10" t="n">
        <v>34</v>
      </c>
      <c r="G784" s="12" t="s">
        <v>58</v>
      </c>
      <c r="H784" s="10" t="n">
        <v>2110405</v>
      </c>
      <c r="I784" s="12" t="s">
        <v>63</v>
      </c>
      <c r="J784" s="10" t="n">
        <v>1495508</v>
      </c>
      <c r="L784" s="10" t="n">
        <v>232275</v>
      </c>
      <c r="M784" s="12" t="s">
        <v>33</v>
      </c>
      <c r="N784" s="12" t="s">
        <v>34</v>
      </c>
      <c r="P784" s="10" t="n">
        <v>167</v>
      </c>
      <c r="Q784" s="12" t="s">
        <v>220</v>
      </c>
      <c r="R784" s="12" t="s">
        <v>137</v>
      </c>
      <c r="S784" s="10" t="n">
        <v>4210310</v>
      </c>
      <c r="T784" s="12" t="s">
        <v>226</v>
      </c>
      <c r="U784" s="13" t="n">
        <v>360</v>
      </c>
      <c r="W784" s="13" t="n">
        <v>0</v>
      </c>
      <c r="X784" s="12" t="s">
        <v>942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0" t="n">
        <v>3</v>
      </c>
      <c r="B785" s="11" t="n">
        <v>46237</v>
      </c>
      <c r="C785" s="11" t="n">
        <v>46237</v>
      </c>
      <c r="D785" s="10" t="n">
        <v>83</v>
      </c>
      <c r="E785" s="12" t="s">
        <v>60</v>
      </c>
      <c r="F785" s="10" t="n">
        <v>34</v>
      </c>
      <c r="G785" s="12" t="s">
        <v>58</v>
      </c>
      <c r="H785" s="10" t="n">
        <v>1110204</v>
      </c>
      <c r="I785" s="12" t="s">
        <v>177</v>
      </c>
      <c r="J785" s="10" t="n">
        <v>1495510</v>
      </c>
      <c r="L785" s="10" t="n">
        <v>232277</v>
      </c>
      <c r="M785" s="12" t="s">
        <v>33</v>
      </c>
      <c r="N785" s="12" t="s">
        <v>34</v>
      </c>
      <c r="P785" s="10" t="n">
        <v>167</v>
      </c>
      <c r="Q785" s="12" t="s">
        <v>220</v>
      </c>
      <c r="R785" s="12" t="s">
        <v>137</v>
      </c>
      <c r="S785" s="10" t="n">
        <v>4210310</v>
      </c>
      <c r="T785" s="12" t="s">
        <v>226</v>
      </c>
      <c r="U785" s="13" t="n">
        <v>345</v>
      </c>
      <c r="W785" s="13" t="n">
        <v>0</v>
      </c>
      <c r="X785" s="12" t="s">
        <v>942</v>
      </c>
      <c r="Z785" s="1" t="str">
        <f aca="false">IF($T785="","",IFERROR(INDEX('Resumo Grupos'!$AC$3:$AC$200,MATCH($T785,'Resumo Grupos'!$AB$3:$AB$200,0)),"n/d"))</f>
        <v>Despesa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3</v>
      </c>
      <c r="B786" s="11" t="n">
        <v>46237</v>
      </c>
      <c r="C786" s="11" t="n">
        <v>46237</v>
      </c>
      <c r="D786" s="10" t="n">
        <v>10053</v>
      </c>
      <c r="E786" s="12" t="s">
        <v>220</v>
      </c>
      <c r="F786" s="10" t="n">
        <v>34</v>
      </c>
      <c r="G786" s="12" t="s">
        <v>58</v>
      </c>
      <c r="H786" s="10" t="n">
        <v>2110405</v>
      </c>
      <c r="I786" s="12" t="s">
        <v>63</v>
      </c>
      <c r="J786" s="10" t="n">
        <v>1495512</v>
      </c>
      <c r="L786" s="10" t="n">
        <v>232278</v>
      </c>
      <c r="M786" s="12" t="s">
        <v>33</v>
      </c>
      <c r="N786" s="12" t="s">
        <v>34</v>
      </c>
      <c r="P786" s="10" t="n">
        <v>167</v>
      </c>
      <c r="Q786" s="12" t="s">
        <v>220</v>
      </c>
      <c r="R786" s="12" t="s">
        <v>137</v>
      </c>
      <c r="S786" s="10" t="n">
        <v>4210310</v>
      </c>
      <c r="T786" s="12" t="s">
        <v>226</v>
      </c>
      <c r="U786" s="13" t="n">
        <v>330</v>
      </c>
      <c r="W786" s="13" t="n">
        <v>0</v>
      </c>
      <c r="X786" s="12" t="s">
        <v>942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0" t="n">
        <v>3</v>
      </c>
      <c r="B787" s="11" t="n">
        <v>46237</v>
      </c>
      <c r="C787" s="11" t="n">
        <v>46237</v>
      </c>
      <c r="D787" s="10" t="n">
        <v>10072</v>
      </c>
      <c r="E787" s="12" t="s">
        <v>271</v>
      </c>
      <c r="F787" s="10" t="n">
        <v>34</v>
      </c>
      <c r="G787" s="12" t="s">
        <v>58</v>
      </c>
      <c r="H787" s="10" t="n">
        <v>1110204</v>
      </c>
      <c r="I787" s="12" t="s">
        <v>177</v>
      </c>
      <c r="J787" s="10" t="n">
        <v>1495514</v>
      </c>
      <c r="L787" s="10" t="n">
        <v>232279</v>
      </c>
      <c r="M787" s="12" t="s">
        <v>33</v>
      </c>
      <c r="N787" s="12" t="s">
        <v>34</v>
      </c>
      <c r="P787" s="10" t="n">
        <v>167</v>
      </c>
      <c r="Q787" s="12" t="s">
        <v>220</v>
      </c>
      <c r="R787" s="12" t="s">
        <v>137</v>
      </c>
      <c r="S787" s="10" t="n">
        <v>4210310</v>
      </c>
      <c r="T787" s="12" t="s">
        <v>226</v>
      </c>
      <c r="U787" s="13" t="n">
        <v>105</v>
      </c>
      <c r="W787" s="13" t="n">
        <v>0</v>
      </c>
      <c r="X787" s="12" t="s">
        <v>942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3</v>
      </c>
      <c r="B788" s="11" t="n">
        <v>46237</v>
      </c>
      <c r="C788" s="11" t="n">
        <v>46237</v>
      </c>
      <c r="D788" s="10" t="n">
        <v>35</v>
      </c>
      <c r="E788" s="12" t="s">
        <v>35</v>
      </c>
      <c r="F788" s="10" t="n">
        <v>34</v>
      </c>
      <c r="G788" s="12" t="s">
        <v>58</v>
      </c>
      <c r="H788" s="10" t="n">
        <v>2110405</v>
      </c>
      <c r="I788" s="12" t="s">
        <v>63</v>
      </c>
      <c r="J788" s="10" t="n">
        <v>1495519</v>
      </c>
      <c r="L788" s="10" t="n">
        <v>232281</v>
      </c>
      <c r="M788" s="12" t="s">
        <v>33</v>
      </c>
      <c r="N788" s="12" t="s">
        <v>34</v>
      </c>
      <c r="P788" s="10" t="n">
        <v>167</v>
      </c>
      <c r="Q788" s="12" t="s">
        <v>220</v>
      </c>
      <c r="R788" s="12" t="s">
        <v>137</v>
      </c>
      <c r="S788" s="10" t="n">
        <v>4210309</v>
      </c>
      <c r="T788" s="12" t="s">
        <v>238</v>
      </c>
      <c r="U788" s="13" t="n">
        <v>260</v>
      </c>
      <c r="W788" s="13" t="n">
        <v>0</v>
      </c>
      <c r="X788" s="12" t="s">
        <v>943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3</v>
      </c>
      <c r="B789" s="11" t="n">
        <v>46237</v>
      </c>
      <c r="C789" s="11" t="n">
        <v>46237</v>
      </c>
      <c r="D789" s="10" t="n">
        <v>41</v>
      </c>
      <c r="E789" s="12" t="s">
        <v>228</v>
      </c>
      <c r="F789" s="10" t="n">
        <v>34</v>
      </c>
      <c r="G789" s="12" t="s">
        <v>58</v>
      </c>
      <c r="H789" s="10" t="n">
        <v>2110405</v>
      </c>
      <c r="I789" s="12" t="s">
        <v>63</v>
      </c>
      <c r="J789" s="10" t="n">
        <v>1495521</v>
      </c>
      <c r="L789" s="10" t="n">
        <v>232282</v>
      </c>
      <c r="M789" s="12" t="s">
        <v>33</v>
      </c>
      <c r="N789" s="12" t="s">
        <v>34</v>
      </c>
      <c r="P789" s="10" t="n">
        <v>167</v>
      </c>
      <c r="Q789" s="12" t="s">
        <v>220</v>
      </c>
      <c r="R789" s="12" t="s">
        <v>137</v>
      </c>
      <c r="S789" s="10" t="n">
        <v>4210309</v>
      </c>
      <c r="T789" s="12" t="s">
        <v>238</v>
      </c>
      <c r="U789" s="13" t="n">
        <v>260</v>
      </c>
      <c r="W789" s="13" t="n">
        <v>0</v>
      </c>
      <c r="X789" s="12" t="s">
        <v>943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0" t="n">
        <v>3</v>
      </c>
      <c r="B790" s="11" t="n">
        <v>46237</v>
      </c>
      <c r="C790" s="11" t="n">
        <v>46237</v>
      </c>
      <c r="D790" s="10" t="n">
        <v>332</v>
      </c>
      <c r="E790" s="12" t="s">
        <v>235</v>
      </c>
      <c r="F790" s="10" t="n">
        <v>34</v>
      </c>
      <c r="G790" s="12" t="s">
        <v>58</v>
      </c>
      <c r="H790" s="10" t="n">
        <v>2110405</v>
      </c>
      <c r="I790" s="12" t="s">
        <v>63</v>
      </c>
      <c r="J790" s="10" t="n">
        <v>1495528</v>
      </c>
      <c r="L790" s="10" t="n">
        <v>232283</v>
      </c>
      <c r="M790" s="12" t="s">
        <v>33</v>
      </c>
      <c r="N790" s="12" t="s">
        <v>34</v>
      </c>
      <c r="P790" s="10" t="n">
        <v>167</v>
      </c>
      <c r="Q790" s="12" t="s">
        <v>220</v>
      </c>
      <c r="R790" s="12" t="s">
        <v>137</v>
      </c>
      <c r="S790" s="10" t="n">
        <v>4210309</v>
      </c>
      <c r="T790" s="12" t="s">
        <v>238</v>
      </c>
      <c r="U790" s="13" t="n">
        <v>260</v>
      </c>
      <c r="W790" s="13" t="n">
        <v>0</v>
      </c>
      <c r="X790" s="12" t="s">
        <v>943</v>
      </c>
      <c r="Z790" s="1" t="str">
        <f aca="false">IF($T790="","",IFERROR(INDEX('Resumo Grupos'!$AC$3:$AC$200,MATCH($T790,'Resumo Grupos'!$AB$3:$AB$200,0)),"n/d"))</f>
        <v>Salários</v>
      </c>
      <c r="AA790" s="1" t="str">
        <f aca="false">IF($T790="","",IF(COUNTIF('Resumo Grupos'!$AE$3:$AE$40,$T790)&gt;0,"NAO","SIM"))</f>
        <v>SIM</v>
      </c>
    </row>
    <row r="791" customFormat="false" ht="27.75" hidden="false" customHeight="true" outlineLevel="0" collapsed="false">
      <c r="A791" s="10" t="n">
        <v>3</v>
      </c>
      <c r="B791" s="11" t="n">
        <v>46237</v>
      </c>
      <c r="C791" s="11" t="n">
        <v>46237</v>
      </c>
      <c r="D791" s="10" t="n">
        <v>389</v>
      </c>
      <c r="E791" s="12" t="s">
        <v>233</v>
      </c>
      <c r="F791" s="10" t="n">
        <v>34</v>
      </c>
      <c r="G791" s="12" t="s">
        <v>58</v>
      </c>
      <c r="H791" s="10" t="n">
        <v>2110405</v>
      </c>
      <c r="I791" s="12" t="s">
        <v>63</v>
      </c>
      <c r="J791" s="10" t="n">
        <v>1495530</v>
      </c>
      <c r="L791" s="10" t="n">
        <v>232284</v>
      </c>
      <c r="M791" s="12" t="s">
        <v>33</v>
      </c>
      <c r="N791" s="12" t="s">
        <v>34</v>
      </c>
      <c r="P791" s="10" t="n">
        <v>167</v>
      </c>
      <c r="Q791" s="12" t="s">
        <v>220</v>
      </c>
      <c r="R791" s="12" t="s">
        <v>137</v>
      </c>
      <c r="S791" s="10" t="n">
        <v>4210309</v>
      </c>
      <c r="T791" s="12" t="s">
        <v>238</v>
      </c>
      <c r="U791" s="13" t="n">
        <v>240</v>
      </c>
      <c r="W791" s="13" t="n">
        <v>0</v>
      </c>
      <c r="X791" s="12" t="s">
        <v>943</v>
      </c>
      <c r="Z791" s="1" t="str">
        <f aca="false">IF($T791="","",IFERROR(INDEX('Resumo Grupos'!$AC$3:$AC$200,MATCH($T791,'Resumo Grupos'!$AB$3:$AB$200,0)),"n/d"))</f>
        <v>Salários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3</v>
      </c>
      <c r="B792" s="11" t="n">
        <v>46237</v>
      </c>
      <c r="C792" s="11" t="n">
        <v>46237</v>
      </c>
      <c r="D792" s="10" t="n">
        <v>515</v>
      </c>
      <c r="E792" s="12" t="s">
        <v>240</v>
      </c>
      <c r="F792" s="10" t="n">
        <v>34</v>
      </c>
      <c r="G792" s="12" t="s">
        <v>58</v>
      </c>
      <c r="H792" s="10" t="n">
        <v>2110405</v>
      </c>
      <c r="I792" s="12" t="s">
        <v>63</v>
      </c>
      <c r="J792" s="10" t="n">
        <v>1509302</v>
      </c>
      <c r="L792" s="10" t="n">
        <v>234319</v>
      </c>
      <c r="M792" s="12" t="s">
        <v>33</v>
      </c>
      <c r="N792" s="12" t="s">
        <v>34</v>
      </c>
      <c r="P792" s="10" t="n">
        <v>102</v>
      </c>
      <c r="Q792" s="12" t="s">
        <v>141</v>
      </c>
      <c r="R792" s="12" t="s">
        <v>165</v>
      </c>
      <c r="S792" s="10" t="n">
        <v>4210502</v>
      </c>
      <c r="T792" s="12" t="s">
        <v>260</v>
      </c>
      <c r="U792" s="13" t="n">
        <v>924.41</v>
      </c>
      <c r="W792" s="13" t="n">
        <v>0</v>
      </c>
      <c r="X792" s="12" t="s">
        <v>944</v>
      </c>
      <c r="Z792" s="1" t="str">
        <f aca="false">IF($T792="","",IFERROR(INDEX('Resumo Grupos'!$AC$3:$AC$200,MATCH($T792,'Resumo Grupos'!$AB$3:$AB$200,0)),"n/d"))</f>
        <v>Empréstimo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3</v>
      </c>
      <c r="B793" s="11" t="n">
        <v>46237</v>
      </c>
      <c r="C793" s="11" t="n">
        <v>46237</v>
      </c>
      <c r="D793" s="10" t="n">
        <v>515</v>
      </c>
      <c r="E793" s="12" t="s">
        <v>240</v>
      </c>
      <c r="F793" s="10" t="n">
        <v>34</v>
      </c>
      <c r="G793" s="12" t="s">
        <v>58</v>
      </c>
      <c r="H793" s="10" t="n">
        <v>2110405</v>
      </c>
      <c r="I793" s="12" t="s">
        <v>63</v>
      </c>
      <c r="J793" s="10" t="n">
        <v>1509326</v>
      </c>
      <c r="L793" s="10" t="n">
        <v>234323</v>
      </c>
      <c r="M793" s="12" t="s">
        <v>33</v>
      </c>
      <c r="N793" s="12" t="s">
        <v>34</v>
      </c>
      <c r="P793" s="10" t="n">
        <v>102</v>
      </c>
      <c r="Q793" s="12" t="s">
        <v>141</v>
      </c>
      <c r="R793" s="12" t="s">
        <v>165</v>
      </c>
      <c r="S793" s="10" t="n">
        <v>4210508</v>
      </c>
      <c r="T793" s="12" t="s">
        <v>241</v>
      </c>
      <c r="U793" s="13" t="n">
        <v>151.61</v>
      </c>
      <c r="W793" s="13" t="n">
        <v>0</v>
      </c>
      <c r="X793" s="12" t="s">
        <v>945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0" t="n">
        <v>3</v>
      </c>
      <c r="B794" s="11" t="n">
        <v>46204</v>
      </c>
      <c r="C794" s="11" t="n">
        <v>46238</v>
      </c>
      <c r="D794" s="10" t="n">
        <v>1624</v>
      </c>
      <c r="E794" s="12" t="s">
        <v>117</v>
      </c>
      <c r="F794" s="10" t="n">
        <v>24</v>
      </c>
      <c r="G794" s="12" t="s">
        <v>31</v>
      </c>
      <c r="H794" s="10" t="n">
        <v>2110405</v>
      </c>
      <c r="I794" s="12" t="s">
        <v>63</v>
      </c>
      <c r="J794" s="10" t="n">
        <v>1340692</v>
      </c>
      <c r="L794" s="10" t="n">
        <v>6615203</v>
      </c>
      <c r="M794" s="12" t="s">
        <v>33</v>
      </c>
      <c r="N794" s="12" t="s">
        <v>34</v>
      </c>
      <c r="P794" s="10" t="n">
        <v>167</v>
      </c>
      <c r="Q794" s="12" t="s">
        <v>220</v>
      </c>
      <c r="R794" s="12" t="s">
        <v>36</v>
      </c>
      <c r="S794" s="10" t="n">
        <v>1130101</v>
      </c>
      <c r="T794" s="12" t="s">
        <v>37</v>
      </c>
      <c r="U794" s="13" t="n">
        <v>656.2</v>
      </c>
      <c r="W794" s="13" t="n">
        <v>656.2</v>
      </c>
      <c r="X794" s="12" t="s">
        <v>946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0" t="n">
        <v>3</v>
      </c>
      <c r="B795" s="11" t="n">
        <v>46210</v>
      </c>
      <c r="C795" s="11" t="n">
        <v>46238</v>
      </c>
      <c r="D795" s="10" t="n">
        <v>1612</v>
      </c>
      <c r="E795" s="12" t="s">
        <v>192</v>
      </c>
      <c r="F795" s="10" t="n">
        <v>24</v>
      </c>
      <c r="G795" s="12" t="s">
        <v>31</v>
      </c>
      <c r="H795" s="10" t="n">
        <v>2110405</v>
      </c>
      <c r="I795" s="12" t="s">
        <v>63</v>
      </c>
      <c r="J795" s="10" t="n">
        <v>1365036</v>
      </c>
      <c r="L795" s="10" t="n">
        <v>22989873</v>
      </c>
      <c r="M795" s="12" t="s">
        <v>33</v>
      </c>
      <c r="N795" s="12" t="s">
        <v>34</v>
      </c>
      <c r="P795" s="10" t="n">
        <v>167</v>
      </c>
      <c r="Q795" s="12" t="s">
        <v>220</v>
      </c>
      <c r="R795" s="12" t="s">
        <v>36</v>
      </c>
      <c r="S795" s="10" t="n">
        <v>1130101</v>
      </c>
      <c r="T795" s="12" t="s">
        <v>37</v>
      </c>
      <c r="U795" s="13" t="n">
        <v>977.57</v>
      </c>
      <c r="W795" s="13" t="n">
        <v>977.57</v>
      </c>
      <c r="X795" s="12" t="s">
        <v>947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3</v>
      </c>
      <c r="B796" s="11" t="n">
        <v>46214</v>
      </c>
      <c r="C796" s="11" t="n">
        <v>46238</v>
      </c>
      <c r="D796" s="10" t="n">
        <v>33</v>
      </c>
      <c r="E796" s="12" t="s">
        <v>297</v>
      </c>
      <c r="F796" s="10" t="n">
        <v>34</v>
      </c>
      <c r="G796" s="12" t="s">
        <v>58</v>
      </c>
      <c r="H796" s="10" t="n">
        <v>2110405</v>
      </c>
      <c r="I796" s="12" t="s">
        <v>63</v>
      </c>
      <c r="J796" s="10" t="n">
        <v>911199</v>
      </c>
      <c r="L796" s="10" t="n">
        <v>143958</v>
      </c>
      <c r="M796" s="12" t="s">
        <v>555</v>
      </c>
      <c r="N796" s="12" t="s">
        <v>34</v>
      </c>
      <c r="P796" s="10" t="n">
        <v>102</v>
      </c>
      <c r="Q796" s="12" t="s">
        <v>141</v>
      </c>
      <c r="R796" s="12" t="s">
        <v>372</v>
      </c>
      <c r="S796" s="10" t="n">
        <v>2210202</v>
      </c>
      <c r="T796" s="12" t="s">
        <v>372</v>
      </c>
      <c r="U796" s="13" t="n">
        <v>1000</v>
      </c>
      <c r="W796" s="13" t="n">
        <v>1000</v>
      </c>
      <c r="X796" s="12" t="s">
        <v>373</v>
      </c>
      <c r="Z796" s="1" t="str">
        <f aca="false">IF($T796="","",IFERROR(INDEX('Resumo Grupos'!$AC$3:$AC$200,MATCH($T796,'Resumo Grupos'!$AB$3:$AB$200,0)),"n/d"))</f>
        <v>Empréstimo</v>
      </c>
      <c r="AA796" s="1" t="str">
        <f aca="false">IF($T796="","",IF(COUNTIF('Resumo Grupos'!$AE$3:$AE$40,$T796)&gt;0,"NAO","SIM"))</f>
        <v>SIM</v>
      </c>
    </row>
    <row r="797" customFormat="false" ht="72.75" hidden="false" customHeight="true" outlineLevel="0" collapsed="false">
      <c r="A797" s="10" t="n">
        <v>3</v>
      </c>
      <c r="B797" s="11" t="n">
        <v>46218</v>
      </c>
      <c r="C797" s="11" t="n">
        <v>46238</v>
      </c>
      <c r="D797" s="10" t="n">
        <v>530</v>
      </c>
      <c r="E797" s="12" t="s">
        <v>948</v>
      </c>
      <c r="F797" s="10" t="n">
        <v>24</v>
      </c>
      <c r="G797" s="12" t="s">
        <v>31</v>
      </c>
      <c r="H797" s="10" t="n">
        <v>2110405</v>
      </c>
      <c r="I797" s="12" t="s">
        <v>63</v>
      </c>
      <c r="J797" s="10" t="n">
        <v>1411672</v>
      </c>
      <c r="L797" s="10" t="n">
        <v>220015</v>
      </c>
      <c r="M797" s="12" t="s">
        <v>33</v>
      </c>
      <c r="N797" s="12" t="s">
        <v>34</v>
      </c>
      <c r="P797" s="10" t="n">
        <v>167</v>
      </c>
      <c r="Q797" s="12" t="s">
        <v>220</v>
      </c>
      <c r="R797" s="12" t="s">
        <v>169</v>
      </c>
      <c r="S797" s="10" t="n">
        <v>2110714</v>
      </c>
      <c r="T797" s="12" t="s">
        <v>949</v>
      </c>
      <c r="U797" s="13" t="n">
        <v>972.11</v>
      </c>
      <c r="W797" s="13" t="n">
        <v>972.11</v>
      </c>
      <c r="X797" s="12" t="s">
        <v>950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</row>
    <row r="798" customFormat="false" ht="72.75" hidden="false" customHeight="true" outlineLevel="0" collapsed="false">
      <c r="A798" s="10" t="n">
        <v>3</v>
      </c>
      <c r="B798" s="11" t="n">
        <v>46224</v>
      </c>
      <c r="C798" s="11" t="n">
        <v>46238</v>
      </c>
      <c r="D798" s="10" t="n">
        <v>1921</v>
      </c>
      <c r="E798" s="12" t="s">
        <v>318</v>
      </c>
      <c r="F798" s="10" t="n">
        <v>24</v>
      </c>
      <c r="G798" s="12" t="s">
        <v>31</v>
      </c>
      <c r="H798" s="10" t="n">
        <v>2110405</v>
      </c>
      <c r="I798" s="12" t="s">
        <v>63</v>
      </c>
      <c r="J798" s="10" t="n">
        <v>1427653</v>
      </c>
      <c r="L798" s="10" t="n">
        <v>134391</v>
      </c>
      <c r="M798" s="12" t="s">
        <v>33</v>
      </c>
      <c r="N798" s="12" t="s">
        <v>34</v>
      </c>
      <c r="P798" s="10" t="n">
        <v>167</v>
      </c>
      <c r="Q798" s="12" t="s">
        <v>220</v>
      </c>
      <c r="R798" s="12" t="s">
        <v>36</v>
      </c>
      <c r="S798" s="10" t="n">
        <v>1130101</v>
      </c>
      <c r="T798" s="12" t="s">
        <v>37</v>
      </c>
      <c r="U798" s="13" t="n">
        <v>360.15</v>
      </c>
      <c r="W798" s="13" t="n">
        <v>360.15</v>
      </c>
      <c r="X798" s="12" t="s">
        <v>951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36.75" hidden="false" customHeight="true" outlineLevel="0" collapsed="false">
      <c r="A799" s="10" t="n">
        <v>3</v>
      </c>
      <c r="B799" s="11" t="n">
        <v>46224</v>
      </c>
      <c r="C799" s="11" t="n">
        <v>46238</v>
      </c>
      <c r="D799" s="10" t="n">
        <v>1681</v>
      </c>
      <c r="E799" s="12" t="s">
        <v>914</v>
      </c>
      <c r="F799" s="10" t="n">
        <v>24</v>
      </c>
      <c r="G799" s="12" t="s">
        <v>31</v>
      </c>
      <c r="H799" s="10" t="n">
        <v>2110405</v>
      </c>
      <c r="I799" s="12" t="s">
        <v>63</v>
      </c>
      <c r="J799" s="10" t="n">
        <v>1434272</v>
      </c>
      <c r="L799" s="10" t="n">
        <v>39221</v>
      </c>
      <c r="M799" s="12" t="s">
        <v>33</v>
      </c>
      <c r="N799" s="12" t="s">
        <v>34</v>
      </c>
      <c r="P799" s="10" t="n">
        <v>167</v>
      </c>
      <c r="Q799" s="12" t="s">
        <v>220</v>
      </c>
      <c r="R799" s="12" t="s">
        <v>36</v>
      </c>
      <c r="S799" s="10" t="n">
        <v>1130101</v>
      </c>
      <c r="T799" s="12" t="s">
        <v>37</v>
      </c>
      <c r="U799" s="13" t="n">
        <v>2419.55</v>
      </c>
      <c r="W799" s="13" t="n">
        <v>2419.55</v>
      </c>
      <c r="X799" s="12" t="s">
        <v>952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36.75" hidden="false" customHeight="true" outlineLevel="0" collapsed="false">
      <c r="A800" s="10" t="n">
        <v>3</v>
      </c>
      <c r="B800" s="11" t="n">
        <v>46224</v>
      </c>
      <c r="C800" s="11" t="n">
        <v>46238</v>
      </c>
      <c r="D800" s="10" t="n">
        <v>1643</v>
      </c>
      <c r="E800" s="12" t="s">
        <v>462</v>
      </c>
      <c r="F800" s="10" t="n">
        <v>24</v>
      </c>
      <c r="G800" s="12" t="s">
        <v>31</v>
      </c>
      <c r="H800" s="10" t="n">
        <v>2110405</v>
      </c>
      <c r="I800" s="12" t="s">
        <v>63</v>
      </c>
      <c r="J800" s="10" t="n">
        <v>1434277</v>
      </c>
      <c r="L800" s="10" t="n">
        <v>10747</v>
      </c>
      <c r="M800" s="12" t="s">
        <v>33</v>
      </c>
      <c r="N800" s="12" t="s">
        <v>34</v>
      </c>
      <c r="P800" s="10" t="n">
        <v>167</v>
      </c>
      <c r="Q800" s="12" t="s">
        <v>220</v>
      </c>
      <c r="R800" s="12" t="s">
        <v>36</v>
      </c>
      <c r="S800" s="10" t="n">
        <v>1130101</v>
      </c>
      <c r="T800" s="12" t="s">
        <v>37</v>
      </c>
      <c r="U800" s="13" t="n">
        <v>285</v>
      </c>
      <c r="W800" s="13" t="n">
        <v>285</v>
      </c>
      <c r="X800" s="12" t="s">
        <v>953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36.75" hidden="false" customHeight="true" outlineLevel="0" collapsed="false">
      <c r="A801" s="10" t="n">
        <v>3</v>
      </c>
      <c r="B801" s="11" t="n">
        <v>46224</v>
      </c>
      <c r="C801" s="11" t="n">
        <v>46238</v>
      </c>
      <c r="D801" s="10" t="n">
        <v>1734</v>
      </c>
      <c r="E801" s="12" t="s">
        <v>214</v>
      </c>
      <c r="F801" s="10" t="n">
        <v>24</v>
      </c>
      <c r="G801" s="12" t="s">
        <v>31</v>
      </c>
      <c r="H801" s="10" t="n">
        <v>2110405</v>
      </c>
      <c r="I801" s="12" t="s">
        <v>63</v>
      </c>
      <c r="J801" s="10" t="n">
        <v>1438992</v>
      </c>
      <c r="L801" s="10" t="n">
        <v>2560202</v>
      </c>
      <c r="M801" s="12" t="s">
        <v>33</v>
      </c>
      <c r="N801" s="12" t="s">
        <v>34</v>
      </c>
      <c r="P801" s="10" t="n">
        <v>167</v>
      </c>
      <c r="Q801" s="12" t="s">
        <v>220</v>
      </c>
      <c r="R801" s="12" t="s">
        <v>36</v>
      </c>
      <c r="S801" s="10" t="n">
        <v>1130101</v>
      </c>
      <c r="T801" s="12" t="s">
        <v>37</v>
      </c>
      <c r="U801" s="13" t="n">
        <v>356.24</v>
      </c>
      <c r="W801" s="13" t="n">
        <v>356.24</v>
      </c>
      <c r="X801" s="12" t="s">
        <v>954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63.75" hidden="false" customHeight="true" outlineLevel="0" collapsed="false">
      <c r="A802" s="10" t="n">
        <v>3</v>
      </c>
      <c r="B802" s="11" t="n">
        <v>46224</v>
      </c>
      <c r="C802" s="11" t="n">
        <v>46238</v>
      </c>
      <c r="D802" s="10" t="n">
        <v>1636</v>
      </c>
      <c r="E802" s="12" t="s">
        <v>195</v>
      </c>
      <c r="F802" s="10" t="n">
        <v>24</v>
      </c>
      <c r="G802" s="12" t="s">
        <v>31</v>
      </c>
      <c r="H802" s="10" t="n">
        <v>2110405</v>
      </c>
      <c r="I802" s="12" t="s">
        <v>63</v>
      </c>
      <c r="J802" s="10" t="n">
        <v>1448422</v>
      </c>
      <c r="L802" s="10" t="n">
        <v>32235721</v>
      </c>
      <c r="M802" s="12" t="s">
        <v>33</v>
      </c>
      <c r="N802" s="12" t="s">
        <v>34</v>
      </c>
      <c r="P802" s="10" t="n">
        <v>167</v>
      </c>
      <c r="Q802" s="12" t="s">
        <v>220</v>
      </c>
      <c r="R802" s="12" t="s">
        <v>36</v>
      </c>
      <c r="S802" s="10" t="n">
        <v>1130101</v>
      </c>
      <c r="T802" s="12" t="s">
        <v>37</v>
      </c>
      <c r="U802" s="13" t="n">
        <v>287.28</v>
      </c>
      <c r="W802" s="13" t="n">
        <v>287.28</v>
      </c>
      <c r="X802" s="12" t="s">
        <v>955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36.75" hidden="false" customHeight="true" outlineLevel="0" collapsed="false">
      <c r="A803" s="10" t="n">
        <v>3</v>
      </c>
      <c r="B803" s="11" t="n">
        <v>46231</v>
      </c>
      <c r="C803" s="11" t="n">
        <v>46238</v>
      </c>
      <c r="D803" s="10" t="n">
        <v>489</v>
      </c>
      <c r="E803" s="12" t="s">
        <v>393</v>
      </c>
      <c r="F803" s="10" t="n">
        <v>34</v>
      </c>
      <c r="G803" s="12" t="s">
        <v>58</v>
      </c>
      <c r="H803" s="10" t="n">
        <v>2110405</v>
      </c>
      <c r="I803" s="12" t="s">
        <v>63</v>
      </c>
      <c r="J803" s="10" t="n">
        <v>1463396</v>
      </c>
      <c r="L803" s="10" t="n">
        <v>227712</v>
      </c>
      <c r="M803" s="12" t="s">
        <v>33</v>
      </c>
      <c r="N803" s="12" t="s">
        <v>34</v>
      </c>
      <c r="P803" s="10" t="n">
        <v>167</v>
      </c>
      <c r="Q803" s="12" t="s">
        <v>220</v>
      </c>
      <c r="R803" s="12" t="s">
        <v>36</v>
      </c>
      <c r="S803" s="10" t="n">
        <v>1130101</v>
      </c>
      <c r="T803" s="12" t="s">
        <v>37</v>
      </c>
      <c r="U803" s="13" t="n">
        <v>735</v>
      </c>
      <c r="W803" s="13" t="n">
        <v>735</v>
      </c>
      <c r="X803" s="12" t="s">
        <v>956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36.75" hidden="false" customHeight="true" outlineLevel="0" collapsed="false">
      <c r="A804" s="10" t="n">
        <v>3</v>
      </c>
      <c r="B804" s="11" t="n">
        <v>46231</v>
      </c>
      <c r="C804" s="11" t="n">
        <v>46238</v>
      </c>
      <c r="D804" s="10" t="n">
        <v>1749</v>
      </c>
      <c r="E804" s="12" t="s">
        <v>110</v>
      </c>
      <c r="F804" s="10" t="n">
        <v>24</v>
      </c>
      <c r="G804" s="12" t="s">
        <v>31</v>
      </c>
      <c r="H804" s="10" t="n">
        <v>2110405</v>
      </c>
      <c r="I804" s="12" t="s">
        <v>63</v>
      </c>
      <c r="J804" s="10" t="n">
        <v>1472995</v>
      </c>
      <c r="L804" s="10" t="n">
        <v>35681</v>
      </c>
      <c r="M804" s="12" t="s">
        <v>33</v>
      </c>
      <c r="N804" s="12" t="s">
        <v>34</v>
      </c>
      <c r="P804" s="10" t="n">
        <v>167</v>
      </c>
      <c r="Q804" s="12" t="s">
        <v>220</v>
      </c>
      <c r="R804" s="12" t="s">
        <v>36</v>
      </c>
      <c r="S804" s="10" t="n">
        <v>1130101</v>
      </c>
      <c r="T804" s="12" t="s">
        <v>37</v>
      </c>
      <c r="U804" s="13" t="n">
        <v>1398.66</v>
      </c>
      <c r="W804" s="13" t="n">
        <v>1398.66</v>
      </c>
      <c r="X804" s="12" t="s">
        <v>957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54.75" hidden="false" customHeight="true" outlineLevel="0" collapsed="false">
      <c r="A805" s="10" t="n">
        <v>3</v>
      </c>
      <c r="B805" s="11" t="n">
        <v>46231</v>
      </c>
      <c r="C805" s="11" t="n">
        <v>46238</v>
      </c>
      <c r="D805" s="10" t="n">
        <v>1723</v>
      </c>
      <c r="E805" s="12" t="s">
        <v>54</v>
      </c>
      <c r="F805" s="10" t="n">
        <v>24</v>
      </c>
      <c r="G805" s="12" t="s">
        <v>31</v>
      </c>
      <c r="H805" s="10" t="n">
        <v>2110405</v>
      </c>
      <c r="I805" s="12" t="s">
        <v>63</v>
      </c>
      <c r="J805" s="10" t="n">
        <v>1473766</v>
      </c>
      <c r="L805" s="10" t="n">
        <v>578111</v>
      </c>
      <c r="M805" s="12" t="s">
        <v>33</v>
      </c>
      <c r="N805" s="12" t="s">
        <v>34</v>
      </c>
      <c r="P805" s="10" t="n">
        <v>167</v>
      </c>
      <c r="Q805" s="12" t="s">
        <v>220</v>
      </c>
      <c r="R805" s="12" t="s">
        <v>36</v>
      </c>
      <c r="S805" s="10" t="n">
        <v>1130101</v>
      </c>
      <c r="T805" s="12" t="s">
        <v>37</v>
      </c>
      <c r="U805" s="13" t="n">
        <v>2040.8</v>
      </c>
      <c r="W805" s="13" t="n">
        <v>2040.8</v>
      </c>
      <c r="X805" s="12" t="s">
        <v>958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3</v>
      </c>
      <c r="B806" s="11" t="n">
        <v>46234</v>
      </c>
      <c r="C806" s="11" t="n">
        <v>46238</v>
      </c>
      <c r="D806" s="10" t="n">
        <v>42</v>
      </c>
      <c r="E806" s="12" t="s">
        <v>106</v>
      </c>
      <c r="F806" s="10" t="n">
        <v>34</v>
      </c>
      <c r="G806" s="12" t="s">
        <v>58</v>
      </c>
      <c r="H806" s="10" t="n">
        <v>2110101</v>
      </c>
      <c r="I806" s="12" t="s">
        <v>32</v>
      </c>
      <c r="J806" s="10" t="n">
        <v>1478620</v>
      </c>
      <c r="L806" s="10" t="n">
        <v>4447</v>
      </c>
      <c r="M806" s="12" t="s">
        <v>33</v>
      </c>
      <c r="N806" s="12" t="s">
        <v>40</v>
      </c>
      <c r="P806" s="10" t="n">
        <v>167</v>
      </c>
      <c r="Q806" s="12" t="s">
        <v>220</v>
      </c>
      <c r="R806" s="12" t="s">
        <v>36</v>
      </c>
      <c r="S806" s="10" t="n">
        <v>1130101</v>
      </c>
      <c r="T806" s="12" t="s">
        <v>37</v>
      </c>
      <c r="U806" s="13" t="n">
        <v>1774</v>
      </c>
      <c r="W806" s="13" t="n">
        <v>1774</v>
      </c>
      <c r="X806" s="12" t="s">
        <v>959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36.75" hidden="false" customHeight="true" outlineLevel="0" collapsed="false">
      <c r="A807" s="10" t="n">
        <v>3</v>
      </c>
      <c r="B807" s="11" t="n">
        <v>46234</v>
      </c>
      <c r="C807" s="11" t="n">
        <v>46238</v>
      </c>
      <c r="D807" s="10" t="n">
        <v>1615</v>
      </c>
      <c r="E807" s="12" t="s">
        <v>57</v>
      </c>
      <c r="F807" s="10" t="n">
        <v>34</v>
      </c>
      <c r="G807" s="12" t="s">
        <v>58</v>
      </c>
      <c r="H807" s="10" t="n">
        <v>2110405</v>
      </c>
      <c r="I807" s="12" t="s">
        <v>63</v>
      </c>
      <c r="J807" s="10" t="n">
        <v>1478626</v>
      </c>
      <c r="L807" s="10" t="n">
        <v>229887</v>
      </c>
      <c r="M807" s="12" t="s">
        <v>33</v>
      </c>
      <c r="N807" s="12" t="s">
        <v>34</v>
      </c>
      <c r="P807" s="10" t="n">
        <v>167</v>
      </c>
      <c r="Q807" s="12" t="s">
        <v>220</v>
      </c>
      <c r="R807" s="12" t="s">
        <v>36</v>
      </c>
      <c r="S807" s="10" t="n">
        <v>1130101</v>
      </c>
      <c r="T807" s="12" t="s">
        <v>37</v>
      </c>
      <c r="U807" s="13" t="n">
        <v>410</v>
      </c>
      <c r="W807" s="13" t="n">
        <v>410</v>
      </c>
      <c r="X807" s="12" t="s">
        <v>960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36.75" hidden="false" customHeight="true" outlineLevel="0" collapsed="false">
      <c r="A808" s="10" t="n">
        <v>3</v>
      </c>
      <c r="B808" s="11" t="n">
        <v>46234</v>
      </c>
      <c r="C808" s="11" t="n">
        <v>46238</v>
      </c>
      <c r="D808" s="10" t="n">
        <v>1615</v>
      </c>
      <c r="E808" s="12" t="s">
        <v>57</v>
      </c>
      <c r="F808" s="10" t="n">
        <v>34</v>
      </c>
      <c r="G808" s="12" t="s">
        <v>58</v>
      </c>
      <c r="H808" s="10" t="n">
        <v>2110405</v>
      </c>
      <c r="I808" s="12" t="s">
        <v>63</v>
      </c>
      <c r="J808" s="10" t="n">
        <v>1478631</v>
      </c>
      <c r="L808" s="10" t="n">
        <v>229888</v>
      </c>
      <c r="M808" s="12" t="s">
        <v>33</v>
      </c>
      <c r="N808" s="12" t="s">
        <v>34</v>
      </c>
      <c r="P808" s="10" t="n">
        <v>167</v>
      </c>
      <c r="Q808" s="12" t="s">
        <v>220</v>
      </c>
      <c r="R808" s="12" t="s">
        <v>36</v>
      </c>
      <c r="S808" s="10" t="n">
        <v>1130101</v>
      </c>
      <c r="T808" s="12" t="s">
        <v>37</v>
      </c>
      <c r="U808" s="13" t="n">
        <v>210</v>
      </c>
      <c r="W808" s="13" t="n">
        <v>210</v>
      </c>
      <c r="X808" s="12" t="s">
        <v>961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0" t="n">
        <v>3</v>
      </c>
      <c r="B809" s="11" t="n">
        <v>46235</v>
      </c>
      <c r="C809" s="11" t="n">
        <v>46238</v>
      </c>
      <c r="D809" s="10" t="n">
        <v>10096</v>
      </c>
      <c r="E809" s="12" t="s">
        <v>785</v>
      </c>
      <c r="F809" s="10" t="n">
        <v>34</v>
      </c>
      <c r="G809" s="12" t="s">
        <v>58</v>
      </c>
      <c r="H809" s="10" t="n">
        <v>2110405</v>
      </c>
      <c r="I809" s="12" t="s">
        <v>63</v>
      </c>
      <c r="J809" s="10" t="n">
        <v>1492846</v>
      </c>
      <c r="L809" s="10" t="n">
        <v>110</v>
      </c>
      <c r="M809" s="12" t="s">
        <v>33</v>
      </c>
      <c r="N809" s="12" t="s">
        <v>34</v>
      </c>
      <c r="P809" s="10" t="n">
        <v>167</v>
      </c>
      <c r="Q809" s="12" t="s">
        <v>220</v>
      </c>
      <c r="R809" s="12" t="s">
        <v>36</v>
      </c>
      <c r="S809" s="10" t="n">
        <v>1130101</v>
      </c>
      <c r="T809" s="12" t="s">
        <v>37</v>
      </c>
      <c r="U809" s="13" t="n">
        <v>180</v>
      </c>
      <c r="W809" s="13" t="n">
        <v>180</v>
      </c>
      <c r="X809" s="12" t="s">
        <v>962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0" t="n">
        <v>3</v>
      </c>
      <c r="B810" s="11" t="n">
        <v>46238</v>
      </c>
      <c r="C810" s="11" t="n">
        <v>46238</v>
      </c>
      <c r="D810" s="10" t="n">
        <v>515</v>
      </c>
      <c r="E810" s="12" t="s">
        <v>240</v>
      </c>
      <c r="F810" s="10" t="n">
        <v>34</v>
      </c>
      <c r="G810" s="12" t="s">
        <v>58</v>
      </c>
      <c r="H810" s="10" t="n">
        <v>2110405</v>
      </c>
      <c r="I810" s="12" t="s">
        <v>63</v>
      </c>
      <c r="J810" s="10" t="n">
        <v>1499005</v>
      </c>
      <c r="L810" s="10" t="n">
        <v>232821</v>
      </c>
      <c r="M810" s="12" t="s">
        <v>33</v>
      </c>
      <c r="N810" s="12" t="s">
        <v>34</v>
      </c>
      <c r="P810" s="10" t="n">
        <v>101</v>
      </c>
      <c r="Q810" s="12" t="s">
        <v>136</v>
      </c>
      <c r="R810" s="12" t="s">
        <v>165</v>
      </c>
      <c r="S810" s="10" t="n">
        <v>4210504</v>
      </c>
      <c r="T810" s="12" t="s">
        <v>166</v>
      </c>
      <c r="U810" s="13" t="n">
        <v>335.37</v>
      </c>
      <c r="W810" s="13" t="n">
        <v>335.37</v>
      </c>
      <c r="X810" s="12" t="s">
        <v>963</v>
      </c>
      <c r="Z810" s="1" t="str">
        <f aca="false">IF($T810="","",IFERROR(INDEX('Resumo Grupos'!$AC$3:$AC$200,MATCH($T810,'Resumo Grupos'!$AB$3:$AB$200,0)),"n/d"))</f>
        <v>Despesa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0" t="n">
        <v>3</v>
      </c>
      <c r="B811" s="11" t="n">
        <v>46238</v>
      </c>
      <c r="C811" s="11" t="n">
        <v>46238</v>
      </c>
      <c r="D811" s="10" t="n">
        <v>515</v>
      </c>
      <c r="E811" s="12" t="s">
        <v>240</v>
      </c>
      <c r="F811" s="10" t="n">
        <v>34</v>
      </c>
      <c r="G811" s="12" t="s">
        <v>58</v>
      </c>
      <c r="H811" s="10" t="n">
        <v>2110405</v>
      </c>
      <c r="I811" s="12" t="s">
        <v>63</v>
      </c>
      <c r="J811" s="10" t="n">
        <v>1499012</v>
      </c>
      <c r="L811" s="10" t="n">
        <v>232823</v>
      </c>
      <c r="M811" s="12" t="s">
        <v>33</v>
      </c>
      <c r="N811" s="12" t="s">
        <v>34</v>
      </c>
      <c r="P811" s="10" t="n">
        <v>101</v>
      </c>
      <c r="Q811" s="12" t="s">
        <v>136</v>
      </c>
      <c r="R811" s="12" t="s">
        <v>165</v>
      </c>
      <c r="S811" s="10" t="n">
        <v>4210504</v>
      </c>
      <c r="T811" s="12" t="s">
        <v>166</v>
      </c>
      <c r="U811" s="13" t="n">
        <v>250.26</v>
      </c>
      <c r="W811" s="13" t="n">
        <v>250.26</v>
      </c>
      <c r="X811" s="12" t="s">
        <v>964</v>
      </c>
      <c r="Z811" s="1" t="str">
        <f aca="false">IF($T811="","",IFERROR(INDEX('Resumo Grupos'!$AC$3:$AC$200,MATCH($T811,'Resumo Grupos'!$AB$3:$AB$200,0)),"n/d"))</f>
        <v>Despesa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3</v>
      </c>
      <c r="B812" s="11" t="n">
        <v>46238</v>
      </c>
      <c r="C812" s="11" t="n">
        <v>46238</v>
      </c>
      <c r="D812" s="10" t="n">
        <v>42</v>
      </c>
      <c r="E812" s="12" t="s">
        <v>106</v>
      </c>
      <c r="F812" s="10" t="n">
        <v>13</v>
      </c>
      <c r="G812" s="12" t="s">
        <v>91</v>
      </c>
      <c r="H812" s="10" t="n">
        <v>2110101</v>
      </c>
      <c r="I812" s="12" t="s">
        <v>32</v>
      </c>
      <c r="J812" s="10" t="n">
        <v>1499322</v>
      </c>
      <c r="L812" s="10" t="n">
        <v>4458</v>
      </c>
      <c r="M812" s="12" t="s">
        <v>33</v>
      </c>
      <c r="N812" s="12" t="s">
        <v>40</v>
      </c>
      <c r="P812" s="10" t="n">
        <v>167</v>
      </c>
      <c r="Q812" s="12" t="s">
        <v>220</v>
      </c>
      <c r="R812" s="12" t="s">
        <v>36</v>
      </c>
      <c r="S812" s="10" t="n">
        <v>1130101</v>
      </c>
      <c r="T812" s="12" t="s">
        <v>37</v>
      </c>
      <c r="U812" s="13" t="n">
        <v>145</v>
      </c>
      <c r="W812" s="13" t="n">
        <v>145</v>
      </c>
      <c r="X812" s="12" t="s">
        <v>685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3</v>
      </c>
      <c r="B813" s="11" t="n">
        <v>46238</v>
      </c>
      <c r="C813" s="11" t="n">
        <v>46238</v>
      </c>
      <c r="D813" s="10" t="n">
        <v>42</v>
      </c>
      <c r="E813" s="12" t="s">
        <v>106</v>
      </c>
      <c r="F813" s="10" t="n">
        <v>13</v>
      </c>
      <c r="G813" s="12" t="s">
        <v>91</v>
      </c>
      <c r="H813" s="10" t="n">
        <v>2110101</v>
      </c>
      <c r="I813" s="12" t="s">
        <v>32</v>
      </c>
      <c r="J813" s="10" t="n">
        <v>1500491</v>
      </c>
      <c r="L813" s="10" t="n">
        <v>4460</v>
      </c>
      <c r="M813" s="12" t="s">
        <v>33</v>
      </c>
      <c r="N813" s="12" t="s">
        <v>40</v>
      </c>
      <c r="P813" s="10" t="n">
        <v>167</v>
      </c>
      <c r="Q813" s="12" t="s">
        <v>220</v>
      </c>
      <c r="R813" s="12" t="s">
        <v>36</v>
      </c>
      <c r="S813" s="10" t="n">
        <v>1130101</v>
      </c>
      <c r="T813" s="12" t="s">
        <v>37</v>
      </c>
      <c r="U813" s="13" t="n">
        <v>125</v>
      </c>
      <c r="W813" s="13" t="n">
        <v>125</v>
      </c>
      <c r="X813" s="12" t="s">
        <v>743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36.75" hidden="false" customHeight="true" outlineLevel="0" collapsed="false">
      <c r="A814" s="10" t="n">
        <v>3</v>
      </c>
      <c r="B814" s="11" t="n">
        <v>46238</v>
      </c>
      <c r="C814" s="11" t="n">
        <v>46238</v>
      </c>
      <c r="D814" s="10" t="n">
        <v>515</v>
      </c>
      <c r="E814" s="12" t="s">
        <v>240</v>
      </c>
      <c r="F814" s="10" t="n">
        <v>34</v>
      </c>
      <c r="G814" s="12" t="s">
        <v>58</v>
      </c>
      <c r="H814" s="10" t="n">
        <v>2110405</v>
      </c>
      <c r="I814" s="12" t="s">
        <v>63</v>
      </c>
      <c r="J814" s="10" t="n">
        <v>1509404</v>
      </c>
      <c r="L814" s="10" t="n">
        <v>234329</v>
      </c>
      <c r="M814" s="12" t="s">
        <v>33</v>
      </c>
      <c r="N814" s="12" t="s">
        <v>34</v>
      </c>
      <c r="P814" s="10" t="n">
        <v>102</v>
      </c>
      <c r="Q814" s="12" t="s">
        <v>141</v>
      </c>
      <c r="R814" s="12" t="s">
        <v>165</v>
      </c>
      <c r="S814" s="10" t="n">
        <v>4210504</v>
      </c>
      <c r="T814" s="12" t="s">
        <v>166</v>
      </c>
      <c r="U814" s="13" t="n">
        <v>29.28</v>
      </c>
      <c r="W814" s="13" t="n">
        <v>29.28</v>
      </c>
      <c r="X814" s="12" t="s">
        <v>965</v>
      </c>
      <c r="Z814" s="1" t="str">
        <f aca="false">IF($T814="","",IFERROR(INDEX('Resumo Grupos'!$AC$3:$AC$200,MATCH($T814,'Resumo Grupos'!$AB$3:$AB$200,0)),"n/d"))</f>
        <v>Despesa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0" t="n">
        <v>3</v>
      </c>
      <c r="B815" s="11" t="n">
        <v>46238</v>
      </c>
      <c r="C815" s="11" t="n">
        <v>46238</v>
      </c>
      <c r="D815" s="10" t="n">
        <v>515</v>
      </c>
      <c r="E815" s="12" t="s">
        <v>240</v>
      </c>
      <c r="F815" s="10" t="n">
        <v>34</v>
      </c>
      <c r="G815" s="12" t="s">
        <v>58</v>
      </c>
      <c r="H815" s="10" t="n">
        <v>2110405</v>
      </c>
      <c r="I815" s="12" t="s">
        <v>63</v>
      </c>
      <c r="J815" s="10" t="n">
        <v>1509407</v>
      </c>
      <c r="L815" s="10" t="n">
        <v>234331</v>
      </c>
      <c r="M815" s="12" t="s">
        <v>33</v>
      </c>
      <c r="N815" s="12" t="s">
        <v>34</v>
      </c>
      <c r="P815" s="10" t="n">
        <v>102</v>
      </c>
      <c r="Q815" s="12" t="s">
        <v>141</v>
      </c>
      <c r="R815" s="12" t="s">
        <v>165</v>
      </c>
      <c r="S815" s="10" t="n">
        <v>4210504</v>
      </c>
      <c r="T815" s="12" t="s">
        <v>166</v>
      </c>
      <c r="U815" s="13" t="n">
        <v>43.85</v>
      </c>
      <c r="W815" s="13" t="n">
        <v>43.85</v>
      </c>
      <c r="X815" s="12" t="s">
        <v>966</v>
      </c>
      <c r="Z815" s="1" t="str">
        <f aca="false">IF($T815="","",IFERROR(INDEX('Resumo Grupos'!$AC$3:$AC$200,MATCH($T815,'Resumo Grupos'!$AB$3:$AB$200,0)),"n/d"))</f>
        <v>Despesa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3</v>
      </c>
      <c r="B816" s="11" t="n">
        <v>46238</v>
      </c>
      <c r="C816" s="11" t="n">
        <v>46238</v>
      </c>
      <c r="D816" s="10" t="n">
        <v>515</v>
      </c>
      <c r="E816" s="12" t="s">
        <v>240</v>
      </c>
      <c r="F816" s="10" t="n">
        <v>34</v>
      </c>
      <c r="G816" s="12" t="s">
        <v>58</v>
      </c>
      <c r="H816" s="10" t="n">
        <v>2110405</v>
      </c>
      <c r="I816" s="12" t="s">
        <v>63</v>
      </c>
      <c r="J816" s="10" t="n">
        <v>1509415</v>
      </c>
      <c r="L816" s="10" t="n">
        <v>234332</v>
      </c>
      <c r="M816" s="12" t="s">
        <v>33</v>
      </c>
      <c r="N816" s="12" t="s">
        <v>34</v>
      </c>
      <c r="P816" s="10" t="n">
        <v>102</v>
      </c>
      <c r="Q816" s="12" t="s">
        <v>141</v>
      </c>
      <c r="R816" s="12" t="s">
        <v>165</v>
      </c>
      <c r="S816" s="10" t="n">
        <v>4210504</v>
      </c>
      <c r="T816" s="12" t="s">
        <v>166</v>
      </c>
      <c r="U816" s="13" t="n">
        <v>198.17</v>
      </c>
      <c r="W816" s="13" t="n">
        <v>198.17</v>
      </c>
      <c r="X816" s="12" t="s">
        <v>967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0" t="n">
        <v>3</v>
      </c>
      <c r="B817" s="11" t="n">
        <v>46238</v>
      </c>
      <c r="C817" s="11" t="n">
        <v>46238</v>
      </c>
      <c r="D817" s="10" t="n">
        <v>515</v>
      </c>
      <c r="E817" s="12" t="s">
        <v>240</v>
      </c>
      <c r="F817" s="10" t="n">
        <v>34</v>
      </c>
      <c r="G817" s="12" t="s">
        <v>58</v>
      </c>
      <c r="H817" s="10" t="n">
        <v>2110405</v>
      </c>
      <c r="I817" s="12" t="s">
        <v>63</v>
      </c>
      <c r="J817" s="10" t="n">
        <v>1509415</v>
      </c>
      <c r="L817" s="10" t="n">
        <v>234332</v>
      </c>
      <c r="M817" s="12" t="s">
        <v>559</v>
      </c>
      <c r="N817" s="12" t="s">
        <v>34</v>
      </c>
      <c r="P817" s="10" t="n">
        <v>102</v>
      </c>
      <c r="Q817" s="12" t="s">
        <v>141</v>
      </c>
      <c r="R817" s="12" t="s">
        <v>165</v>
      </c>
      <c r="S817" s="10" t="n">
        <v>4210504</v>
      </c>
      <c r="T817" s="12" t="s">
        <v>166</v>
      </c>
      <c r="U817" s="13" t="n">
        <v>770.86</v>
      </c>
      <c r="W817" s="13" t="n">
        <v>770.86</v>
      </c>
      <c r="X817" s="12" t="s">
        <v>968</v>
      </c>
      <c r="Z817" s="1" t="str">
        <f aca="false">IF($T817="","",IFERROR(INDEX('Resumo Grupos'!$AC$3:$AC$200,MATCH($T817,'Resumo Grupos'!$AB$3:$AB$200,0)),"n/d"))</f>
        <v>Despesa</v>
      </c>
      <c r="AA817" s="1" t="str">
        <f aca="false">IF($T817="","",IF(COUNTIF('Resumo Grupos'!$AE$3:$AE$40,$T817)&gt;0,"NAO","SIM"))</f>
        <v>SIM</v>
      </c>
    </row>
    <row r="818" customFormat="false" ht="54.75" hidden="false" customHeight="true" outlineLevel="0" collapsed="false">
      <c r="A818" s="10" t="n">
        <v>3</v>
      </c>
      <c r="B818" s="11" t="n">
        <v>46147</v>
      </c>
      <c r="C818" s="11" t="n">
        <v>46239</v>
      </c>
      <c r="D818" s="10" t="n">
        <v>515</v>
      </c>
      <c r="E818" s="12" t="s">
        <v>240</v>
      </c>
      <c r="F818" s="10" t="n">
        <v>34</v>
      </c>
      <c r="G818" s="12" t="s">
        <v>58</v>
      </c>
      <c r="H818" s="10" t="n">
        <v>2110405</v>
      </c>
      <c r="I818" s="12" t="s">
        <v>63</v>
      </c>
      <c r="J818" s="10" t="n">
        <v>1157461</v>
      </c>
      <c r="L818" s="10" t="n">
        <v>181615</v>
      </c>
      <c r="M818" s="12" t="s">
        <v>371</v>
      </c>
      <c r="N818" s="12" t="s">
        <v>34</v>
      </c>
      <c r="P818" s="10" t="n">
        <v>101</v>
      </c>
      <c r="Q818" s="12" t="s">
        <v>136</v>
      </c>
      <c r="R818" s="12" t="s">
        <v>165</v>
      </c>
      <c r="S818" s="10" t="n">
        <v>4210508</v>
      </c>
      <c r="T818" s="12" t="s">
        <v>241</v>
      </c>
      <c r="U818" s="13" t="n">
        <v>151.61</v>
      </c>
      <c r="W818" s="13" t="n">
        <v>0</v>
      </c>
      <c r="X818" s="12" t="s">
        <v>969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3</v>
      </c>
      <c r="B819" s="11" t="n">
        <v>46230</v>
      </c>
      <c r="C819" s="11" t="n">
        <v>46239</v>
      </c>
      <c r="D819" s="10" t="n">
        <v>1040</v>
      </c>
      <c r="E819" s="12" t="s">
        <v>479</v>
      </c>
      <c r="F819" s="10" t="n">
        <v>24</v>
      </c>
      <c r="G819" s="12" t="s">
        <v>31</v>
      </c>
      <c r="H819" s="10" t="n">
        <v>2110405</v>
      </c>
      <c r="I819" s="12" t="s">
        <v>63</v>
      </c>
      <c r="J819" s="10" t="n">
        <v>1459343</v>
      </c>
      <c r="L819" s="10" t="n">
        <v>793463664</v>
      </c>
      <c r="M819" s="12" t="s">
        <v>33</v>
      </c>
      <c r="N819" s="12" t="s">
        <v>34</v>
      </c>
      <c r="P819" s="10" t="n">
        <v>101</v>
      </c>
      <c r="Q819" s="12" t="s">
        <v>136</v>
      </c>
      <c r="R819" s="12" t="s">
        <v>64</v>
      </c>
      <c r="S819" s="10" t="n">
        <v>4210201</v>
      </c>
      <c r="T819" s="12" t="s">
        <v>480</v>
      </c>
      <c r="U819" s="13" t="n">
        <v>286</v>
      </c>
      <c r="W819" s="13" t="n">
        <v>0</v>
      </c>
      <c r="X819" s="12" t="s">
        <v>970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3</v>
      </c>
      <c r="B820" s="11" t="n">
        <v>46211</v>
      </c>
      <c r="C820" s="11" t="n">
        <v>46239</v>
      </c>
      <c r="D820" s="10" t="n">
        <v>1740</v>
      </c>
      <c r="E820" s="12" t="s">
        <v>273</v>
      </c>
      <c r="F820" s="10" t="n">
        <v>24</v>
      </c>
      <c r="G820" s="12" t="s">
        <v>31</v>
      </c>
      <c r="H820" s="10" t="n">
        <v>2110101</v>
      </c>
      <c r="I820" s="12" t="s">
        <v>32</v>
      </c>
      <c r="J820" s="10" t="n">
        <v>1373789</v>
      </c>
      <c r="L820" s="10" t="n">
        <v>12453553</v>
      </c>
      <c r="M820" s="12" t="s">
        <v>33</v>
      </c>
      <c r="N820" s="12" t="s">
        <v>34</v>
      </c>
      <c r="P820" s="10" t="n">
        <v>167</v>
      </c>
      <c r="Q820" s="12" t="s">
        <v>220</v>
      </c>
      <c r="R820" s="12" t="s">
        <v>36</v>
      </c>
      <c r="S820" s="10" t="n">
        <v>1130101</v>
      </c>
      <c r="T820" s="12" t="s">
        <v>37</v>
      </c>
      <c r="U820" s="13" t="n">
        <v>902.57</v>
      </c>
      <c r="W820" s="13" t="n">
        <v>0</v>
      </c>
      <c r="X820" s="12" t="s">
        <v>971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0" t="n">
        <v>3</v>
      </c>
      <c r="B821" s="11" t="n">
        <v>46210</v>
      </c>
      <c r="C821" s="11" t="n">
        <v>46239</v>
      </c>
      <c r="D821" s="10" t="n">
        <v>1107</v>
      </c>
      <c r="E821" s="12" t="s">
        <v>103</v>
      </c>
      <c r="F821" s="10" t="n">
        <v>24</v>
      </c>
      <c r="G821" s="12" t="s">
        <v>31</v>
      </c>
      <c r="H821" s="10" t="n">
        <v>2110101</v>
      </c>
      <c r="I821" s="12" t="s">
        <v>32</v>
      </c>
      <c r="J821" s="10" t="n">
        <v>1373805</v>
      </c>
      <c r="L821" s="10" t="n">
        <v>4263683</v>
      </c>
      <c r="M821" s="12" t="s">
        <v>33</v>
      </c>
      <c r="N821" s="12" t="s">
        <v>34</v>
      </c>
      <c r="P821" s="10" t="n">
        <v>167</v>
      </c>
      <c r="Q821" s="12" t="s">
        <v>220</v>
      </c>
      <c r="R821" s="12" t="s">
        <v>36</v>
      </c>
      <c r="S821" s="10" t="n">
        <v>1130101</v>
      </c>
      <c r="T821" s="12" t="s">
        <v>37</v>
      </c>
      <c r="U821" s="13" t="n">
        <v>651.11</v>
      </c>
      <c r="W821" s="13" t="n">
        <v>0</v>
      </c>
      <c r="X821" s="12" t="s">
        <v>972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0" t="n">
        <v>3</v>
      </c>
      <c r="B822" s="11" t="n">
        <v>46211</v>
      </c>
      <c r="C822" s="11" t="n">
        <v>46239</v>
      </c>
      <c r="D822" s="10" t="n">
        <v>1676</v>
      </c>
      <c r="E822" s="12" t="s">
        <v>197</v>
      </c>
      <c r="F822" s="10" t="n">
        <v>24</v>
      </c>
      <c r="G822" s="12" t="s">
        <v>31</v>
      </c>
      <c r="H822" s="10" t="n">
        <v>2110101</v>
      </c>
      <c r="I822" s="12" t="s">
        <v>32</v>
      </c>
      <c r="J822" s="10" t="n">
        <v>1373845</v>
      </c>
      <c r="L822" s="10" t="n">
        <v>1037763</v>
      </c>
      <c r="M822" s="12" t="s">
        <v>33</v>
      </c>
      <c r="N822" s="12" t="s">
        <v>34</v>
      </c>
      <c r="P822" s="10" t="n">
        <v>167</v>
      </c>
      <c r="Q822" s="12" t="s">
        <v>220</v>
      </c>
      <c r="R822" s="12" t="s">
        <v>36</v>
      </c>
      <c r="S822" s="10" t="n">
        <v>1130101</v>
      </c>
      <c r="T822" s="12" t="s">
        <v>37</v>
      </c>
      <c r="U822" s="13" t="n">
        <v>572.54</v>
      </c>
      <c r="W822" s="13" t="n">
        <v>0</v>
      </c>
      <c r="X822" s="12" t="s">
        <v>973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3</v>
      </c>
      <c r="B823" s="11" t="n">
        <v>46212</v>
      </c>
      <c r="C823" s="11" t="n">
        <v>46239</v>
      </c>
      <c r="D823" s="10" t="n">
        <v>1768</v>
      </c>
      <c r="E823" s="12" t="s">
        <v>352</v>
      </c>
      <c r="F823" s="10" t="n">
        <v>34</v>
      </c>
      <c r="G823" s="12" t="s">
        <v>58</v>
      </c>
      <c r="H823" s="10" t="n">
        <v>2110405</v>
      </c>
      <c r="I823" s="12" t="s">
        <v>63</v>
      </c>
      <c r="J823" s="10" t="n">
        <v>628297</v>
      </c>
      <c r="L823" s="10" t="n">
        <v>100146</v>
      </c>
      <c r="M823" s="12" t="s">
        <v>367</v>
      </c>
      <c r="N823" s="12" t="s">
        <v>34</v>
      </c>
      <c r="P823" s="10" t="n">
        <v>102</v>
      </c>
      <c r="Q823" s="12" t="s">
        <v>141</v>
      </c>
      <c r="R823" s="12" t="s">
        <v>64</v>
      </c>
      <c r="S823" s="10" t="n">
        <v>4210202</v>
      </c>
      <c r="T823" s="12" t="s">
        <v>354</v>
      </c>
      <c r="U823" s="13" t="n">
        <v>2431.5</v>
      </c>
      <c r="W823" s="13" t="n">
        <v>0</v>
      </c>
      <c r="X823" s="12" t="s">
        <v>355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</row>
    <row r="824" customFormat="false" ht="45.75" hidden="false" customHeight="true" outlineLevel="0" collapsed="false">
      <c r="A824" s="10" t="n">
        <v>3</v>
      </c>
      <c r="B824" s="11" t="n">
        <v>46218</v>
      </c>
      <c r="C824" s="11" t="n">
        <v>46239</v>
      </c>
      <c r="D824" s="10" t="n">
        <v>1740</v>
      </c>
      <c r="E824" s="12" t="s">
        <v>273</v>
      </c>
      <c r="F824" s="10" t="n">
        <v>24</v>
      </c>
      <c r="G824" s="12" t="s">
        <v>31</v>
      </c>
      <c r="H824" s="10" t="n">
        <v>2110405</v>
      </c>
      <c r="I824" s="12" t="s">
        <v>63</v>
      </c>
      <c r="J824" s="10" t="n">
        <v>1402527</v>
      </c>
      <c r="L824" s="10" t="n">
        <v>12479172</v>
      </c>
      <c r="M824" s="12" t="s">
        <v>33</v>
      </c>
      <c r="N824" s="12" t="s">
        <v>34</v>
      </c>
      <c r="P824" s="10" t="n">
        <v>167</v>
      </c>
      <c r="Q824" s="12" t="s">
        <v>220</v>
      </c>
      <c r="R824" s="12" t="s">
        <v>36</v>
      </c>
      <c r="S824" s="10" t="n">
        <v>1130101</v>
      </c>
      <c r="T824" s="12" t="s">
        <v>37</v>
      </c>
      <c r="U824" s="13" t="n">
        <v>840.93</v>
      </c>
      <c r="W824" s="13" t="n">
        <v>0</v>
      </c>
      <c r="X824" s="12" t="s">
        <v>974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0" t="n">
        <v>3</v>
      </c>
      <c r="B825" s="11" t="n">
        <v>46224</v>
      </c>
      <c r="C825" s="11" t="n">
        <v>46239</v>
      </c>
      <c r="D825" s="10" t="n">
        <v>1024</v>
      </c>
      <c r="E825" s="12" t="s">
        <v>278</v>
      </c>
      <c r="F825" s="10" t="n">
        <v>24</v>
      </c>
      <c r="G825" s="12" t="s">
        <v>31</v>
      </c>
      <c r="H825" s="10" t="n">
        <v>1110204</v>
      </c>
      <c r="I825" s="12" t="s">
        <v>177</v>
      </c>
      <c r="J825" s="10" t="n">
        <v>1434259</v>
      </c>
      <c r="L825" s="10" t="n">
        <v>6077012</v>
      </c>
      <c r="M825" s="12" t="s">
        <v>33</v>
      </c>
      <c r="N825" s="12" t="s">
        <v>34</v>
      </c>
      <c r="P825" s="10" t="n">
        <v>167</v>
      </c>
      <c r="Q825" s="12" t="s">
        <v>220</v>
      </c>
      <c r="R825" s="12" t="s">
        <v>36</v>
      </c>
      <c r="S825" s="10" t="n">
        <v>1130101</v>
      </c>
      <c r="T825" s="12" t="s">
        <v>37</v>
      </c>
      <c r="U825" s="13" t="n">
        <v>600.4</v>
      </c>
      <c r="W825" s="13" t="n">
        <v>0</v>
      </c>
      <c r="X825" s="12" t="s">
        <v>975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0" t="n">
        <v>3</v>
      </c>
      <c r="B826" s="11" t="n">
        <v>46225</v>
      </c>
      <c r="C826" s="11" t="n">
        <v>46239</v>
      </c>
      <c r="D826" s="10" t="n">
        <v>1740</v>
      </c>
      <c r="E826" s="12" t="s">
        <v>273</v>
      </c>
      <c r="F826" s="10" t="n">
        <v>24</v>
      </c>
      <c r="G826" s="12" t="s">
        <v>31</v>
      </c>
      <c r="H826" s="10" t="n">
        <v>2110405</v>
      </c>
      <c r="I826" s="12" t="s">
        <v>63</v>
      </c>
      <c r="J826" s="10" t="n">
        <v>1435861</v>
      </c>
      <c r="L826" s="10" t="n">
        <v>12504181</v>
      </c>
      <c r="M826" s="12" t="s">
        <v>33</v>
      </c>
      <c r="N826" s="12" t="s">
        <v>34</v>
      </c>
      <c r="P826" s="10" t="n">
        <v>167</v>
      </c>
      <c r="Q826" s="12" t="s">
        <v>220</v>
      </c>
      <c r="R826" s="12" t="s">
        <v>36</v>
      </c>
      <c r="S826" s="10" t="n">
        <v>1130101</v>
      </c>
      <c r="T826" s="12" t="s">
        <v>37</v>
      </c>
      <c r="U826" s="13" t="n">
        <v>867.32</v>
      </c>
      <c r="W826" s="13" t="n">
        <v>0</v>
      </c>
      <c r="X826" s="12" t="s">
        <v>976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0" t="n">
        <v>3</v>
      </c>
      <c r="B827" s="11" t="n">
        <v>46225</v>
      </c>
      <c r="C827" s="11" t="n">
        <v>46239</v>
      </c>
      <c r="D827" s="10" t="n">
        <v>1815</v>
      </c>
      <c r="E827" s="12" t="s">
        <v>157</v>
      </c>
      <c r="F827" s="10" t="n">
        <v>24</v>
      </c>
      <c r="G827" s="12" t="s">
        <v>31</v>
      </c>
      <c r="H827" s="10" t="n">
        <v>1110204</v>
      </c>
      <c r="I827" s="12" t="s">
        <v>177</v>
      </c>
      <c r="J827" s="10" t="n">
        <v>1435869</v>
      </c>
      <c r="L827" s="10" t="n">
        <v>4580361</v>
      </c>
      <c r="M827" s="12" t="s">
        <v>33</v>
      </c>
      <c r="N827" s="12" t="s">
        <v>34</v>
      </c>
      <c r="P827" s="10" t="n">
        <v>167</v>
      </c>
      <c r="Q827" s="12" t="s">
        <v>220</v>
      </c>
      <c r="R827" s="12" t="s">
        <v>36</v>
      </c>
      <c r="S827" s="10" t="n">
        <v>1130101</v>
      </c>
      <c r="T827" s="12" t="s">
        <v>37</v>
      </c>
      <c r="U827" s="13" t="n">
        <v>2067.28</v>
      </c>
      <c r="W827" s="13" t="n">
        <v>0</v>
      </c>
      <c r="X827" s="12" t="s">
        <v>977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45.75" hidden="false" customHeight="true" outlineLevel="0" collapsed="false">
      <c r="A828" s="10" t="n">
        <v>3</v>
      </c>
      <c r="B828" s="11" t="n">
        <v>46232</v>
      </c>
      <c r="C828" s="11" t="n">
        <v>46239</v>
      </c>
      <c r="D828" s="10" t="n">
        <v>1695</v>
      </c>
      <c r="E828" s="12" t="s">
        <v>211</v>
      </c>
      <c r="F828" s="10" t="n">
        <v>24</v>
      </c>
      <c r="G828" s="12" t="s">
        <v>31</v>
      </c>
      <c r="H828" s="10" t="n">
        <v>2110405</v>
      </c>
      <c r="I828" s="12" t="s">
        <v>63</v>
      </c>
      <c r="J828" s="10" t="n">
        <v>1469691</v>
      </c>
      <c r="L828" s="10" t="n">
        <v>195091</v>
      </c>
      <c r="M828" s="12" t="s">
        <v>33</v>
      </c>
      <c r="N828" s="12" t="s">
        <v>34</v>
      </c>
      <c r="P828" s="10" t="n">
        <v>167</v>
      </c>
      <c r="Q828" s="12" t="s">
        <v>220</v>
      </c>
      <c r="R828" s="12" t="s">
        <v>36</v>
      </c>
      <c r="S828" s="10" t="n">
        <v>1130101</v>
      </c>
      <c r="T828" s="12" t="s">
        <v>37</v>
      </c>
      <c r="U828" s="13" t="n">
        <v>978.6</v>
      </c>
      <c r="W828" s="13" t="n">
        <v>0</v>
      </c>
      <c r="X828" s="12" t="s">
        <v>978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63.75" hidden="false" customHeight="true" outlineLevel="0" collapsed="false">
      <c r="A829" s="10" t="n">
        <v>3</v>
      </c>
      <c r="B829" s="11" t="n">
        <v>46232</v>
      </c>
      <c r="C829" s="11" t="n">
        <v>46239</v>
      </c>
      <c r="D829" s="10" t="n">
        <v>1695</v>
      </c>
      <c r="E829" s="12" t="s">
        <v>211</v>
      </c>
      <c r="F829" s="10" t="n">
        <v>34</v>
      </c>
      <c r="G829" s="12" t="s">
        <v>58</v>
      </c>
      <c r="H829" s="10" t="n">
        <v>2110405</v>
      </c>
      <c r="I829" s="12" t="s">
        <v>63</v>
      </c>
      <c r="J829" s="10" t="n">
        <v>1469724</v>
      </c>
      <c r="L829" s="10" t="n">
        <v>228598</v>
      </c>
      <c r="M829" s="12" t="s">
        <v>33</v>
      </c>
      <c r="N829" s="12" t="s">
        <v>34</v>
      </c>
      <c r="P829" s="10" t="n">
        <v>167</v>
      </c>
      <c r="Q829" s="12" t="s">
        <v>220</v>
      </c>
      <c r="R829" s="12" t="s">
        <v>36</v>
      </c>
      <c r="S829" s="10" t="n">
        <v>1130101</v>
      </c>
      <c r="T829" s="12" t="s">
        <v>37</v>
      </c>
      <c r="U829" s="13" t="n">
        <v>512.4</v>
      </c>
      <c r="W829" s="13" t="n">
        <v>0</v>
      </c>
      <c r="X829" s="12" t="s">
        <v>979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0" t="n">
        <v>3</v>
      </c>
      <c r="B830" s="11" t="n">
        <v>46232</v>
      </c>
      <c r="C830" s="11" t="n">
        <v>46239</v>
      </c>
      <c r="D830" s="10" t="n">
        <v>1378</v>
      </c>
      <c r="E830" s="12" t="s">
        <v>119</v>
      </c>
      <c r="F830" s="10" t="n">
        <v>24</v>
      </c>
      <c r="G830" s="12" t="s">
        <v>31</v>
      </c>
      <c r="H830" s="10" t="n">
        <v>2110101</v>
      </c>
      <c r="I830" s="12" t="s">
        <v>32</v>
      </c>
      <c r="J830" s="10" t="n">
        <v>1472859</v>
      </c>
      <c r="L830" s="10" t="n">
        <v>18423</v>
      </c>
      <c r="M830" s="12" t="s">
        <v>33</v>
      </c>
      <c r="N830" s="12" t="s">
        <v>34</v>
      </c>
      <c r="P830" s="10" t="n">
        <v>167</v>
      </c>
      <c r="Q830" s="12" t="s">
        <v>220</v>
      </c>
      <c r="R830" s="12" t="s">
        <v>36</v>
      </c>
      <c r="S830" s="10" t="n">
        <v>1130101</v>
      </c>
      <c r="T830" s="12" t="s">
        <v>37</v>
      </c>
      <c r="U830" s="13" t="n">
        <v>237.6</v>
      </c>
      <c r="W830" s="13" t="n">
        <v>0</v>
      </c>
      <c r="X830" s="12" t="s">
        <v>980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0" t="n">
        <v>3</v>
      </c>
      <c r="B831" s="11" t="n">
        <v>46231</v>
      </c>
      <c r="C831" s="11" t="n">
        <v>46239</v>
      </c>
      <c r="D831" s="10" t="n">
        <v>1457</v>
      </c>
      <c r="E831" s="12" t="s">
        <v>39</v>
      </c>
      <c r="F831" s="10" t="n">
        <v>24</v>
      </c>
      <c r="G831" s="12" t="s">
        <v>31</v>
      </c>
      <c r="H831" s="10" t="n">
        <v>2110405</v>
      </c>
      <c r="I831" s="12" t="s">
        <v>63</v>
      </c>
      <c r="J831" s="10" t="n">
        <v>1472866</v>
      </c>
      <c r="L831" s="10" t="n">
        <v>13662</v>
      </c>
      <c r="M831" s="12" t="s">
        <v>33</v>
      </c>
      <c r="N831" s="12" t="s">
        <v>34</v>
      </c>
      <c r="P831" s="10" t="n">
        <v>167</v>
      </c>
      <c r="Q831" s="12" t="s">
        <v>220</v>
      </c>
      <c r="R831" s="12" t="s">
        <v>36</v>
      </c>
      <c r="S831" s="10" t="n">
        <v>1130101</v>
      </c>
      <c r="T831" s="12" t="s">
        <v>37</v>
      </c>
      <c r="U831" s="13" t="n">
        <v>388.41</v>
      </c>
      <c r="W831" s="13" t="n">
        <v>0</v>
      </c>
      <c r="X831" s="12" t="s">
        <v>981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3</v>
      </c>
      <c r="B832" s="11" t="n">
        <v>46233</v>
      </c>
      <c r="C832" s="11" t="n">
        <v>46239</v>
      </c>
      <c r="D832" s="10" t="n">
        <v>42</v>
      </c>
      <c r="E832" s="12" t="s">
        <v>106</v>
      </c>
      <c r="F832" s="10" t="n">
        <v>34</v>
      </c>
      <c r="G832" s="12" t="s">
        <v>58</v>
      </c>
      <c r="H832" s="10" t="n">
        <v>2110101</v>
      </c>
      <c r="I832" s="12" t="s">
        <v>32</v>
      </c>
      <c r="J832" s="10" t="n">
        <v>1473118</v>
      </c>
      <c r="L832" s="10" t="n">
        <v>4438</v>
      </c>
      <c r="M832" s="12" t="s">
        <v>33</v>
      </c>
      <c r="N832" s="12" t="s">
        <v>40</v>
      </c>
      <c r="P832" s="10" t="n">
        <v>167</v>
      </c>
      <c r="Q832" s="12" t="s">
        <v>220</v>
      </c>
      <c r="R832" s="12" t="s">
        <v>36</v>
      </c>
      <c r="S832" s="10" t="n">
        <v>1130101</v>
      </c>
      <c r="T832" s="12" t="s">
        <v>37</v>
      </c>
      <c r="U832" s="13" t="n">
        <v>280</v>
      </c>
      <c r="W832" s="13" t="n">
        <v>0</v>
      </c>
      <c r="X832" s="12" t="s">
        <v>389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3</v>
      </c>
      <c r="B833" s="11" t="n">
        <v>46232</v>
      </c>
      <c r="C833" s="11" t="n">
        <v>46239</v>
      </c>
      <c r="D833" s="10" t="n">
        <v>10018</v>
      </c>
      <c r="E833" s="12" t="s">
        <v>760</v>
      </c>
      <c r="F833" s="10" t="n">
        <v>34</v>
      </c>
      <c r="G833" s="12" t="s">
        <v>58</v>
      </c>
      <c r="H833" s="10" t="n">
        <v>1110204</v>
      </c>
      <c r="I833" s="12" t="s">
        <v>177</v>
      </c>
      <c r="J833" s="10" t="n">
        <v>1498874</v>
      </c>
      <c r="L833" s="10" t="n">
        <v>348</v>
      </c>
      <c r="M833" s="12" t="s">
        <v>33</v>
      </c>
      <c r="N833" s="12" t="s">
        <v>34</v>
      </c>
      <c r="P833" s="10" t="n">
        <v>167</v>
      </c>
      <c r="Q833" s="12" t="s">
        <v>220</v>
      </c>
      <c r="R833" s="12" t="s">
        <v>36</v>
      </c>
      <c r="S833" s="10" t="n">
        <v>1130101</v>
      </c>
      <c r="T833" s="12" t="s">
        <v>37</v>
      </c>
      <c r="U833" s="13" t="n">
        <v>966.88</v>
      </c>
      <c r="W833" s="13" t="n">
        <v>0</v>
      </c>
      <c r="X833" s="12" t="s">
        <v>982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3</v>
      </c>
      <c r="B834" s="11" t="n">
        <v>46239</v>
      </c>
      <c r="C834" s="11" t="n">
        <v>46239</v>
      </c>
      <c r="D834" s="10" t="n">
        <v>42</v>
      </c>
      <c r="E834" s="12" t="s">
        <v>106</v>
      </c>
      <c r="F834" s="10" t="n">
        <v>13</v>
      </c>
      <c r="G834" s="12" t="s">
        <v>91</v>
      </c>
      <c r="H834" s="10" t="n">
        <v>2110101</v>
      </c>
      <c r="I834" s="12" t="s">
        <v>32</v>
      </c>
      <c r="J834" s="10" t="n">
        <v>1503410</v>
      </c>
      <c r="L834" s="10" t="n">
        <v>4463</v>
      </c>
      <c r="M834" s="12" t="s">
        <v>33</v>
      </c>
      <c r="N834" s="12" t="s">
        <v>40</v>
      </c>
      <c r="P834" s="10" t="n">
        <v>167</v>
      </c>
      <c r="Q834" s="12" t="s">
        <v>220</v>
      </c>
      <c r="R834" s="12" t="s">
        <v>36</v>
      </c>
      <c r="S834" s="10" t="n">
        <v>1130101</v>
      </c>
      <c r="T834" s="12" t="s">
        <v>37</v>
      </c>
      <c r="U834" s="13" t="n">
        <v>100</v>
      </c>
      <c r="W834" s="13" t="n">
        <v>100</v>
      </c>
      <c r="X834" s="12" t="s">
        <v>983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36.75" hidden="false" customHeight="true" outlineLevel="0" collapsed="false">
      <c r="A835" s="10" t="n">
        <v>3</v>
      </c>
      <c r="B835" s="11" t="n">
        <v>46239</v>
      </c>
      <c r="C835" s="11" t="n">
        <v>46239</v>
      </c>
      <c r="D835" s="10" t="n">
        <v>42</v>
      </c>
      <c r="E835" s="12" t="s">
        <v>106</v>
      </c>
      <c r="F835" s="10" t="n">
        <v>13</v>
      </c>
      <c r="G835" s="12" t="s">
        <v>91</v>
      </c>
      <c r="H835" s="10" t="n">
        <v>2110101</v>
      </c>
      <c r="I835" s="12" t="s">
        <v>32</v>
      </c>
      <c r="J835" s="10" t="n">
        <v>1504610</v>
      </c>
      <c r="L835" s="10" t="n">
        <v>4464</v>
      </c>
      <c r="M835" s="12" t="s">
        <v>33</v>
      </c>
      <c r="N835" s="12" t="s">
        <v>40</v>
      </c>
      <c r="P835" s="10" t="n">
        <v>167</v>
      </c>
      <c r="Q835" s="12" t="s">
        <v>220</v>
      </c>
      <c r="R835" s="12" t="s">
        <v>36</v>
      </c>
      <c r="S835" s="10" t="n">
        <v>1130101</v>
      </c>
      <c r="T835" s="12" t="s">
        <v>37</v>
      </c>
      <c r="U835" s="13" t="n">
        <v>125</v>
      </c>
      <c r="W835" s="13" t="n">
        <v>125</v>
      </c>
      <c r="X835" s="12" t="s">
        <v>941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3</v>
      </c>
      <c r="B836" s="11" t="n">
        <v>46205</v>
      </c>
      <c r="C836" s="11" t="n">
        <v>46240</v>
      </c>
      <c r="D836" s="10" t="n">
        <v>794</v>
      </c>
      <c r="E836" s="12" t="s">
        <v>74</v>
      </c>
      <c r="F836" s="10" t="n">
        <v>24</v>
      </c>
      <c r="G836" s="12" t="s">
        <v>31</v>
      </c>
      <c r="H836" s="10" t="n">
        <v>2110405</v>
      </c>
      <c r="I836" s="12" t="s">
        <v>63</v>
      </c>
      <c r="J836" s="10" t="n">
        <v>1340253</v>
      </c>
      <c r="L836" s="10" t="n">
        <v>82674</v>
      </c>
      <c r="M836" s="12" t="s">
        <v>33</v>
      </c>
      <c r="N836" s="12" t="s">
        <v>34</v>
      </c>
      <c r="P836" s="10" t="n">
        <v>167</v>
      </c>
      <c r="Q836" s="12" t="s">
        <v>220</v>
      </c>
      <c r="R836" s="12" t="s">
        <v>64</v>
      </c>
      <c r="S836" s="10" t="n">
        <v>4210299</v>
      </c>
      <c r="T836" s="12" t="s">
        <v>615</v>
      </c>
      <c r="U836" s="13" t="n">
        <v>475.95</v>
      </c>
      <c r="W836" s="13" t="n">
        <v>475.95</v>
      </c>
      <c r="X836" s="12" t="s">
        <v>984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3</v>
      </c>
      <c r="B837" s="11" t="n">
        <v>46212</v>
      </c>
      <c r="C837" s="11" t="n">
        <v>46240</v>
      </c>
      <c r="D837" s="10" t="n">
        <v>1656</v>
      </c>
      <c r="E837" s="12" t="s">
        <v>330</v>
      </c>
      <c r="F837" s="10" t="n">
        <v>24</v>
      </c>
      <c r="G837" s="12" t="s">
        <v>31</v>
      </c>
      <c r="H837" s="10" t="n">
        <v>2110101</v>
      </c>
      <c r="I837" s="12" t="s">
        <v>32</v>
      </c>
      <c r="J837" s="10" t="n">
        <v>1373894</v>
      </c>
      <c r="L837" s="10" t="n">
        <v>2233333</v>
      </c>
      <c r="M837" s="12" t="s">
        <v>33</v>
      </c>
      <c r="N837" s="12" t="s">
        <v>34</v>
      </c>
      <c r="P837" s="10" t="n">
        <v>167</v>
      </c>
      <c r="Q837" s="12" t="s">
        <v>220</v>
      </c>
      <c r="R837" s="12" t="s">
        <v>36</v>
      </c>
      <c r="S837" s="10" t="n">
        <v>1130101</v>
      </c>
      <c r="T837" s="12" t="s">
        <v>37</v>
      </c>
      <c r="U837" s="13" t="n">
        <v>396.51</v>
      </c>
      <c r="W837" s="13" t="n">
        <v>396.51</v>
      </c>
      <c r="X837" s="12" t="s">
        <v>985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3</v>
      </c>
      <c r="B838" s="11" t="n">
        <v>46219</v>
      </c>
      <c r="C838" s="11" t="n">
        <v>46240</v>
      </c>
      <c r="D838" s="10" t="n">
        <v>1039</v>
      </c>
      <c r="E838" s="12" t="s">
        <v>150</v>
      </c>
      <c r="F838" s="10" t="n">
        <v>24</v>
      </c>
      <c r="G838" s="12" t="s">
        <v>31</v>
      </c>
      <c r="H838" s="10" t="n">
        <v>2110405</v>
      </c>
      <c r="I838" s="12" t="s">
        <v>63</v>
      </c>
      <c r="J838" s="10" t="n">
        <v>1410321</v>
      </c>
      <c r="L838" s="10" t="n">
        <v>192873</v>
      </c>
      <c r="M838" s="12" t="s">
        <v>33</v>
      </c>
      <c r="N838" s="12" t="s">
        <v>34</v>
      </c>
      <c r="P838" s="10" t="n">
        <v>167</v>
      </c>
      <c r="Q838" s="12" t="s">
        <v>220</v>
      </c>
      <c r="R838" s="12" t="s">
        <v>36</v>
      </c>
      <c r="S838" s="10" t="n">
        <v>1130101</v>
      </c>
      <c r="T838" s="12" t="s">
        <v>37</v>
      </c>
      <c r="U838" s="13" t="n">
        <v>1453.92</v>
      </c>
      <c r="W838" s="13" t="n">
        <v>1453.92</v>
      </c>
      <c r="X838" s="12" t="s">
        <v>986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3</v>
      </c>
      <c r="B839" s="11" t="n">
        <v>46224</v>
      </c>
      <c r="C839" s="11" t="n">
        <v>46240</v>
      </c>
      <c r="D839" s="10" t="n">
        <v>1916</v>
      </c>
      <c r="E839" s="12" t="s">
        <v>384</v>
      </c>
      <c r="F839" s="10" t="n">
        <v>24</v>
      </c>
      <c r="G839" s="12" t="s">
        <v>31</v>
      </c>
      <c r="H839" s="10" t="n">
        <v>2110405</v>
      </c>
      <c r="I839" s="12" t="s">
        <v>63</v>
      </c>
      <c r="J839" s="10" t="n">
        <v>1434200</v>
      </c>
      <c r="L839" s="10" t="n">
        <v>39904</v>
      </c>
      <c r="M839" s="12" t="s">
        <v>33</v>
      </c>
      <c r="N839" s="12" t="s">
        <v>34</v>
      </c>
      <c r="P839" s="10" t="n">
        <v>167</v>
      </c>
      <c r="Q839" s="12" t="s">
        <v>220</v>
      </c>
      <c r="R839" s="12" t="s">
        <v>36</v>
      </c>
      <c r="S839" s="10" t="n">
        <v>1130101</v>
      </c>
      <c r="T839" s="12" t="s">
        <v>37</v>
      </c>
      <c r="U839" s="13" t="n">
        <v>249.5</v>
      </c>
      <c r="W839" s="13" t="n">
        <v>249.5</v>
      </c>
      <c r="X839" s="12" t="s">
        <v>987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36.75" hidden="false" customHeight="true" outlineLevel="0" collapsed="false">
      <c r="A840" s="10" t="n">
        <v>3</v>
      </c>
      <c r="B840" s="11" t="n">
        <v>46226</v>
      </c>
      <c r="C840" s="11" t="n">
        <v>46240</v>
      </c>
      <c r="D840" s="10" t="n">
        <v>10009</v>
      </c>
      <c r="E840" s="12" t="s">
        <v>99</v>
      </c>
      <c r="F840" s="10" t="n">
        <v>24</v>
      </c>
      <c r="G840" s="12" t="s">
        <v>31</v>
      </c>
      <c r="H840" s="10" t="n">
        <v>2110405</v>
      </c>
      <c r="I840" s="12" t="s">
        <v>63</v>
      </c>
      <c r="J840" s="10" t="n">
        <v>1448406</v>
      </c>
      <c r="L840" s="10" t="n">
        <v>1431205</v>
      </c>
      <c r="M840" s="12" t="s">
        <v>33</v>
      </c>
      <c r="N840" s="12" t="s">
        <v>34</v>
      </c>
      <c r="P840" s="10" t="n">
        <v>167</v>
      </c>
      <c r="Q840" s="12" t="s">
        <v>220</v>
      </c>
      <c r="R840" s="12" t="s">
        <v>36</v>
      </c>
      <c r="S840" s="10" t="n">
        <v>1130101</v>
      </c>
      <c r="T840" s="12" t="s">
        <v>37</v>
      </c>
      <c r="U840" s="13" t="n">
        <v>741.08</v>
      </c>
      <c r="W840" s="13" t="n">
        <v>741.08</v>
      </c>
      <c r="X840" s="12" t="s">
        <v>988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3</v>
      </c>
      <c r="B841" s="11" t="n">
        <v>46232</v>
      </c>
      <c r="C841" s="11" t="n">
        <v>46240</v>
      </c>
      <c r="D841" s="10" t="n">
        <v>1642</v>
      </c>
      <c r="E841" s="12" t="s">
        <v>48</v>
      </c>
      <c r="F841" s="10" t="n">
        <v>24</v>
      </c>
      <c r="G841" s="12" t="s">
        <v>31</v>
      </c>
      <c r="H841" s="10" t="n">
        <v>2110405</v>
      </c>
      <c r="I841" s="12" t="s">
        <v>63</v>
      </c>
      <c r="J841" s="10" t="n">
        <v>1472950</v>
      </c>
      <c r="L841" s="10" t="n">
        <v>1034331</v>
      </c>
      <c r="M841" s="12" t="s">
        <v>33</v>
      </c>
      <c r="N841" s="12" t="s">
        <v>34</v>
      </c>
      <c r="P841" s="10" t="n">
        <v>167</v>
      </c>
      <c r="Q841" s="12" t="s">
        <v>220</v>
      </c>
      <c r="R841" s="12" t="s">
        <v>36</v>
      </c>
      <c r="S841" s="10" t="n">
        <v>1130101</v>
      </c>
      <c r="T841" s="12" t="s">
        <v>37</v>
      </c>
      <c r="U841" s="13" t="n">
        <v>510.9</v>
      </c>
      <c r="W841" s="13" t="n">
        <v>510.9</v>
      </c>
      <c r="X841" s="12" t="s">
        <v>989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36.75" hidden="false" customHeight="true" outlineLevel="0" collapsed="false">
      <c r="A842" s="10" t="n">
        <v>3</v>
      </c>
      <c r="B842" s="11" t="n">
        <v>46233</v>
      </c>
      <c r="C842" s="11" t="n">
        <v>46240</v>
      </c>
      <c r="D842" s="10" t="n">
        <v>1625</v>
      </c>
      <c r="E842" s="12" t="s">
        <v>97</v>
      </c>
      <c r="F842" s="10" t="n">
        <v>24</v>
      </c>
      <c r="G842" s="12" t="s">
        <v>31</v>
      </c>
      <c r="H842" s="10" t="n">
        <v>2110405</v>
      </c>
      <c r="I842" s="12" t="s">
        <v>63</v>
      </c>
      <c r="J842" s="10" t="n">
        <v>1473750</v>
      </c>
      <c r="L842" s="10" t="n">
        <v>148801</v>
      </c>
      <c r="M842" s="12" t="s">
        <v>33</v>
      </c>
      <c r="N842" s="12" t="s">
        <v>34</v>
      </c>
      <c r="P842" s="10" t="n">
        <v>167</v>
      </c>
      <c r="Q842" s="12" t="s">
        <v>220</v>
      </c>
      <c r="R842" s="12" t="s">
        <v>36</v>
      </c>
      <c r="S842" s="10" t="n">
        <v>1130101</v>
      </c>
      <c r="T842" s="12" t="s">
        <v>37</v>
      </c>
      <c r="U842" s="13" t="n">
        <v>3135.1</v>
      </c>
      <c r="W842" s="13" t="n">
        <v>3135.1</v>
      </c>
      <c r="X842" s="12" t="s">
        <v>990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36.75" hidden="false" customHeight="true" outlineLevel="0" collapsed="false">
      <c r="A843" s="10" t="n">
        <v>3</v>
      </c>
      <c r="B843" s="11" t="n">
        <v>46233</v>
      </c>
      <c r="C843" s="11" t="n">
        <v>46240</v>
      </c>
      <c r="D843" s="10" t="n">
        <v>1613</v>
      </c>
      <c r="E843" s="12" t="s">
        <v>209</v>
      </c>
      <c r="F843" s="10" t="n">
        <v>24</v>
      </c>
      <c r="G843" s="12" t="s">
        <v>31</v>
      </c>
      <c r="H843" s="10" t="n">
        <v>2110405</v>
      </c>
      <c r="I843" s="12" t="s">
        <v>63</v>
      </c>
      <c r="J843" s="10" t="n">
        <v>1473794</v>
      </c>
      <c r="L843" s="10" t="n">
        <v>16135171</v>
      </c>
      <c r="M843" s="12" t="s">
        <v>33</v>
      </c>
      <c r="N843" s="12" t="s">
        <v>34</v>
      </c>
      <c r="P843" s="10" t="n">
        <v>167</v>
      </c>
      <c r="Q843" s="12" t="s">
        <v>220</v>
      </c>
      <c r="R843" s="12" t="s">
        <v>36</v>
      </c>
      <c r="S843" s="10" t="n">
        <v>1130101</v>
      </c>
      <c r="T843" s="12" t="s">
        <v>37</v>
      </c>
      <c r="U843" s="13" t="n">
        <v>1468.01</v>
      </c>
      <c r="W843" s="13" t="n">
        <v>1468.01</v>
      </c>
      <c r="X843" s="12" t="s">
        <v>991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36.75" hidden="false" customHeight="true" outlineLevel="0" collapsed="false">
      <c r="A844" s="10" t="n">
        <v>3</v>
      </c>
      <c r="B844" s="11" t="n">
        <v>46233</v>
      </c>
      <c r="C844" s="11" t="n">
        <v>46240</v>
      </c>
      <c r="D844" s="10" t="n">
        <v>10063</v>
      </c>
      <c r="E844" s="12" t="s">
        <v>76</v>
      </c>
      <c r="F844" s="10" t="n">
        <v>24</v>
      </c>
      <c r="G844" s="12" t="s">
        <v>31</v>
      </c>
      <c r="H844" s="10" t="n">
        <v>2110405</v>
      </c>
      <c r="I844" s="12" t="s">
        <v>63</v>
      </c>
      <c r="J844" s="10" t="n">
        <v>1477495</v>
      </c>
      <c r="L844" s="10" t="n">
        <v>2628</v>
      </c>
      <c r="M844" s="12" t="s">
        <v>33</v>
      </c>
      <c r="N844" s="12" t="s">
        <v>34</v>
      </c>
      <c r="P844" s="10" t="n">
        <v>167</v>
      </c>
      <c r="Q844" s="12" t="s">
        <v>220</v>
      </c>
      <c r="R844" s="12" t="s">
        <v>36</v>
      </c>
      <c r="S844" s="10" t="n">
        <v>1130101</v>
      </c>
      <c r="T844" s="12" t="s">
        <v>37</v>
      </c>
      <c r="U844" s="13" t="n">
        <v>1865</v>
      </c>
      <c r="W844" s="13" t="n">
        <v>1865</v>
      </c>
      <c r="X844" s="12" t="s">
        <v>992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36.75" hidden="false" customHeight="true" outlineLevel="0" collapsed="false">
      <c r="A845" s="10" t="n">
        <v>3</v>
      </c>
      <c r="B845" s="11" t="n">
        <v>46233</v>
      </c>
      <c r="C845" s="11" t="n">
        <v>46240</v>
      </c>
      <c r="D845" s="10" t="n">
        <v>1705</v>
      </c>
      <c r="E845" s="12" t="s">
        <v>252</v>
      </c>
      <c r="F845" s="10" t="n">
        <v>24</v>
      </c>
      <c r="G845" s="12" t="s">
        <v>31</v>
      </c>
      <c r="H845" s="10" t="n">
        <v>2110405</v>
      </c>
      <c r="I845" s="12" t="s">
        <v>63</v>
      </c>
      <c r="J845" s="10" t="n">
        <v>1478102</v>
      </c>
      <c r="L845" s="10" t="n">
        <v>12276507</v>
      </c>
      <c r="M845" s="12" t="s">
        <v>33</v>
      </c>
      <c r="N845" s="12" t="s">
        <v>34</v>
      </c>
      <c r="P845" s="10" t="n">
        <v>167</v>
      </c>
      <c r="Q845" s="12" t="s">
        <v>220</v>
      </c>
      <c r="R845" s="12" t="s">
        <v>36</v>
      </c>
      <c r="S845" s="10" t="n">
        <v>1130101</v>
      </c>
      <c r="T845" s="12" t="s">
        <v>37</v>
      </c>
      <c r="U845" s="13" t="n">
        <v>1560.7</v>
      </c>
      <c r="W845" s="13" t="n">
        <v>1560.7</v>
      </c>
      <c r="X845" s="12" t="s">
        <v>993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3</v>
      </c>
      <c r="B846" s="11" t="n">
        <v>46233</v>
      </c>
      <c r="C846" s="11" t="n">
        <v>46240</v>
      </c>
      <c r="D846" s="10" t="n">
        <v>1705</v>
      </c>
      <c r="E846" s="12" t="s">
        <v>252</v>
      </c>
      <c r="F846" s="10" t="n">
        <v>24</v>
      </c>
      <c r="G846" s="12" t="s">
        <v>31</v>
      </c>
      <c r="H846" s="10" t="n">
        <v>2110405</v>
      </c>
      <c r="I846" s="12" t="s">
        <v>63</v>
      </c>
      <c r="J846" s="10" t="n">
        <v>1478121</v>
      </c>
      <c r="L846" s="10" t="n">
        <v>19624745</v>
      </c>
      <c r="M846" s="12" t="s">
        <v>33</v>
      </c>
      <c r="N846" s="12" t="s">
        <v>34</v>
      </c>
      <c r="P846" s="10" t="n">
        <v>167</v>
      </c>
      <c r="Q846" s="12" t="s">
        <v>220</v>
      </c>
      <c r="R846" s="12" t="s">
        <v>36</v>
      </c>
      <c r="S846" s="10" t="n">
        <v>1130101</v>
      </c>
      <c r="T846" s="12" t="s">
        <v>37</v>
      </c>
      <c r="U846" s="13" t="n">
        <v>4490.06</v>
      </c>
      <c r="W846" s="13" t="n">
        <v>4490.06</v>
      </c>
      <c r="X846" s="12" t="s">
        <v>994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45.75" hidden="false" customHeight="true" outlineLevel="0" collapsed="false">
      <c r="A847" s="10" t="n">
        <v>3</v>
      </c>
      <c r="B847" s="11" t="n">
        <v>46237</v>
      </c>
      <c r="C847" s="11" t="n">
        <v>46240</v>
      </c>
      <c r="D847" s="10" t="n">
        <v>1734</v>
      </c>
      <c r="E847" s="12" t="s">
        <v>214</v>
      </c>
      <c r="F847" s="10" t="n">
        <v>24</v>
      </c>
      <c r="G847" s="12" t="s">
        <v>31</v>
      </c>
      <c r="H847" s="10" t="n">
        <v>2110405</v>
      </c>
      <c r="I847" s="12" t="s">
        <v>63</v>
      </c>
      <c r="J847" s="10" t="n">
        <v>1495558</v>
      </c>
      <c r="L847" s="10" t="n">
        <v>2562081</v>
      </c>
      <c r="M847" s="12" t="s">
        <v>33</v>
      </c>
      <c r="N847" s="12" t="s">
        <v>34</v>
      </c>
      <c r="P847" s="10" t="n">
        <v>167</v>
      </c>
      <c r="Q847" s="12" t="s">
        <v>220</v>
      </c>
      <c r="R847" s="12" t="s">
        <v>36</v>
      </c>
      <c r="S847" s="10" t="n">
        <v>1130101</v>
      </c>
      <c r="T847" s="12" t="s">
        <v>37</v>
      </c>
      <c r="U847" s="13" t="n">
        <v>430.14</v>
      </c>
      <c r="W847" s="13" t="n">
        <v>430.14</v>
      </c>
      <c r="X847" s="12" t="s">
        <v>995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45.75" hidden="false" customHeight="true" outlineLevel="0" collapsed="false">
      <c r="A848" s="10" t="n">
        <v>3</v>
      </c>
      <c r="B848" s="11" t="n">
        <v>46238</v>
      </c>
      <c r="C848" s="11" t="n">
        <v>46240</v>
      </c>
      <c r="D848" s="10" t="n">
        <v>10096</v>
      </c>
      <c r="E848" s="12" t="s">
        <v>785</v>
      </c>
      <c r="F848" s="10" t="n">
        <v>34</v>
      </c>
      <c r="G848" s="12" t="s">
        <v>58</v>
      </c>
      <c r="H848" s="10" t="n">
        <v>2110405</v>
      </c>
      <c r="I848" s="12" t="s">
        <v>63</v>
      </c>
      <c r="J848" s="10" t="n">
        <v>1503214</v>
      </c>
      <c r="L848" s="10" t="n">
        <v>233412</v>
      </c>
      <c r="M848" s="12" t="s">
        <v>33</v>
      </c>
      <c r="N848" s="12" t="s">
        <v>34</v>
      </c>
      <c r="P848" s="10" t="n">
        <v>167</v>
      </c>
      <c r="Q848" s="12" t="s">
        <v>220</v>
      </c>
      <c r="R848" s="12" t="s">
        <v>36</v>
      </c>
      <c r="S848" s="10" t="n">
        <v>1130101</v>
      </c>
      <c r="T848" s="12" t="s">
        <v>37</v>
      </c>
      <c r="U848" s="13" t="n">
        <v>180</v>
      </c>
      <c r="W848" s="13" t="n">
        <v>180</v>
      </c>
      <c r="X848" s="12" t="s">
        <v>996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3</v>
      </c>
      <c r="B849" s="11" t="n">
        <v>46240</v>
      </c>
      <c r="C849" s="11" t="n">
        <v>46240</v>
      </c>
      <c r="D849" s="10" t="n">
        <v>42</v>
      </c>
      <c r="E849" s="12" t="s">
        <v>106</v>
      </c>
      <c r="F849" s="10" t="n">
        <v>13</v>
      </c>
      <c r="G849" s="12" t="s">
        <v>91</v>
      </c>
      <c r="H849" s="10" t="n">
        <v>2110101</v>
      </c>
      <c r="I849" s="12" t="s">
        <v>32</v>
      </c>
      <c r="J849" s="10" t="n">
        <v>1507944</v>
      </c>
      <c r="L849" s="10" t="n">
        <v>4467</v>
      </c>
      <c r="M849" s="12" t="s">
        <v>33</v>
      </c>
      <c r="N849" s="12" t="s">
        <v>40</v>
      </c>
      <c r="P849" s="10" t="n">
        <v>167</v>
      </c>
      <c r="Q849" s="12" t="s">
        <v>220</v>
      </c>
      <c r="R849" s="12" t="s">
        <v>36</v>
      </c>
      <c r="S849" s="10" t="n">
        <v>1130101</v>
      </c>
      <c r="T849" s="12" t="s">
        <v>37</v>
      </c>
      <c r="U849" s="13" t="n">
        <v>145</v>
      </c>
      <c r="W849" s="13" t="n">
        <v>0</v>
      </c>
      <c r="X849" s="12" t="s">
        <v>997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27.75" hidden="false" customHeight="true" outlineLevel="0" collapsed="false">
      <c r="A850" s="10" t="n">
        <v>3</v>
      </c>
      <c r="B850" s="11" t="n">
        <v>46240</v>
      </c>
      <c r="C850" s="11" t="n">
        <v>46240</v>
      </c>
      <c r="D850" s="10" t="n">
        <v>514</v>
      </c>
      <c r="E850" s="12" t="s">
        <v>163</v>
      </c>
      <c r="F850" s="10" t="n">
        <v>34</v>
      </c>
      <c r="G850" s="12" t="s">
        <v>58</v>
      </c>
      <c r="H850" s="10" t="n">
        <v>2110405</v>
      </c>
      <c r="I850" s="12" t="s">
        <v>63</v>
      </c>
      <c r="J850" s="10" t="n">
        <v>1508954</v>
      </c>
      <c r="L850" s="10" t="n">
        <v>234280</v>
      </c>
      <c r="M850" s="12" t="s">
        <v>33</v>
      </c>
      <c r="N850" s="12" t="s">
        <v>34</v>
      </c>
      <c r="P850" s="10" t="n">
        <v>102</v>
      </c>
      <c r="Q850" s="12" t="s">
        <v>141</v>
      </c>
      <c r="R850" s="12" t="s">
        <v>165</v>
      </c>
      <c r="S850" s="10" t="n">
        <v>4210505</v>
      </c>
      <c r="T850" s="12" t="s">
        <v>257</v>
      </c>
      <c r="U850" s="13" t="n">
        <v>2.65</v>
      </c>
      <c r="W850" s="13" t="n">
        <v>0</v>
      </c>
      <c r="X850" s="12" t="s">
        <v>998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</row>
    <row r="851" customFormat="false" ht="27.75" hidden="false" customHeight="true" outlineLevel="0" collapsed="false">
      <c r="A851" s="10" t="n">
        <v>3</v>
      </c>
      <c r="B851" s="11" t="n">
        <v>46240</v>
      </c>
      <c r="C851" s="11" t="n">
        <v>46240</v>
      </c>
      <c r="D851" s="10" t="n">
        <v>514</v>
      </c>
      <c r="E851" s="12" t="s">
        <v>163</v>
      </c>
      <c r="F851" s="10" t="n">
        <v>34</v>
      </c>
      <c r="G851" s="12" t="s">
        <v>58</v>
      </c>
      <c r="H851" s="10" t="n">
        <v>2110405</v>
      </c>
      <c r="I851" s="12" t="s">
        <v>63</v>
      </c>
      <c r="J851" s="10" t="n">
        <v>1508958</v>
      </c>
      <c r="L851" s="10" t="n">
        <v>234282</v>
      </c>
      <c r="M851" s="12" t="s">
        <v>33</v>
      </c>
      <c r="N851" s="12" t="s">
        <v>34</v>
      </c>
      <c r="P851" s="10" t="n">
        <v>102</v>
      </c>
      <c r="Q851" s="12" t="s">
        <v>141</v>
      </c>
      <c r="R851" s="12" t="s">
        <v>165</v>
      </c>
      <c r="S851" s="10" t="n">
        <v>4210505</v>
      </c>
      <c r="T851" s="12" t="s">
        <v>257</v>
      </c>
      <c r="U851" s="13" t="n">
        <v>0.05</v>
      </c>
      <c r="W851" s="13" t="n">
        <v>0</v>
      </c>
      <c r="X851" s="12" t="s">
        <v>999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</row>
    <row r="852" customFormat="false" ht="27.75" hidden="false" customHeight="true" outlineLevel="0" collapsed="false">
      <c r="A852" s="10" t="n">
        <v>3</v>
      </c>
      <c r="B852" s="11" t="n">
        <v>46240</v>
      </c>
      <c r="C852" s="11" t="n">
        <v>46240</v>
      </c>
      <c r="D852" s="10" t="n">
        <v>514</v>
      </c>
      <c r="E852" s="12" t="s">
        <v>163</v>
      </c>
      <c r="F852" s="10" t="n">
        <v>34</v>
      </c>
      <c r="G852" s="12" t="s">
        <v>58</v>
      </c>
      <c r="H852" s="10" t="n">
        <v>2110405</v>
      </c>
      <c r="I852" s="12" t="s">
        <v>63</v>
      </c>
      <c r="J852" s="10" t="n">
        <v>1508974</v>
      </c>
      <c r="L852" s="10" t="n">
        <v>234285</v>
      </c>
      <c r="M852" s="12" t="s">
        <v>33</v>
      </c>
      <c r="N852" s="12" t="s">
        <v>34</v>
      </c>
      <c r="P852" s="10" t="n">
        <v>102</v>
      </c>
      <c r="Q852" s="12" t="s">
        <v>141</v>
      </c>
      <c r="R852" s="12" t="s">
        <v>165</v>
      </c>
      <c r="S852" s="10" t="n">
        <v>4210502</v>
      </c>
      <c r="T852" s="12" t="s">
        <v>260</v>
      </c>
      <c r="U852" s="13" t="n">
        <v>5.08</v>
      </c>
      <c r="W852" s="13" t="n">
        <v>0</v>
      </c>
      <c r="X852" s="12" t="s">
        <v>1000</v>
      </c>
      <c r="Z852" s="1" t="str">
        <f aca="false">IF($T852="","",IFERROR(INDEX('Resumo Grupos'!$AC$3:$AC$200,MATCH($T852,'Resumo Grupos'!$AB$3:$AB$200,0)),"n/d"))</f>
        <v>Empréstimo</v>
      </c>
      <c r="AA852" s="1" t="str">
        <f aca="false">IF($T852="","",IF(COUNTIF('Resumo Grupos'!$AE$3:$AE$40,$T852)&gt;0,"NAO","SIM"))</f>
        <v>SIM</v>
      </c>
    </row>
    <row r="853" customFormat="false" ht="36.75" hidden="false" customHeight="true" outlineLevel="0" collapsed="false">
      <c r="A853" s="10" t="n">
        <v>3</v>
      </c>
      <c r="B853" s="11" t="n">
        <v>46240</v>
      </c>
      <c r="C853" s="11" t="n">
        <v>46240</v>
      </c>
      <c r="D853" s="10" t="n">
        <v>515</v>
      </c>
      <c r="E853" s="12" t="s">
        <v>240</v>
      </c>
      <c r="F853" s="10" t="n">
        <v>34</v>
      </c>
      <c r="G853" s="12" t="s">
        <v>58</v>
      </c>
      <c r="H853" s="10" t="n">
        <v>2110405</v>
      </c>
      <c r="I853" s="12" t="s">
        <v>63</v>
      </c>
      <c r="J853" s="10" t="n">
        <v>1508982</v>
      </c>
      <c r="L853" s="10" t="n">
        <v>234286</v>
      </c>
      <c r="M853" s="12" t="s">
        <v>33</v>
      </c>
      <c r="N853" s="12" t="s">
        <v>34</v>
      </c>
      <c r="P853" s="10" t="n">
        <v>102</v>
      </c>
      <c r="Q853" s="12" t="s">
        <v>141</v>
      </c>
      <c r="R853" s="12" t="s">
        <v>222</v>
      </c>
      <c r="S853" s="10" t="n">
        <v>4220199</v>
      </c>
      <c r="T853" s="12" t="s">
        <v>223</v>
      </c>
      <c r="U853" s="13" t="n">
        <v>10</v>
      </c>
      <c r="W853" s="13" t="n">
        <v>10</v>
      </c>
      <c r="X853" s="12" t="s">
        <v>1001</v>
      </c>
      <c r="Z853" s="1" t="str">
        <f aca="false">IF($T853="","",IFERROR(INDEX('Resumo Grupos'!$AC$3:$AC$200,MATCH($T853,'Resumo Grupos'!$AB$3:$AB$200,0)),"n/d"))</f>
        <v>Pagamentos outros não operacionais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3</v>
      </c>
      <c r="B854" s="11" t="n">
        <v>46240</v>
      </c>
      <c r="C854" s="11" t="n">
        <v>46240</v>
      </c>
      <c r="D854" s="10" t="n">
        <v>42</v>
      </c>
      <c r="E854" s="12" t="s">
        <v>106</v>
      </c>
      <c r="F854" s="10" t="n">
        <v>13</v>
      </c>
      <c r="G854" s="12" t="s">
        <v>91</v>
      </c>
      <c r="H854" s="10" t="n">
        <v>2110101</v>
      </c>
      <c r="I854" s="12" t="s">
        <v>32</v>
      </c>
      <c r="J854" s="10" t="n">
        <v>1509300</v>
      </c>
      <c r="L854" s="10" t="n">
        <v>4468</v>
      </c>
      <c r="M854" s="12" t="s">
        <v>33</v>
      </c>
      <c r="N854" s="12" t="s">
        <v>40</v>
      </c>
      <c r="P854" s="10" t="n">
        <v>167</v>
      </c>
      <c r="Q854" s="12" t="s">
        <v>220</v>
      </c>
      <c r="R854" s="12" t="s">
        <v>36</v>
      </c>
      <c r="S854" s="10" t="n">
        <v>1130101</v>
      </c>
      <c r="T854" s="12" t="s">
        <v>37</v>
      </c>
      <c r="U854" s="13" t="n">
        <v>125</v>
      </c>
      <c r="W854" s="13" t="n">
        <v>0</v>
      </c>
      <c r="X854" s="12" t="s">
        <v>1002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36.75" hidden="false" customHeight="true" outlineLevel="0" collapsed="false">
      <c r="A855" s="10" t="n">
        <v>3</v>
      </c>
      <c r="B855" s="11" t="n">
        <v>46240</v>
      </c>
      <c r="C855" s="11" t="n">
        <v>46240</v>
      </c>
      <c r="D855" s="10" t="n">
        <v>239</v>
      </c>
      <c r="E855" s="12" t="s">
        <v>229</v>
      </c>
      <c r="F855" s="10" t="n">
        <v>34</v>
      </c>
      <c r="G855" s="12" t="s">
        <v>58</v>
      </c>
      <c r="H855" s="10" t="n">
        <v>2110405</v>
      </c>
      <c r="I855" s="12" t="s">
        <v>63</v>
      </c>
      <c r="J855" s="10" t="n">
        <v>1512818</v>
      </c>
      <c r="L855" s="10" t="n">
        <v>234774</v>
      </c>
      <c r="M855" s="12" t="s">
        <v>33</v>
      </c>
      <c r="N855" s="12" t="s">
        <v>34</v>
      </c>
      <c r="P855" s="10" t="n">
        <v>167</v>
      </c>
      <c r="Q855" s="12" t="s">
        <v>220</v>
      </c>
      <c r="R855" s="12" t="s">
        <v>137</v>
      </c>
      <c r="S855" s="10" t="n">
        <v>4210301</v>
      </c>
      <c r="T855" s="12" t="s">
        <v>357</v>
      </c>
      <c r="U855" s="13" t="n">
        <v>1165.68</v>
      </c>
      <c r="W855" s="13" t="n">
        <v>1165.68</v>
      </c>
      <c r="X855" s="12" t="s">
        <v>1003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</row>
    <row r="856" customFormat="false" ht="36.75" hidden="false" customHeight="true" outlineLevel="0" collapsed="false">
      <c r="A856" s="10" t="n">
        <v>3</v>
      </c>
      <c r="B856" s="11" t="n">
        <v>46240</v>
      </c>
      <c r="C856" s="11" t="n">
        <v>46240</v>
      </c>
      <c r="D856" s="10" t="n">
        <v>10070</v>
      </c>
      <c r="E856" s="12" t="s">
        <v>232</v>
      </c>
      <c r="F856" s="10" t="n">
        <v>34</v>
      </c>
      <c r="G856" s="12" t="s">
        <v>58</v>
      </c>
      <c r="H856" s="10" t="n">
        <v>2110405</v>
      </c>
      <c r="I856" s="12" t="s">
        <v>63</v>
      </c>
      <c r="J856" s="10" t="n">
        <v>1512825</v>
      </c>
      <c r="L856" s="10" t="n">
        <v>234778</v>
      </c>
      <c r="M856" s="12" t="s">
        <v>33</v>
      </c>
      <c r="N856" s="12" t="s">
        <v>34</v>
      </c>
      <c r="P856" s="10" t="n">
        <v>167</v>
      </c>
      <c r="Q856" s="12" t="s">
        <v>220</v>
      </c>
      <c r="R856" s="12" t="s">
        <v>137</v>
      </c>
      <c r="S856" s="10" t="n">
        <v>4210301</v>
      </c>
      <c r="T856" s="12" t="s">
        <v>357</v>
      </c>
      <c r="U856" s="13" t="n">
        <v>921.18</v>
      </c>
      <c r="W856" s="13" t="n">
        <v>921.18</v>
      </c>
      <c r="X856" s="12" t="s">
        <v>1003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</row>
    <row r="857" customFormat="false" ht="63.75" hidden="false" customHeight="true" outlineLevel="0" collapsed="false">
      <c r="A857" s="10" t="n">
        <v>3</v>
      </c>
      <c r="B857" s="11" t="n">
        <v>46240</v>
      </c>
      <c r="C857" s="11" t="n">
        <v>46240</v>
      </c>
      <c r="D857" s="10" t="n">
        <v>10053</v>
      </c>
      <c r="E857" s="12" t="s">
        <v>220</v>
      </c>
      <c r="F857" s="10" t="n">
        <v>34</v>
      </c>
      <c r="G857" s="12" t="s">
        <v>58</v>
      </c>
      <c r="H857" s="10" t="n">
        <v>2110405</v>
      </c>
      <c r="I857" s="12" t="s">
        <v>63</v>
      </c>
      <c r="J857" s="10" t="n">
        <v>1512834</v>
      </c>
      <c r="L857" s="10" t="n">
        <v>234780</v>
      </c>
      <c r="M857" s="12" t="s">
        <v>33</v>
      </c>
      <c r="N857" s="12" t="s">
        <v>34</v>
      </c>
      <c r="P857" s="10" t="n">
        <v>167</v>
      </c>
      <c r="Q857" s="12" t="s">
        <v>220</v>
      </c>
      <c r="R857" s="12" t="s">
        <v>137</v>
      </c>
      <c r="S857" s="10" t="n">
        <v>4210301</v>
      </c>
      <c r="T857" s="12" t="s">
        <v>357</v>
      </c>
      <c r="U857" s="13" t="n">
        <v>1076.05</v>
      </c>
      <c r="W857" s="13" t="n">
        <v>1076.05</v>
      </c>
      <c r="X857" s="12" t="s">
        <v>1003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0" t="n">
        <v>3</v>
      </c>
      <c r="B858" s="11" t="n">
        <v>46240</v>
      </c>
      <c r="C858" s="11" t="n">
        <v>46240</v>
      </c>
      <c r="D858" s="10" t="n">
        <v>389</v>
      </c>
      <c r="E858" s="12" t="s">
        <v>233</v>
      </c>
      <c r="F858" s="10" t="n">
        <v>34</v>
      </c>
      <c r="G858" s="12" t="s">
        <v>58</v>
      </c>
      <c r="H858" s="10" t="n">
        <v>2110405</v>
      </c>
      <c r="I858" s="12" t="s">
        <v>63</v>
      </c>
      <c r="J858" s="10" t="n">
        <v>1512843</v>
      </c>
      <c r="L858" s="10" t="n">
        <v>234781</v>
      </c>
      <c r="M858" s="12" t="s">
        <v>33</v>
      </c>
      <c r="N858" s="12" t="s">
        <v>34</v>
      </c>
      <c r="P858" s="10" t="n">
        <v>167</v>
      </c>
      <c r="Q858" s="12" t="s">
        <v>220</v>
      </c>
      <c r="R858" s="12" t="s">
        <v>137</v>
      </c>
      <c r="S858" s="10" t="n">
        <v>4210301</v>
      </c>
      <c r="T858" s="12" t="s">
        <v>357</v>
      </c>
      <c r="U858" s="13" t="n">
        <v>746.29</v>
      </c>
      <c r="W858" s="13" t="n">
        <v>746.29</v>
      </c>
      <c r="X858" s="12" t="s">
        <v>1003</v>
      </c>
      <c r="Z858" s="1" t="str">
        <f aca="false">IF($T858="","",IFERROR(INDEX('Resumo Grupos'!$AC$3:$AC$200,MATCH($T858,'Resumo Grupos'!$AB$3:$AB$200,0)),"n/d"))</f>
        <v>Salários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0" t="n">
        <v>3</v>
      </c>
      <c r="B859" s="11" t="n">
        <v>46240</v>
      </c>
      <c r="C859" s="11" t="n">
        <v>46240</v>
      </c>
      <c r="D859" s="10" t="n">
        <v>35</v>
      </c>
      <c r="E859" s="12" t="s">
        <v>35</v>
      </c>
      <c r="F859" s="10" t="n">
        <v>34</v>
      </c>
      <c r="G859" s="12" t="s">
        <v>58</v>
      </c>
      <c r="H859" s="10" t="n">
        <v>2110405</v>
      </c>
      <c r="I859" s="12" t="s">
        <v>63</v>
      </c>
      <c r="J859" s="10" t="n">
        <v>1512852</v>
      </c>
      <c r="L859" s="10" t="n">
        <v>234784</v>
      </c>
      <c r="M859" s="12" t="s">
        <v>33</v>
      </c>
      <c r="N859" s="12" t="s">
        <v>34</v>
      </c>
      <c r="P859" s="10" t="n">
        <v>167</v>
      </c>
      <c r="Q859" s="12" t="s">
        <v>220</v>
      </c>
      <c r="R859" s="12" t="s">
        <v>137</v>
      </c>
      <c r="S859" s="10" t="n">
        <v>4210301</v>
      </c>
      <c r="T859" s="12" t="s">
        <v>357</v>
      </c>
      <c r="U859" s="13" t="n">
        <v>1576.97</v>
      </c>
      <c r="W859" s="13" t="n">
        <v>1576.97</v>
      </c>
      <c r="X859" s="12" t="s">
        <v>1003</v>
      </c>
      <c r="Z859" s="1" t="str">
        <f aca="false">IF($T859="","",IFERROR(INDEX('Resumo Grupos'!$AC$3:$AC$200,MATCH($T859,'Resumo Grupos'!$AB$3:$AB$200,0)),"n/d"))</f>
        <v>Salários</v>
      </c>
      <c r="AA859" s="1" t="str">
        <f aca="false">IF($T859="","",IF(COUNTIF('Resumo Grupos'!$AE$3:$AE$40,$T859)&gt;0,"NAO","SIM"))</f>
        <v>SIM</v>
      </c>
    </row>
    <row r="860" customFormat="false" ht="36.75" hidden="false" customHeight="true" outlineLevel="0" collapsed="false">
      <c r="A860" s="10" t="n">
        <v>3</v>
      </c>
      <c r="B860" s="11" t="n">
        <v>46240</v>
      </c>
      <c r="C860" s="11" t="n">
        <v>46240</v>
      </c>
      <c r="D860" s="10" t="n">
        <v>41</v>
      </c>
      <c r="E860" s="12" t="s">
        <v>228</v>
      </c>
      <c r="F860" s="10" t="n">
        <v>34</v>
      </c>
      <c r="G860" s="12" t="s">
        <v>58</v>
      </c>
      <c r="H860" s="10" t="n">
        <v>2110405</v>
      </c>
      <c r="I860" s="12" t="s">
        <v>63</v>
      </c>
      <c r="J860" s="10" t="n">
        <v>1512854</v>
      </c>
      <c r="L860" s="10" t="n">
        <v>234785</v>
      </c>
      <c r="M860" s="12" t="s">
        <v>33</v>
      </c>
      <c r="N860" s="12" t="s">
        <v>34</v>
      </c>
      <c r="P860" s="10" t="n">
        <v>167</v>
      </c>
      <c r="Q860" s="12" t="s">
        <v>220</v>
      </c>
      <c r="R860" s="12" t="s">
        <v>137</v>
      </c>
      <c r="S860" s="10" t="n">
        <v>4210301</v>
      </c>
      <c r="T860" s="12" t="s">
        <v>357</v>
      </c>
      <c r="U860" s="13" t="n">
        <v>854.15</v>
      </c>
      <c r="W860" s="13" t="n">
        <v>854.15</v>
      </c>
      <c r="X860" s="12" t="s">
        <v>1003</v>
      </c>
      <c r="Z860" s="1" t="str">
        <f aca="false">IF($T860="","",IFERROR(INDEX('Resumo Grupos'!$AC$3:$AC$200,MATCH($T860,'Resumo Grupos'!$AB$3:$AB$200,0)),"n/d"))</f>
        <v>Salários</v>
      </c>
      <c r="AA860" s="1" t="str">
        <f aca="false">IF($T860="","",IF(COUNTIF('Resumo Grupos'!$AE$3:$AE$40,$T860)&gt;0,"NAO","SIM"))</f>
        <v>SIM</v>
      </c>
    </row>
    <row r="861" customFormat="false" ht="36.75" hidden="false" customHeight="true" outlineLevel="0" collapsed="false">
      <c r="A861" s="10" t="n">
        <v>3</v>
      </c>
      <c r="B861" s="11" t="n">
        <v>46240</v>
      </c>
      <c r="C861" s="11" t="n">
        <v>46240</v>
      </c>
      <c r="D861" s="10" t="n">
        <v>313</v>
      </c>
      <c r="E861" s="12" t="s">
        <v>234</v>
      </c>
      <c r="F861" s="10" t="n">
        <v>34</v>
      </c>
      <c r="G861" s="12" t="s">
        <v>58</v>
      </c>
      <c r="H861" s="10" t="n">
        <v>2110405</v>
      </c>
      <c r="I861" s="12" t="s">
        <v>63</v>
      </c>
      <c r="J861" s="10" t="n">
        <v>1512856</v>
      </c>
      <c r="L861" s="10" t="n">
        <v>234786</v>
      </c>
      <c r="M861" s="12" t="s">
        <v>33</v>
      </c>
      <c r="N861" s="12" t="s">
        <v>34</v>
      </c>
      <c r="P861" s="10" t="n">
        <v>167</v>
      </c>
      <c r="Q861" s="12" t="s">
        <v>220</v>
      </c>
      <c r="R861" s="12" t="s">
        <v>137</v>
      </c>
      <c r="S861" s="10" t="n">
        <v>4210301</v>
      </c>
      <c r="T861" s="12" t="s">
        <v>357</v>
      </c>
      <c r="U861" s="13" t="n">
        <v>997.07</v>
      </c>
      <c r="W861" s="13" t="n">
        <v>997.07</v>
      </c>
      <c r="X861" s="12" t="s">
        <v>1003</v>
      </c>
      <c r="Z861" s="1" t="str">
        <f aca="false">IF($T861="","",IFERROR(INDEX('Resumo Grupos'!$AC$3:$AC$200,MATCH($T861,'Resumo Grupos'!$AB$3:$AB$200,0)),"n/d"))</f>
        <v>Salários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0" t="n">
        <v>3</v>
      </c>
      <c r="B862" s="11" t="n">
        <v>46240</v>
      </c>
      <c r="C862" s="11" t="n">
        <v>46240</v>
      </c>
      <c r="D862" s="10" t="n">
        <v>83</v>
      </c>
      <c r="E862" s="12" t="s">
        <v>60</v>
      </c>
      <c r="F862" s="10" t="n">
        <v>34</v>
      </c>
      <c r="G862" s="12" t="s">
        <v>58</v>
      </c>
      <c r="H862" s="10" t="n">
        <v>2110405</v>
      </c>
      <c r="I862" s="12" t="s">
        <v>63</v>
      </c>
      <c r="J862" s="10" t="n">
        <v>1512863</v>
      </c>
      <c r="L862" s="10" t="n">
        <v>234787</v>
      </c>
      <c r="M862" s="12" t="s">
        <v>33</v>
      </c>
      <c r="N862" s="12" t="s">
        <v>34</v>
      </c>
      <c r="P862" s="10" t="n">
        <v>167</v>
      </c>
      <c r="Q862" s="12" t="s">
        <v>220</v>
      </c>
      <c r="R862" s="12" t="s">
        <v>137</v>
      </c>
      <c r="S862" s="10" t="n">
        <v>4210301</v>
      </c>
      <c r="T862" s="12" t="s">
        <v>357</v>
      </c>
      <c r="U862" s="13" t="n">
        <v>67.54</v>
      </c>
      <c r="W862" s="13" t="n">
        <v>67.54</v>
      </c>
      <c r="X862" s="12" t="s">
        <v>1003</v>
      </c>
      <c r="Z862" s="1" t="str">
        <f aca="false">IF($T862="","",IFERROR(INDEX('Resumo Grupos'!$AC$3:$AC$200,MATCH($T862,'Resumo Grupos'!$AB$3:$AB$200,0)),"n/d"))</f>
        <v>Salários</v>
      </c>
      <c r="AA862" s="1" t="str">
        <f aca="false">IF($T862="","",IF(COUNTIF('Resumo Grupos'!$AE$3:$AE$40,$T862)&gt;0,"NAO","SIM"))</f>
        <v>SIM</v>
      </c>
    </row>
    <row r="863" customFormat="false" ht="36.75" hidden="false" customHeight="true" outlineLevel="0" collapsed="false">
      <c r="A863" s="10" t="n">
        <v>3</v>
      </c>
      <c r="B863" s="11" t="n">
        <v>46240</v>
      </c>
      <c r="C863" s="11" t="n">
        <v>46240</v>
      </c>
      <c r="D863" s="10" t="n">
        <v>320</v>
      </c>
      <c r="E863" s="12" t="s">
        <v>237</v>
      </c>
      <c r="F863" s="10" t="n">
        <v>34</v>
      </c>
      <c r="G863" s="12" t="s">
        <v>58</v>
      </c>
      <c r="H863" s="10" t="n">
        <v>2110405</v>
      </c>
      <c r="I863" s="12" t="s">
        <v>63</v>
      </c>
      <c r="J863" s="10" t="n">
        <v>1512867</v>
      </c>
      <c r="L863" s="10" t="n">
        <v>234789</v>
      </c>
      <c r="M863" s="12" t="s">
        <v>33</v>
      </c>
      <c r="N863" s="12" t="s">
        <v>34</v>
      </c>
      <c r="P863" s="10" t="n">
        <v>167</v>
      </c>
      <c r="Q863" s="12" t="s">
        <v>220</v>
      </c>
      <c r="R863" s="12" t="s">
        <v>137</v>
      </c>
      <c r="S863" s="10" t="n">
        <v>4210301</v>
      </c>
      <c r="T863" s="12" t="s">
        <v>357</v>
      </c>
      <c r="U863" s="13" t="n">
        <v>864.82</v>
      </c>
      <c r="W863" s="13" t="n">
        <v>864.82</v>
      </c>
      <c r="X863" s="12" t="s">
        <v>1003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</row>
    <row r="864" customFormat="false" ht="36.75" hidden="false" customHeight="true" outlineLevel="0" collapsed="false">
      <c r="A864" s="10" t="n">
        <v>3</v>
      </c>
      <c r="B864" s="11" t="n">
        <v>46240</v>
      </c>
      <c r="C864" s="11" t="n">
        <v>46240</v>
      </c>
      <c r="D864" s="10" t="n">
        <v>332</v>
      </c>
      <c r="E864" s="12" t="s">
        <v>235</v>
      </c>
      <c r="F864" s="10" t="n">
        <v>34</v>
      </c>
      <c r="G864" s="12" t="s">
        <v>58</v>
      </c>
      <c r="H864" s="10" t="n">
        <v>2110405</v>
      </c>
      <c r="I864" s="12" t="s">
        <v>63</v>
      </c>
      <c r="J864" s="10" t="n">
        <v>1512870</v>
      </c>
      <c r="L864" s="10" t="n">
        <v>234790</v>
      </c>
      <c r="M864" s="12" t="s">
        <v>33</v>
      </c>
      <c r="N864" s="12" t="s">
        <v>34</v>
      </c>
      <c r="P864" s="10" t="n">
        <v>167</v>
      </c>
      <c r="Q864" s="12" t="s">
        <v>220</v>
      </c>
      <c r="R864" s="12" t="s">
        <v>137</v>
      </c>
      <c r="S864" s="10" t="n">
        <v>4210301</v>
      </c>
      <c r="T864" s="12" t="s">
        <v>357</v>
      </c>
      <c r="U864" s="13" t="n">
        <v>658.49</v>
      </c>
      <c r="W864" s="13" t="n">
        <v>658.49</v>
      </c>
      <c r="X864" s="12" t="s">
        <v>1003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36.75" hidden="false" customHeight="true" outlineLevel="0" collapsed="false">
      <c r="A865" s="10" t="n">
        <v>3</v>
      </c>
      <c r="B865" s="11" t="n">
        <v>46240</v>
      </c>
      <c r="C865" s="11" t="n">
        <v>46240</v>
      </c>
      <c r="D865" s="10" t="n">
        <v>10072</v>
      </c>
      <c r="E865" s="12" t="s">
        <v>271</v>
      </c>
      <c r="F865" s="10" t="n">
        <v>34</v>
      </c>
      <c r="G865" s="12" t="s">
        <v>58</v>
      </c>
      <c r="H865" s="10" t="n">
        <v>2110405</v>
      </c>
      <c r="I865" s="12" t="s">
        <v>63</v>
      </c>
      <c r="J865" s="10" t="n">
        <v>1512874</v>
      </c>
      <c r="L865" s="10" t="n">
        <v>234792</v>
      </c>
      <c r="M865" s="12" t="s">
        <v>33</v>
      </c>
      <c r="N865" s="12" t="s">
        <v>34</v>
      </c>
      <c r="P865" s="10" t="n">
        <v>167</v>
      </c>
      <c r="Q865" s="12" t="s">
        <v>220</v>
      </c>
      <c r="R865" s="12" t="s">
        <v>137</v>
      </c>
      <c r="S865" s="10" t="n">
        <v>4210301</v>
      </c>
      <c r="T865" s="12" t="s">
        <v>357</v>
      </c>
      <c r="U865" s="13" t="n">
        <v>1261.72</v>
      </c>
      <c r="W865" s="13" t="n">
        <v>1261.72</v>
      </c>
      <c r="X865" s="12" t="s">
        <v>1003</v>
      </c>
      <c r="Z865" s="1" t="str">
        <f aca="false">IF($T865="","",IFERROR(INDEX('Resumo Grupos'!$AC$3:$AC$200,MATCH($T865,'Resumo Grupos'!$AB$3:$AB$200,0)),"n/d"))</f>
        <v>Salários</v>
      </c>
      <c r="AA865" s="1" t="str">
        <f aca="false">IF($T865="","",IF(COUNTIF('Resumo Grupos'!$AE$3:$AE$40,$T865)&gt;0,"NAO","SIM"))</f>
        <v>SIM</v>
      </c>
    </row>
    <row r="866" customFormat="false" ht="45.75" hidden="false" customHeight="true" outlineLevel="0" collapsed="false">
      <c r="A866" s="10" t="n">
        <v>3</v>
      </c>
      <c r="B866" s="11" t="n">
        <v>46240</v>
      </c>
      <c r="C866" s="11" t="n">
        <v>46240</v>
      </c>
      <c r="D866" s="10" t="n">
        <v>200</v>
      </c>
      <c r="E866" s="12" t="s">
        <v>231</v>
      </c>
      <c r="F866" s="10" t="n">
        <v>34</v>
      </c>
      <c r="G866" s="12" t="s">
        <v>58</v>
      </c>
      <c r="H866" s="10" t="n">
        <v>2110405</v>
      </c>
      <c r="I866" s="12" t="s">
        <v>63</v>
      </c>
      <c r="J866" s="10" t="n">
        <v>1512879</v>
      </c>
      <c r="L866" s="10" t="n">
        <v>234794</v>
      </c>
      <c r="M866" s="12" t="s">
        <v>33</v>
      </c>
      <c r="N866" s="12" t="s">
        <v>34</v>
      </c>
      <c r="P866" s="10" t="n">
        <v>167</v>
      </c>
      <c r="Q866" s="12" t="s">
        <v>220</v>
      </c>
      <c r="R866" s="12" t="s">
        <v>137</v>
      </c>
      <c r="S866" s="10" t="n">
        <v>4210301</v>
      </c>
      <c r="T866" s="12" t="s">
        <v>357</v>
      </c>
      <c r="U866" s="13" t="n">
        <v>1170.71</v>
      </c>
      <c r="W866" s="13" t="n">
        <v>1170.71</v>
      </c>
      <c r="X866" s="12" t="s">
        <v>1003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</row>
    <row r="867" customFormat="false" ht="45.75" hidden="false" customHeight="true" outlineLevel="0" collapsed="false">
      <c r="A867" s="10" t="n">
        <v>3</v>
      </c>
      <c r="B867" s="11" t="n">
        <v>46240</v>
      </c>
      <c r="C867" s="11" t="n">
        <v>46240</v>
      </c>
      <c r="D867" s="10" t="n">
        <v>32</v>
      </c>
      <c r="E867" s="12" t="s">
        <v>361</v>
      </c>
      <c r="F867" s="10" t="n">
        <v>7</v>
      </c>
      <c r="G867" s="12" t="s">
        <v>359</v>
      </c>
      <c r="H867" s="10" t="n">
        <v>2110405</v>
      </c>
      <c r="I867" s="12" t="s">
        <v>63</v>
      </c>
      <c r="J867" s="10" t="n">
        <v>1512894</v>
      </c>
      <c r="L867" s="10" t="n">
        <v>234801</v>
      </c>
      <c r="M867" s="12" t="s">
        <v>33</v>
      </c>
      <c r="N867" s="12" t="s">
        <v>34</v>
      </c>
      <c r="P867" s="10" t="n">
        <v>167</v>
      </c>
      <c r="Q867" s="12" t="s">
        <v>220</v>
      </c>
      <c r="R867" s="12" t="s">
        <v>137</v>
      </c>
      <c r="S867" s="10" t="n">
        <v>4210301</v>
      </c>
      <c r="T867" s="12" t="s">
        <v>357</v>
      </c>
      <c r="U867" s="13" t="n">
        <v>1066.32</v>
      </c>
      <c r="W867" s="13" t="n">
        <v>0</v>
      </c>
      <c r="X867" s="12" t="s">
        <v>1004</v>
      </c>
      <c r="Z867" s="1" t="str">
        <f aca="false">IF($T867="","",IFERROR(INDEX('Resumo Grupos'!$AC$3:$AC$200,MATCH($T867,'Resumo Grupos'!$AB$3:$AB$200,0)),"n/d"))</f>
        <v>Salários</v>
      </c>
      <c r="AA867" s="1" t="str">
        <f aca="false">IF($T867="","",IF(COUNTIF('Resumo Grupos'!$AE$3:$AE$40,$T867)&gt;0,"NAO","SIM"))</f>
        <v>SIM</v>
      </c>
    </row>
    <row r="868" customFormat="false" ht="45.75" hidden="false" customHeight="true" outlineLevel="0" collapsed="false">
      <c r="A868" s="10" t="n">
        <v>3</v>
      </c>
      <c r="B868" s="11" t="n">
        <v>46240</v>
      </c>
      <c r="C868" s="11" t="n">
        <v>46240</v>
      </c>
      <c r="D868" s="10" t="n">
        <v>239</v>
      </c>
      <c r="E868" s="12" t="s">
        <v>229</v>
      </c>
      <c r="F868" s="10" t="n">
        <v>7</v>
      </c>
      <c r="G868" s="12" t="s">
        <v>359</v>
      </c>
      <c r="H868" s="10" t="n">
        <v>2110405</v>
      </c>
      <c r="I868" s="12" t="s">
        <v>63</v>
      </c>
      <c r="J868" s="10" t="n">
        <v>1512896</v>
      </c>
      <c r="L868" s="10" t="n">
        <v>234804</v>
      </c>
      <c r="M868" s="12" t="s">
        <v>33</v>
      </c>
      <c r="N868" s="12" t="s">
        <v>34</v>
      </c>
      <c r="P868" s="10" t="n">
        <v>167</v>
      </c>
      <c r="Q868" s="12" t="s">
        <v>220</v>
      </c>
      <c r="R868" s="12" t="s">
        <v>137</v>
      </c>
      <c r="S868" s="10" t="n">
        <v>4210301</v>
      </c>
      <c r="T868" s="12" t="s">
        <v>357</v>
      </c>
      <c r="U868" s="13" t="n">
        <v>498.56</v>
      </c>
      <c r="W868" s="13" t="n">
        <v>0</v>
      </c>
      <c r="X868" s="12" t="s">
        <v>1004</v>
      </c>
      <c r="Z868" s="1" t="str">
        <f aca="false">IF($T868="","",IFERROR(INDEX('Resumo Grupos'!$AC$3:$AC$200,MATCH($T868,'Resumo Grupos'!$AB$3:$AB$200,0)),"n/d"))</f>
        <v>Salários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3</v>
      </c>
      <c r="B869" s="11" t="n">
        <v>46240</v>
      </c>
      <c r="C869" s="11" t="n">
        <v>46240</v>
      </c>
      <c r="D869" s="10" t="n">
        <v>10070</v>
      </c>
      <c r="E869" s="12" t="s">
        <v>232</v>
      </c>
      <c r="F869" s="10" t="n">
        <v>7</v>
      </c>
      <c r="G869" s="12" t="s">
        <v>359</v>
      </c>
      <c r="H869" s="10" t="n">
        <v>2110405</v>
      </c>
      <c r="I869" s="12" t="s">
        <v>63</v>
      </c>
      <c r="J869" s="10" t="n">
        <v>1512898</v>
      </c>
      <c r="L869" s="10" t="n">
        <v>234805</v>
      </c>
      <c r="M869" s="12" t="s">
        <v>33</v>
      </c>
      <c r="N869" s="12" t="s">
        <v>34</v>
      </c>
      <c r="P869" s="10" t="n">
        <v>167</v>
      </c>
      <c r="Q869" s="12" t="s">
        <v>220</v>
      </c>
      <c r="R869" s="12" t="s">
        <v>137</v>
      </c>
      <c r="S869" s="10" t="n">
        <v>4210301</v>
      </c>
      <c r="T869" s="12" t="s">
        <v>357</v>
      </c>
      <c r="U869" s="13" t="n">
        <v>743.06</v>
      </c>
      <c r="W869" s="13" t="n">
        <v>0</v>
      </c>
      <c r="X869" s="12" t="s">
        <v>1004</v>
      </c>
      <c r="Z869" s="1" t="str">
        <f aca="false">IF($T869="","",IFERROR(INDEX('Resumo Grupos'!$AC$3:$AC$200,MATCH($T869,'Resumo Grupos'!$AB$3:$AB$200,0)),"n/d"))</f>
        <v>Salários</v>
      </c>
      <c r="AA869" s="1" t="str">
        <f aca="false">IF($T869="","",IF(COUNTIF('Resumo Grupos'!$AE$3:$AE$40,$T869)&gt;0,"NAO","SIM"))</f>
        <v>SIM</v>
      </c>
    </row>
    <row r="870" customFormat="false" ht="36.75" hidden="false" customHeight="true" outlineLevel="0" collapsed="false">
      <c r="A870" s="10" t="n">
        <v>3</v>
      </c>
      <c r="B870" s="11" t="n">
        <v>46240</v>
      </c>
      <c r="C870" s="11" t="n">
        <v>46240</v>
      </c>
      <c r="D870" s="10" t="n">
        <v>10053</v>
      </c>
      <c r="E870" s="12" t="s">
        <v>220</v>
      </c>
      <c r="F870" s="10" t="n">
        <v>7</v>
      </c>
      <c r="G870" s="12" t="s">
        <v>359</v>
      </c>
      <c r="H870" s="10" t="n">
        <v>2110405</v>
      </c>
      <c r="I870" s="12" t="s">
        <v>63</v>
      </c>
      <c r="J870" s="10" t="n">
        <v>1512901</v>
      </c>
      <c r="L870" s="10" t="n">
        <v>234806</v>
      </c>
      <c r="M870" s="12" t="s">
        <v>33</v>
      </c>
      <c r="N870" s="12" t="s">
        <v>34</v>
      </c>
      <c r="P870" s="10" t="n">
        <v>167</v>
      </c>
      <c r="Q870" s="12" t="s">
        <v>220</v>
      </c>
      <c r="R870" s="12" t="s">
        <v>137</v>
      </c>
      <c r="S870" s="10" t="n">
        <v>4210301</v>
      </c>
      <c r="T870" s="12" t="s">
        <v>357</v>
      </c>
      <c r="U870" s="13" t="n">
        <v>562.81</v>
      </c>
      <c r="W870" s="13" t="n">
        <v>0</v>
      </c>
      <c r="X870" s="12" t="s">
        <v>1004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3</v>
      </c>
      <c r="B871" s="11" t="n">
        <v>46240</v>
      </c>
      <c r="C871" s="11" t="n">
        <v>46240</v>
      </c>
      <c r="D871" s="10" t="n">
        <v>389</v>
      </c>
      <c r="E871" s="12" t="s">
        <v>233</v>
      </c>
      <c r="F871" s="10" t="n">
        <v>7</v>
      </c>
      <c r="G871" s="12" t="s">
        <v>359</v>
      </c>
      <c r="H871" s="10" t="n">
        <v>2110405</v>
      </c>
      <c r="I871" s="12" t="s">
        <v>63</v>
      </c>
      <c r="J871" s="10" t="n">
        <v>1512908</v>
      </c>
      <c r="L871" s="10" t="n">
        <v>234808</v>
      </c>
      <c r="M871" s="12" t="s">
        <v>33</v>
      </c>
      <c r="N871" s="12" t="s">
        <v>34</v>
      </c>
      <c r="P871" s="10" t="n">
        <v>167</v>
      </c>
      <c r="Q871" s="12" t="s">
        <v>220</v>
      </c>
      <c r="R871" s="12" t="s">
        <v>137</v>
      </c>
      <c r="S871" s="10" t="n">
        <v>4210301</v>
      </c>
      <c r="T871" s="12" t="s">
        <v>357</v>
      </c>
      <c r="U871" s="13" t="n">
        <v>444.15</v>
      </c>
      <c r="W871" s="13" t="n">
        <v>0</v>
      </c>
      <c r="X871" s="12" t="s">
        <v>1004</v>
      </c>
      <c r="Z871" s="1" t="str">
        <f aca="false">IF($T871="","",IFERROR(INDEX('Resumo Grupos'!$AC$3:$AC$200,MATCH($T871,'Resumo Grupos'!$AB$3:$AB$200,0)),"n/d"))</f>
        <v>Salários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3</v>
      </c>
      <c r="B872" s="11" t="n">
        <v>46240</v>
      </c>
      <c r="C872" s="11" t="n">
        <v>46240</v>
      </c>
      <c r="D872" s="10" t="n">
        <v>41</v>
      </c>
      <c r="E872" s="12" t="s">
        <v>228</v>
      </c>
      <c r="F872" s="10" t="n">
        <v>7</v>
      </c>
      <c r="G872" s="12" t="s">
        <v>359</v>
      </c>
      <c r="H872" s="10" t="n">
        <v>2110405</v>
      </c>
      <c r="I872" s="12" t="s">
        <v>63</v>
      </c>
      <c r="J872" s="10" t="n">
        <v>1512910</v>
      </c>
      <c r="L872" s="10" t="n">
        <v>234810</v>
      </c>
      <c r="M872" s="12" t="s">
        <v>33</v>
      </c>
      <c r="N872" s="12" t="s">
        <v>34</v>
      </c>
      <c r="P872" s="10" t="n">
        <v>167</v>
      </c>
      <c r="Q872" s="12" t="s">
        <v>220</v>
      </c>
      <c r="R872" s="12" t="s">
        <v>137</v>
      </c>
      <c r="S872" s="10" t="n">
        <v>4210301</v>
      </c>
      <c r="T872" s="12" t="s">
        <v>357</v>
      </c>
      <c r="U872" s="13" t="n">
        <v>638.88</v>
      </c>
      <c r="W872" s="13" t="n">
        <v>0</v>
      </c>
      <c r="X872" s="12" t="s">
        <v>1004</v>
      </c>
      <c r="Z872" s="1" t="str">
        <f aca="false">IF($T872="","",IFERROR(INDEX('Resumo Grupos'!$AC$3:$AC$200,MATCH($T872,'Resumo Grupos'!$AB$3:$AB$200,0)),"n/d"))</f>
        <v>Salários</v>
      </c>
      <c r="AA872" s="1" t="str">
        <f aca="false">IF($T872="","",IF(COUNTIF('Resumo Grupos'!$AE$3:$AE$40,$T872)&gt;0,"NAO","SIM"))</f>
        <v>SIM</v>
      </c>
    </row>
    <row r="873" customFormat="false" ht="45.75" hidden="false" customHeight="true" outlineLevel="0" collapsed="false">
      <c r="A873" s="10" t="n">
        <v>3</v>
      </c>
      <c r="B873" s="11" t="n">
        <v>46240</v>
      </c>
      <c r="C873" s="11" t="n">
        <v>46240</v>
      </c>
      <c r="D873" s="10" t="n">
        <v>313</v>
      </c>
      <c r="E873" s="12" t="s">
        <v>234</v>
      </c>
      <c r="F873" s="10" t="n">
        <v>7</v>
      </c>
      <c r="G873" s="12" t="s">
        <v>359</v>
      </c>
      <c r="H873" s="10" t="n">
        <v>2110405</v>
      </c>
      <c r="I873" s="12" t="s">
        <v>63</v>
      </c>
      <c r="J873" s="10" t="n">
        <v>1512911</v>
      </c>
      <c r="L873" s="10" t="n">
        <v>234811</v>
      </c>
      <c r="M873" s="12" t="s">
        <v>33</v>
      </c>
      <c r="N873" s="12" t="s">
        <v>34</v>
      </c>
      <c r="P873" s="10" t="n">
        <v>167</v>
      </c>
      <c r="Q873" s="12" t="s">
        <v>220</v>
      </c>
      <c r="R873" s="12" t="s">
        <v>137</v>
      </c>
      <c r="S873" s="10" t="n">
        <v>4210301</v>
      </c>
      <c r="T873" s="12" t="s">
        <v>357</v>
      </c>
      <c r="U873" s="13" t="n">
        <v>494.97</v>
      </c>
      <c r="W873" s="13" t="n">
        <v>0</v>
      </c>
      <c r="X873" s="12" t="s">
        <v>1004</v>
      </c>
      <c r="Z873" s="1" t="str">
        <f aca="false">IF($T873="","",IFERROR(INDEX('Resumo Grupos'!$AC$3:$AC$200,MATCH($T873,'Resumo Grupos'!$AB$3:$AB$200,0)),"n/d"))</f>
        <v>Salários</v>
      </c>
      <c r="AA873" s="1" t="str">
        <f aca="false">IF($T873="","",IF(COUNTIF('Resumo Grupos'!$AE$3:$AE$40,$T873)&gt;0,"NAO","SIM"))</f>
        <v>SIM</v>
      </c>
    </row>
    <row r="874" customFormat="false" ht="36.75" hidden="false" customHeight="true" outlineLevel="0" collapsed="false">
      <c r="A874" s="10" t="n">
        <v>3</v>
      </c>
      <c r="B874" s="11" t="n">
        <v>46240</v>
      </c>
      <c r="C874" s="11" t="n">
        <v>46240</v>
      </c>
      <c r="D874" s="10" t="n">
        <v>320</v>
      </c>
      <c r="E874" s="12" t="s">
        <v>237</v>
      </c>
      <c r="F874" s="10" t="n">
        <v>7</v>
      </c>
      <c r="G874" s="12" t="s">
        <v>359</v>
      </c>
      <c r="H874" s="10" t="n">
        <v>2110405</v>
      </c>
      <c r="I874" s="12" t="s">
        <v>63</v>
      </c>
      <c r="J874" s="10" t="n">
        <v>1512914</v>
      </c>
      <c r="L874" s="10" t="n">
        <v>234813</v>
      </c>
      <c r="M874" s="12" t="s">
        <v>33</v>
      </c>
      <c r="N874" s="12" t="s">
        <v>34</v>
      </c>
      <c r="P874" s="10" t="n">
        <v>167</v>
      </c>
      <c r="Q874" s="12" t="s">
        <v>220</v>
      </c>
      <c r="R874" s="12" t="s">
        <v>137</v>
      </c>
      <c r="S874" s="10" t="n">
        <v>4210301</v>
      </c>
      <c r="T874" s="12" t="s">
        <v>357</v>
      </c>
      <c r="U874" s="13" t="n">
        <v>540.15</v>
      </c>
      <c r="W874" s="13" t="n">
        <v>0</v>
      </c>
      <c r="X874" s="12" t="s">
        <v>1004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36.75" hidden="false" customHeight="true" outlineLevel="0" collapsed="false">
      <c r="A875" s="10" t="n">
        <v>3</v>
      </c>
      <c r="B875" s="11" t="n">
        <v>46240</v>
      </c>
      <c r="C875" s="11" t="n">
        <v>46240</v>
      </c>
      <c r="D875" s="10" t="n">
        <v>332</v>
      </c>
      <c r="E875" s="12" t="s">
        <v>235</v>
      </c>
      <c r="F875" s="10" t="n">
        <v>7</v>
      </c>
      <c r="G875" s="12" t="s">
        <v>359</v>
      </c>
      <c r="H875" s="10" t="n">
        <v>2110405</v>
      </c>
      <c r="I875" s="12" t="s">
        <v>63</v>
      </c>
      <c r="J875" s="10" t="n">
        <v>1512919</v>
      </c>
      <c r="L875" s="10" t="n">
        <v>234814</v>
      </c>
      <c r="M875" s="12" t="s">
        <v>33</v>
      </c>
      <c r="N875" s="12" t="s">
        <v>34</v>
      </c>
      <c r="P875" s="10" t="n">
        <v>167</v>
      </c>
      <c r="Q875" s="12" t="s">
        <v>220</v>
      </c>
      <c r="R875" s="12" t="s">
        <v>137</v>
      </c>
      <c r="S875" s="10" t="n">
        <v>4210301</v>
      </c>
      <c r="T875" s="12" t="s">
        <v>357</v>
      </c>
      <c r="U875" s="13" t="n">
        <v>532.51</v>
      </c>
      <c r="W875" s="13" t="n">
        <v>0</v>
      </c>
      <c r="X875" s="12" t="s">
        <v>1004</v>
      </c>
      <c r="Z875" s="1" t="str">
        <f aca="false">IF($T875="","",IFERROR(INDEX('Resumo Grupos'!$AC$3:$AC$200,MATCH($T875,'Resumo Grupos'!$AB$3:$AB$200,0)),"n/d"))</f>
        <v>Salários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3</v>
      </c>
      <c r="B876" s="11" t="n">
        <v>46240</v>
      </c>
      <c r="C876" s="11" t="n">
        <v>46240</v>
      </c>
      <c r="D876" s="10" t="n">
        <v>10072</v>
      </c>
      <c r="E876" s="12" t="s">
        <v>271</v>
      </c>
      <c r="F876" s="10" t="n">
        <v>7</v>
      </c>
      <c r="G876" s="12" t="s">
        <v>359</v>
      </c>
      <c r="H876" s="10" t="n">
        <v>2110405</v>
      </c>
      <c r="I876" s="12" t="s">
        <v>63</v>
      </c>
      <c r="J876" s="10" t="n">
        <v>1512924</v>
      </c>
      <c r="L876" s="10" t="n">
        <v>234815</v>
      </c>
      <c r="M876" s="12" t="s">
        <v>33</v>
      </c>
      <c r="N876" s="12" t="s">
        <v>34</v>
      </c>
      <c r="P876" s="10" t="n">
        <v>167</v>
      </c>
      <c r="Q876" s="12" t="s">
        <v>220</v>
      </c>
      <c r="R876" s="12" t="s">
        <v>137</v>
      </c>
      <c r="S876" s="10" t="n">
        <v>4210301</v>
      </c>
      <c r="T876" s="12" t="s">
        <v>357</v>
      </c>
      <c r="U876" s="13" t="n">
        <v>396.5</v>
      </c>
      <c r="W876" s="13" t="n">
        <v>0</v>
      </c>
      <c r="X876" s="12" t="s">
        <v>1004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</row>
    <row r="877" customFormat="false" ht="45.75" hidden="false" customHeight="true" outlineLevel="0" collapsed="false">
      <c r="A877" s="10" t="n">
        <v>3</v>
      </c>
      <c r="B877" s="11" t="n">
        <v>46240</v>
      </c>
      <c r="C877" s="11" t="n">
        <v>46240</v>
      </c>
      <c r="D877" s="10" t="n">
        <v>200</v>
      </c>
      <c r="E877" s="12" t="s">
        <v>231</v>
      </c>
      <c r="F877" s="10" t="n">
        <v>7</v>
      </c>
      <c r="G877" s="12" t="s">
        <v>359</v>
      </c>
      <c r="H877" s="10" t="n">
        <v>2110405</v>
      </c>
      <c r="I877" s="12" t="s">
        <v>63</v>
      </c>
      <c r="J877" s="10" t="n">
        <v>1512947</v>
      </c>
      <c r="L877" s="10" t="n">
        <v>234820</v>
      </c>
      <c r="M877" s="12" t="s">
        <v>33</v>
      </c>
      <c r="N877" s="12" t="s">
        <v>34</v>
      </c>
      <c r="P877" s="10" t="n">
        <v>167</v>
      </c>
      <c r="Q877" s="12" t="s">
        <v>220</v>
      </c>
      <c r="R877" s="12" t="s">
        <v>137</v>
      </c>
      <c r="S877" s="10" t="n">
        <v>4210301</v>
      </c>
      <c r="T877" s="12" t="s">
        <v>357</v>
      </c>
      <c r="U877" s="13" t="n">
        <v>150.3</v>
      </c>
      <c r="W877" s="13" t="n">
        <v>0</v>
      </c>
      <c r="X877" s="12" t="s">
        <v>1005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3</v>
      </c>
      <c r="B878" s="11" t="n">
        <v>46240</v>
      </c>
      <c r="C878" s="11" t="n">
        <v>46240</v>
      </c>
      <c r="D878" s="10" t="n">
        <v>10070</v>
      </c>
      <c r="E878" s="12" t="s">
        <v>232</v>
      </c>
      <c r="F878" s="10" t="n">
        <v>34</v>
      </c>
      <c r="G878" s="12" t="s">
        <v>58</v>
      </c>
      <c r="H878" s="10" t="n">
        <v>2110405</v>
      </c>
      <c r="I878" s="12" t="s">
        <v>63</v>
      </c>
      <c r="J878" s="10" t="n">
        <v>1512978</v>
      </c>
      <c r="L878" s="10" t="n">
        <v>234824</v>
      </c>
      <c r="M878" s="12" t="s">
        <v>33</v>
      </c>
      <c r="N878" s="12" t="s">
        <v>34</v>
      </c>
      <c r="P878" s="10" t="n">
        <v>167</v>
      </c>
      <c r="Q878" s="12" t="s">
        <v>220</v>
      </c>
      <c r="R878" s="12" t="s">
        <v>137</v>
      </c>
      <c r="S878" s="10" t="n">
        <v>4210301</v>
      </c>
      <c r="T878" s="12" t="s">
        <v>357</v>
      </c>
      <c r="U878" s="13" t="n">
        <v>59.19</v>
      </c>
      <c r="W878" s="13" t="n">
        <v>59.19</v>
      </c>
      <c r="X878" s="12" t="s">
        <v>1006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</row>
    <row r="879" customFormat="false" ht="45.75" hidden="false" customHeight="true" outlineLevel="0" collapsed="false">
      <c r="A879" s="10" t="n">
        <v>3</v>
      </c>
      <c r="B879" s="11" t="n">
        <v>46212</v>
      </c>
      <c r="C879" s="11" t="n">
        <v>46241</v>
      </c>
      <c r="D879" s="10" t="n">
        <v>1816</v>
      </c>
      <c r="E879" s="12" t="s">
        <v>83</v>
      </c>
      <c r="F879" s="10" t="n">
        <v>24</v>
      </c>
      <c r="G879" s="12" t="s">
        <v>31</v>
      </c>
      <c r="H879" s="10" t="n">
        <v>2110405</v>
      </c>
      <c r="I879" s="12" t="s">
        <v>63</v>
      </c>
      <c r="J879" s="10" t="n">
        <v>1392493</v>
      </c>
      <c r="L879" s="10" t="n">
        <v>3333643</v>
      </c>
      <c r="M879" s="12" t="s">
        <v>33</v>
      </c>
      <c r="N879" s="12" t="s">
        <v>34</v>
      </c>
      <c r="P879" s="10" t="n">
        <v>167</v>
      </c>
      <c r="Q879" s="12" t="s">
        <v>220</v>
      </c>
      <c r="R879" s="12" t="s">
        <v>36</v>
      </c>
      <c r="S879" s="10" t="n">
        <v>1130101</v>
      </c>
      <c r="T879" s="12" t="s">
        <v>37</v>
      </c>
      <c r="U879" s="13" t="n">
        <v>1528.61</v>
      </c>
      <c r="W879" s="13" t="n">
        <v>0</v>
      </c>
      <c r="X879" s="12" t="s">
        <v>1007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36.75" hidden="false" customHeight="true" outlineLevel="0" collapsed="false">
      <c r="A880" s="10" t="n">
        <v>3</v>
      </c>
      <c r="B880" s="11" t="n">
        <v>46212</v>
      </c>
      <c r="C880" s="11" t="n">
        <v>46241</v>
      </c>
      <c r="D880" s="10" t="n">
        <v>10037</v>
      </c>
      <c r="E880" s="12" t="s">
        <v>81</v>
      </c>
      <c r="F880" s="10" t="n">
        <v>24</v>
      </c>
      <c r="G880" s="12" t="s">
        <v>31</v>
      </c>
      <c r="H880" s="10" t="n">
        <v>2110405</v>
      </c>
      <c r="I880" s="12" t="s">
        <v>63</v>
      </c>
      <c r="J880" s="10" t="n">
        <v>1392510</v>
      </c>
      <c r="L880" s="10" t="n">
        <v>27512</v>
      </c>
      <c r="M880" s="12" t="s">
        <v>33</v>
      </c>
      <c r="N880" s="12" t="s">
        <v>34</v>
      </c>
      <c r="P880" s="10" t="n">
        <v>167</v>
      </c>
      <c r="Q880" s="12" t="s">
        <v>220</v>
      </c>
      <c r="R880" s="12" t="s">
        <v>36</v>
      </c>
      <c r="S880" s="10" t="n">
        <v>1130101</v>
      </c>
      <c r="T880" s="12" t="s">
        <v>37</v>
      </c>
      <c r="U880" s="13" t="n">
        <v>565.04</v>
      </c>
      <c r="W880" s="13" t="n">
        <v>0</v>
      </c>
      <c r="X880" s="12" t="s">
        <v>1008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36.75" hidden="false" customHeight="true" outlineLevel="0" collapsed="false">
      <c r="A881" s="10" t="n">
        <v>3</v>
      </c>
      <c r="B881" s="11" t="n">
        <v>46213</v>
      </c>
      <c r="C881" s="11" t="n">
        <v>46241</v>
      </c>
      <c r="D881" s="10" t="n">
        <v>1705</v>
      </c>
      <c r="E881" s="12" t="s">
        <v>252</v>
      </c>
      <c r="F881" s="10" t="n">
        <v>24</v>
      </c>
      <c r="G881" s="12" t="s">
        <v>31</v>
      </c>
      <c r="H881" s="10" t="n">
        <v>2110405</v>
      </c>
      <c r="I881" s="12" t="s">
        <v>63</v>
      </c>
      <c r="J881" s="10" t="n">
        <v>1392548</v>
      </c>
      <c r="L881" s="10" t="n">
        <v>11973677</v>
      </c>
      <c r="M881" s="12" t="s">
        <v>33</v>
      </c>
      <c r="N881" s="12" t="s">
        <v>34</v>
      </c>
      <c r="P881" s="10" t="n">
        <v>167</v>
      </c>
      <c r="Q881" s="12" t="s">
        <v>220</v>
      </c>
      <c r="R881" s="12" t="s">
        <v>36</v>
      </c>
      <c r="S881" s="10" t="n">
        <v>1130101</v>
      </c>
      <c r="T881" s="12" t="s">
        <v>37</v>
      </c>
      <c r="U881" s="13" t="n">
        <v>251.16</v>
      </c>
      <c r="W881" s="13" t="n">
        <v>0</v>
      </c>
      <c r="X881" s="12" t="s">
        <v>1009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3</v>
      </c>
      <c r="B882" s="11" t="n">
        <v>46213</v>
      </c>
      <c r="C882" s="11" t="n">
        <v>46241</v>
      </c>
      <c r="D882" s="10" t="n">
        <v>1659</v>
      </c>
      <c r="E882" s="12" t="s">
        <v>30</v>
      </c>
      <c r="F882" s="10" t="n">
        <v>24</v>
      </c>
      <c r="G882" s="12" t="s">
        <v>31</v>
      </c>
      <c r="H882" s="10" t="n">
        <v>2110405</v>
      </c>
      <c r="I882" s="12" t="s">
        <v>63</v>
      </c>
      <c r="J882" s="10" t="n">
        <v>1407151</v>
      </c>
      <c r="L882" s="10" t="n">
        <v>3761993</v>
      </c>
      <c r="M882" s="12" t="s">
        <v>33</v>
      </c>
      <c r="N882" s="12" t="s">
        <v>34</v>
      </c>
      <c r="P882" s="10" t="n">
        <v>167</v>
      </c>
      <c r="Q882" s="12" t="s">
        <v>220</v>
      </c>
      <c r="R882" s="12" t="s">
        <v>36</v>
      </c>
      <c r="S882" s="10" t="n">
        <v>1130101</v>
      </c>
      <c r="T882" s="12" t="s">
        <v>37</v>
      </c>
      <c r="U882" s="13" t="n">
        <v>708.1</v>
      </c>
      <c r="W882" s="13" t="n">
        <v>0</v>
      </c>
      <c r="X882" s="12" t="s">
        <v>1010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45.75" hidden="false" customHeight="true" outlineLevel="0" collapsed="false">
      <c r="A883" s="10" t="n">
        <v>3</v>
      </c>
      <c r="B883" s="11" t="n">
        <v>46219</v>
      </c>
      <c r="C883" s="11" t="n">
        <v>46241</v>
      </c>
      <c r="D883" s="10" t="n">
        <v>1873</v>
      </c>
      <c r="E883" s="12" t="s">
        <v>902</v>
      </c>
      <c r="F883" s="10" t="n">
        <v>24</v>
      </c>
      <c r="G883" s="12" t="s">
        <v>31</v>
      </c>
      <c r="H883" s="10" t="n">
        <v>2110405</v>
      </c>
      <c r="I883" s="12" t="s">
        <v>63</v>
      </c>
      <c r="J883" s="10" t="n">
        <v>1411470</v>
      </c>
      <c r="L883" s="10" t="n">
        <v>1116702</v>
      </c>
      <c r="M883" s="12" t="s">
        <v>33</v>
      </c>
      <c r="N883" s="12" t="s">
        <v>34</v>
      </c>
      <c r="P883" s="10" t="n">
        <v>167</v>
      </c>
      <c r="Q883" s="12" t="s">
        <v>220</v>
      </c>
      <c r="R883" s="12" t="s">
        <v>36</v>
      </c>
      <c r="S883" s="10" t="n">
        <v>1130101</v>
      </c>
      <c r="T883" s="12" t="s">
        <v>37</v>
      </c>
      <c r="U883" s="13" t="n">
        <v>337.5</v>
      </c>
      <c r="W883" s="13" t="n">
        <v>0</v>
      </c>
      <c r="X883" s="12" t="s">
        <v>1011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3</v>
      </c>
      <c r="B884" s="11" t="n">
        <v>46219</v>
      </c>
      <c r="C884" s="11" t="n">
        <v>46241</v>
      </c>
      <c r="D884" s="10" t="n">
        <v>1166</v>
      </c>
      <c r="E884" s="12" t="s">
        <v>460</v>
      </c>
      <c r="F884" s="10" t="n">
        <v>24</v>
      </c>
      <c r="G884" s="12" t="s">
        <v>31</v>
      </c>
      <c r="H884" s="10" t="n">
        <v>2110405</v>
      </c>
      <c r="I884" s="12" t="s">
        <v>63</v>
      </c>
      <c r="J884" s="10" t="n">
        <v>1411495</v>
      </c>
      <c r="L884" s="10" t="n">
        <v>355193</v>
      </c>
      <c r="M884" s="12" t="s">
        <v>33</v>
      </c>
      <c r="N884" s="12" t="s">
        <v>34</v>
      </c>
      <c r="P884" s="10" t="n">
        <v>167</v>
      </c>
      <c r="Q884" s="12" t="s">
        <v>220</v>
      </c>
      <c r="R884" s="12" t="s">
        <v>36</v>
      </c>
      <c r="S884" s="10" t="n">
        <v>1130101</v>
      </c>
      <c r="T884" s="12" t="s">
        <v>37</v>
      </c>
      <c r="U884" s="13" t="n">
        <v>631.62</v>
      </c>
      <c r="W884" s="13" t="n">
        <v>0</v>
      </c>
      <c r="X884" s="12" t="s">
        <v>1012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45.75" hidden="false" customHeight="true" outlineLevel="0" collapsed="false">
      <c r="A885" s="10" t="n">
        <v>3</v>
      </c>
      <c r="B885" s="11" t="n">
        <v>46225</v>
      </c>
      <c r="C885" s="11" t="n">
        <v>46241</v>
      </c>
      <c r="D885" s="10" t="n">
        <v>1699</v>
      </c>
      <c r="E885" s="12" t="s">
        <v>87</v>
      </c>
      <c r="F885" s="10" t="n">
        <v>24</v>
      </c>
      <c r="G885" s="12" t="s">
        <v>31</v>
      </c>
      <c r="H885" s="10" t="n">
        <v>2110405</v>
      </c>
      <c r="I885" s="12" t="s">
        <v>63</v>
      </c>
      <c r="J885" s="10" t="n">
        <v>1439128</v>
      </c>
      <c r="L885" s="10" t="n">
        <v>3087371</v>
      </c>
      <c r="M885" s="12" t="s">
        <v>33</v>
      </c>
      <c r="N885" s="12" t="s">
        <v>34</v>
      </c>
      <c r="P885" s="10" t="n">
        <v>167</v>
      </c>
      <c r="Q885" s="12" t="s">
        <v>220</v>
      </c>
      <c r="R885" s="12" t="s">
        <v>36</v>
      </c>
      <c r="S885" s="10" t="n">
        <v>1130101</v>
      </c>
      <c r="T885" s="12" t="s">
        <v>37</v>
      </c>
      <c r="U885" s="13" t="n">
        <v>894.33</v>
      </c>
      <c r="W885" s="13" t="n">
        <v>0</v>
      </c>
      <c r="X885" s="12" t="s">
        <v>1013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27.75" hidden="false" customHeight="true" outlineLevel="0" collapsed="false">
      <c r="A886" s="10" t="n">
        <v>3</v>
      </c>
      <c r="B886" s="11" t="n">
        <v>46227</v>
      </c>
      <c r="C886" s="11" t="n">
        <v>46241</v>
      </c>
      <c r="D886" s="10" t="n">
        <v>1723</v>
      </c>
      <c r="E886" s="12" t="s">
        <v>54</v>
      </c>
      <c r="F886" s="10" t="n">
        <v>24</v>
      </c>
      <c r="G886" s="12" t="s">
        <v>31</v>
      </c>
      <c r="H886" s="10" t="n">
        <v>2110405</v>
      </c>
      <c r="I886" s="12" t="s">
        <v>63</v>
      </c>
      <c r="J886" s="10" t="n">
        <v>1448509</v>
      </c>
      <c r="L886" s="10" t="n">
        <v>574652</v>
      </c>
      <c r="M886" s="12" t="s">
        <v>33</v>
      </c>
      <c r="N886" s="12" t="s">
        <v>34</v>
      </c>
      <c r="P886" s="10" t="n">
        <v>167</v>
      </c>
      <c r="Q886" s="12" t="s">
        <v>220</v>
      </c>
      <c r="R886" s="12" t="s">
        <v>36</v>
      </c>
      <c r="S886" s="10" t="n">
        <v>1130101</v>
      </c>
      <c r="T886" s="12" t="s">
        <v>37</v>
      </c>
      <c r="U886" s="13" t="n">
        <v>3653.9</v>
      </c>
      <c r="W886" s="13" t="n">
        <v>0</v>
      </c>
      <c r="X886" s="12" t="s">
        <v>1014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54.75" hidden="false" customHeight="true" outlineLevel="0" collapsed="false">
      <c r="A887" s="10" t="n">
        <v>3</v>
      </c>
      <c r="B887" s="11" t="n">
        <v>46233</v>
      </c>
      <c r="C887" s="11" t="n">
        <v>46241</v>
      </c>
      <c r="D887" s="10" t="n">
        <v>1916</v>
      </c>
      <c r="E887" s="12" t="s">
        <v>384</v>
      </c>
      <c r="F887" s="10" t="n">
        <v>24</v>
      </c>
      <c r="G887" s="12" t="s">
        <v>31</v>
      </c>
      <c r="H887" s="10" t="n">
        <v>2110405</v>
      </c>
      <c r="I887" s="12" t="s">
        <v>63</v>
      </c>
      <c r="J887" s="10" t="n">
        <v>1474201</v>
      </c>
      <c r="L887" s="10" t="n">
        <v>40074</v>
      </c>
      <c r="M887" s="12" t="s">
        <v>33</v>
      </c>
      <c r="N887" s="12" t="s">
        <v>34</v>
      </c>
      <c r="P887" s="10" t="n">
        <v>167</v>
      </c>
      <c r="Q887" s="12" t="s">
        <v>220</v>
      </c>
      <c r="R887" s="12" t="s">
        <v>36</v>
      </c>
      <c r="S887" s="10" t="n">
        <v>1130101</v>
      </c>
      <c r="T887" s="12" t="s">
        <v>37</v>
      </c>
      <c r="U887" s="13" t="n">
        <v>1387.5</v>
      </c>
      <c r="W887" s="13" t="n">
        <v>0</v>
      </c>
      <c r="X887" s="12" t="s">
        <v>1015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54.75" hidden="false" customHeight="true" outlineLevel="0" collapsed="false">
      <c r="A888" s="10" t="n">
        <v>3</v>
      </c>
      <c r="B888" s="11" t="n">
        <v>46234</v>
      </c>
      <c r="C888" s="11" t="n">
        <v>46241</v>
      </c>
      <c r="D888" s="10" t="n">
        <v>519</v>
      </c>
      <c r="E888" s="12" t="s">
        <v>365</v>
      </c>
      <c r="F888" s="10" t="n">
        <v>34</v>
      </c>
      <c r="G888" s="12" t="s">
        <v>58</v>
      </c>
      <c r="H888" s="10" t="n">
        <v>2110405</v>
      </c>
      <c r="I888" s="12" t="s">
        <v>63</v>
      </c>
      <c r="J888" s="10" t="n">
        <v>1477410</v>
      </c>
      <c r="L888" s="10" t="n">
        <v>229713</v>
      </c>
      <c r="M888" s="12" t="s">
        <v>33</v>
      </c>
      <c r="N888" s="12" t="s">
        <v>34</v>
      </c>
      <c r="P888" s="10" t="n">
        <v>101</v>
      </c>
      <c r="Q888" s="12" t="s">
        <v>136</v>
      </c>
      <c r="R888" s="12" t="s">
        <v>372</v>
      </c>
      <c r="S888" s="10" t="n">
        <v>2210203</v>
      </c>
      <c r="T888" s="12" t="s">
        <v>1016</v>
      </c>
      <c r="U888" s="13" t="n">
        <v>50000</v>
      </c>
      <c r="W888" s="13" t="n">
        <v>0</v>
      </c>
      <c r="X888" s="12" t="s">
        <v>1017</v>
      </c>
      <c r="Z888" s="1" t="str">
        <f aca="false">IF($T888="","",IFERROR(INDEX('Resumo Grupos'!$AC$3:$AC$200,MATCH($T888,'Resumo Grupos'!$AB$3:$AB$200,0)),"n/d"))</f>
        <v>Empréstimo</v>
      </c>
      <c r="AA888" s="1" t="str">
        <f aca="false">IF($T888="","",IF(COUNTIF('Resumo Grupos'!$AE$3:$AE$40,$T888)&gt;0,"NAO","SIM"))</f>
        <v>NAO</v>
      </c>
    </row>
    <row r="889" customFormat="false" ht="36.75" hidden="false" customHeight="true" outlineLevel="0" collapsed="false">
      <c r="A889" s="10" t="n">
        <v>3</v>
      </c>
      <c r="B889" s="11" t="n">
        <v>46234</v>
      </c>
      <c r="C889" s="11" t="n">
        <v>46241</v>
      </c>
      <c r="D889" s="10" t="n">
        <v>10038</v>
      </c>
      <c r="E889" s="12" t="s">
        <v>44</v>
      </c>
      <c r="F889" s="10" t="n">
        <v>24</v>
      </c>
      <c r="G889" s="12" t="s">
        <v>31</v>
      </c>
      <c r="H889" s="10" t="n">
        <v>2110405</v>
      </c>
      <c r="I889" s="12" t="s">
        <v>63</v>
      </c>
      <c r="J889" s="10" t="n">
        <v>1477505</v>
      </c>
      <c r="L889" s="10" t="n">
        <v>195348801</v>
      </c>
      <c r="M889" s="12" t="s">
        <v>33</v>
      </c>
      <c r="N889" s="12" t="s">
        <v>34</v>
      </c>
      <c r="P889" s="10" t="n">
        <v>167</v>
      </c>
      <c r="Q889" s="12" t="s">
        <v>220</v>
      </c>
      <c r="R889" s="12" t="s">
        <v>36</v>
      </c>
      <c r="S889" s="10" t="n">
        <v>1130101</v>
      </c>
      <c r="T889" s="12" t="s">
        <v>37</v>
      </c>
      <c r="U889" s="13" t="n">
        <v>1256</v>
      </c>
      <c r="W889" s="13" t="n">
        <v>0</v>
      </c>
      <c r="X889" s="12" t="s">
        <v>1018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3</v>
      </c>
      <c r="B890" s="11" t="n">
        <v>46234</v>
      </c>
      <c r="C890" s="11" t="n">
        <v>46241</v>
      </c>
      <c r="D890" s="10" t="n">
        <v>42</v>
      </c>
      <c r="E890" s="12" t="s">
        <v>106</v>
      </c>
      <c r="F890" s="10" t="n">
        <v>34</v>
      </c>
      <c r="G890" s="12" t="s">
        <v>58</v>
      </c>
      <c r="H890" s="10" t="n">
        <v>2110101</v>
      </c>
      <c r="I890" s="12" t="s">
        <v>32</v>
      </c>
      <c r="J890" s="10" t="n">
        <v>1478165</v>
      </c>
      <c r="L890" s="10" t="n">
        <v>4445</v>
      </c>
      <c r="M890" s="12" t="s">
        <v>33</v>
      </c>
      <c r="N890" s="12" t="s">
        <v>40</v>
      </c>
      <c r="P890" s="10" t="n">
        <v>167</v>
      </c>
      <c r="Q890" s="12" t="s">
        <v>220</v>
      </c>
      <c r="R890" s="12" t="s">
        <v>36</v>
      </c>
      <c r="S890" s="10" t="n">
        <v>1130101</v>
      </c>
      <c r="T890" s="12" t="s">
        <v>37</v>
      </c>
      <c r="U890" s="13" t="n">
        <v>600</v>
      </c>
      <c r="W890" s="13" t="n">
        <v>0</v>
      </c>
      <c r="X890" s="12" t="s">
        <v>1019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3</v>
      </c>
      <c r="B891" s="11" t="n">
        <v>46234</v>
      </c>
      <c r="C891" s="11" t="n">
        <v>46241</v>
      </c>
      <c r="D891" s="10" t="n">
        <v>1609</v>
      </c>
      <c r="E891" s="12" t="s">
        <v>85</v>
      </c>
      <c r="F891" s="10" t="n">
        <v>24</v>
      </c>
      <c r="G891" s="12" t="s">
        <v>31</v>
      </c>
      <c r="H891" s="10" t="n">
        <v>2110405</v>
      </c>
      <c r="I891" s="12" t="s">
        <v>63</v>
      </c>
      <c r="J891" s="10" t="n">
        <v>1478669</v>
      </c>
      <c r="L891" s="10" t="n">
        <v>5900</v>
      </c>
      <c r="M891" s="12" t="s">
        <v>33</v>
      </c>
      <c r="N891" s="12" t="s">
        <v>34</v>
      </c>
      <c r="P891" s="10" t="n">
        <v>167</v>
      </c>
      <c r="Q891" s="12" t="s">
        <v>220</v>
      </c>
      <c r="R891" s="12" t="s">
        <v>36</v>
      </c>
      <c r="S891" s="10" t="n">
        <v>1130101</v>
      </c>
      <c r="T891" s="12" t="s">
        <v>37</v>
      </c>
      <c r="U891" s="13" t="n">
        <v>596.3</v>
      </c>
      <c r="W891" s="13" t="n">
        <v>0</v>
      </c>
      <c r="X891" s="12" t="s">
        <v>1020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3</v>
      </c>
      <c r="B892" s="11" t="n">
        <v>46233</v>
      </c>
      <c r="C892" s="11" t="n">
        <v>46241</v>
      </c>
      <c r="D892" s="10" t="n">
        <v>1814</v>
      </c>
      <c r="E892" s="12" t="s">
        <v>280</v>
      </c>
      <c r="F892" s="10" t="n">
        <v>24</v>
      </c>
      <c r="G892" s="12" t="s">
        <v>31</v>
      </c>
      <c r="H892" s="10" t="n">
        <v>2110405</v>
      </c>
      <c r="I892" s="12" t="s">
        <v>63</v>
      </c>
      <c r="J892" s="10" t="n">
        <v>1478673</v>
      </c>
      <c r="L892" s="10" t="n">
        <v>279761</v>
      </c>
      <c r="M892" s="12" t="s">
        <v>33</v>
      </c>
      <c r="N892" s="12" t="s">
        <v>34</v>
      </c>
      <c r="P892" s="10" t="n">
        <v>167</v>
      </c>
      <c r="Q892" s="12" t="s">
        <v>220</v>
      </c>
      <c r="R892" s="12" t="s">
        <v>36</v>
      </c>
      <c r="S892" s="10" t="n">
        <v>1130101</v>
      </c>
      <c r="T892" s="12" t="s">
        <v>37</v>
      </c>
      <c r="U892" s="13" t="n">
        <v>835.36</v>
      </c>
      <c r="W892" s="13" t="n">
        <v>0</v>
      </c>
      <c r="X892" s="12" t="s">
        <v>1021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3</v>
      </c>
      <c r="B893" s="11" t="n">
        <v>46234</v>
      </c>
      <c r="C893" s="11" t="n">
        <v>46241</v>
      </c>
      <c r="D893" s="10" t="n">
        <v>1378</v>
      </c>
      <c r="E893" s="12" t="s">
        <v>119</v>
      </c>
      <c r="F893" s="10" t="n">
        <v>24</v>
      </c>
      <c r="G893" s="12" t="s">
        <v>31</v>
      </c>
      <c r="H893" s="10" t="n">
        <v>2110405</v>
      </c>
      <c r="I893" s="12" t="s">
        <v>63</v>
      </c>
      <c r="J893" s="10" t="n">
        <v>1481655</v>
      </c>
      <c r="L893" s="10" t="n">
        <v>18475</v>
      </c>
      <c r="M893" s="12" t="s">
        <v>33</v>
      </c>
      <c r="N893" s="12" t="s">
        <v>34</v>
      </c>
      <c r="P893" s="10" t="n">
        <v>167</v>
      </c>
      <c r="Q893" s="12" t="s">
        <v>220</v>
      </c>
      <c r="R893" s="12" t="s">
        <v>36</v>
      </c>
      <c r="S893" s="10" t="n">
        <v>1130101</v>
      </c>
      <c r="T893" s="12" t="s">
        <v>37</v>
      </c>
      <c r="U893" s="13" t="n">
        <v>151.6</v>
      </c>
      <c r="W893" s="13" t="n">
        <v>0</v>
      </c>
      <c r="X893" s="12" t="s">
        <v>1022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0" t="n">
        <v>3</v>
      </c>
      <c r="B894" s="11" t="n">
        <v>46238</v>
      </c>
      <c r="C894" s="11" t="n">
        <v>46241</v>
      </c>
      <c r="D894" s="10" t="n">
        <v>1615</v>
      </c>
      <c r="E894" s="12" t="s">
        <v>57</v>
      </c>
      <c r="F894" s="10" t="n">
        <v>34</v>
      </c>
      <c r="G894" s="12" t="s">
        <v>58</v>
      </c>
      <c r="H894" s="10" t="n">
        <v>2110405</v>
      </c>
      <c r="I894" s="12" t="s">
        <v>63</v>
      </c>
      <c r="J894" s="10" t="n">
        <v>1500086</v>
      </c>
      <c r="L894" s="10" t="n">
        <v>15026</v>
      </c>
      <c r="M894" s="12" t="s">
        <v>33</v>
      </c>
      <c r="N894" s="12" t="s">
        <v>34</v>
      </c>
      <c r="P894" s="10" t="n">
        <v>167</v>
      </c>
      <c r="Q894" s="12" t="s">
        <v>220</v>
      </c>
      <c r="R894" s="12" t="s">
        <v>36</v>
      </c>
      <c r="S894" s="10" t="n">
        <v>1130101</v>
      </c>
      <c r="T894" s="12" t="s">
        <v>37</v>
      </c>
      <c r="U894" s="13" t="n">
        <v>410</v>
      </c>
      <c r="W894" s="13" t="n">
        <v>0</v>
      </c>
      <c r="X894" s="12" t="s">
        <v>1023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0" t="n">
        <v>3</v>
      </c>
      <c r="B895" s="11" t="n">
        <v>46238</v>
      </c>
      <c r="C895" s="11" t="n">
        <v>46241</v>
      </c>
      <c r="D895" s="10" t="n">
        <v>1615</v>
      </c>
      <c r="E895" s="12" t="s">
        <v>57</v>
      </c>
      <c r="F895" s="10" t="n">
        <v>34</v>
      </c>
      <c r="G895" s="12" t="s">
        <v>58</v>
      </c>
      <c r="H895" s="10" t="n">
        <v>2110405</v>
      </c>
      <c r="I895" s="12" t="s">
        <v>63</v>
      </c>
      <c r="J895" s="10" t="n">
        <v>1500089</v>
      </c>
      <c r="L895" s="10" t="n">
        <v>232970</v>
      </c>
      <c r="M895" s="12" t="s">
        <v>33</v>
      </c>
      <c r="N895" s="12" t="s">
        <v>34</v>
      </c>
      <c r="P895" s="10" t="n">
        <v>167</v>
      </c>
      <c r="Q895" s="12" t="s">
        <v>220</v>
      </c>
      <c r="R895" s="12" t="s">
        <v>36</v>
      </c>
      <c r="S895" s="10" t="n">
        <v>1130101</v>
      </c>
      <c r="T895" s="12" t="s">
        <v>37</v>
      </c>
      <c r="U895" s="13" t="n">
        <v>216</v>
      </c>
      <c r="W895" s="13" t="n">
        <v>0</v>
      </c>
      <c r="X895" s="12" t="s">
        <v>1024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27.75" hidden="false" customHeight="true" outlineLevel="0" collapsed="false">
      <c r="A896" s="10" t="n">
        <v>3</v>
      </c>
      <c r="B896" s="11" t="n">
        <v>46238</v>
      </c>
      <c r="C896" s="11" t="n">
        <v>46241</v>
      </c>
      <c r="D896" s="10" t="n">
        <v>42</v>
      </c>
      <c r="E896" s="12" t="s">
        <v>106</v>
      </c>
      <c r="F896" s="10" t="n">
        <v>34</v>
      </c>
      <c r="G896" s="12" t="s">
        <v>58</v>
      </c>
      <c r="H896" s="10" t="n">
        <v>2110101</v>
      </c>
      <c r="I896" s="12" t="s">
        <v>32</v>
      </c>
      <c r="J896" s="10" t="n">
        <v>1500139</v>
      </c>
      <c r="L896" s="10" t="n">
        <v>4459</v>
      </c>
      <c r="M896" s="12" t="s">
        <v>33</v>
      </c>
      <c r="N896" s="12" t="s">
        <v>40</v>
      </c>
      <c r="P896" s="10" t="n">
        <v>167</v>
      </c>
      <c r="Q896" s="12" t="s">
        <v>220</v>
      </c>
      <c r="R896" s="12" t="s">
        <v>36</v>
      </c>
      <c r="S896" s="10" t="n">
        <v>1130101</v>
      </c>
      <c r="T896" s="12" t="s">
        <v>37</v>
      </c>
      <c r="U896" s="13" t="n">
        <v>1493</v>
      </c>
      <c r="W896" s="13" t="n">
        <v>0</v>
      </c>
      <c r="X896" s="12" t="s">
        <v>1025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0" t="n">
        <v>3</v>
      </c>
      <c r="B897" s="11" t="n">
        <v>46241</v>
      </c>
      <c r="C897" s="11" t="n">
        <v>46241</v>
      </c>
      <c r="D897" s="10" t="n">
        <v>16</v>
      </c>
      <c r="E897" s="12" t="s">
        <v>365</v>
      </c>
      <c r="F897" s="10" t="n">
        <v>11</v>
      </c>
      <c r="G897" s="12" t="s">
        <v>363</v>
      </c>
      <c r="H897" s="10" t="n">
        <v>2110405</v>
      </c>
      <c r="I897" s="12" t="s">
        <v>63</v>
      </c>
      <c r="J897" s="10" t="n">
        <v>1512890</v>
      </c>
      <c r="L897" s="10" t="n">
        <v>234796</v>
      </c>
      <c r="M897" s="12" t="s">
        <v>33</v>
      </c>
      <c r="N897" s="12" t="s">
        <v>34</v>
      </c>
      <c r="P897" s="10" t="n">
        <v>167</v>
      </c>
      <c r="Q897" s="12" t="s">
        <v>220</v>
      </c>
      <c r="R897" s="12" t="s">
        <v>137</v>
      </c>
      <c r="S897" s="10" t="n">
        <v>4210301</v>
      </c>
      <c r="T897" s="12" t="s">
        <v>357</v>
      </c>
      <c r="U897" s="13" t="n">
        <v>300</v>
      </c>
      <c r="W897" s="13" t="n">
        <v>0</v>
      </c>
      <c r="X897" s="12" t="s">
        <v>1026</v>
      </c>
      <c r="Z897" s="1" t="str">
        <f aca="false">IF($T897="","",IFERROR(INDEX('Resumo Grupos'!$AC$3:$AC$200,MATCH($T897,'Resumo Grupos'!$AB$3:$AB$200,0)),"n/d"))</f>
        <v>Salários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0" t="n">
        <v>3</v>
      </c>
      <c r="B898" s="11" t="n">
        <v>46241</v>
      </c>
      <c r="C898" s="11" t="n">
        <v>46241</v>
      </c>
      <c r="D898" s="10" t="n">
        <v>41</v>
      </c>
      <c r="E898" s="12" t="s">
        <v>228</v>
      </c>
      <c r="F898" s="10" t="n">
        <v>11</v>
      </c>
      <c r="G898" s="12" t="s">
        <v>363</v>
      </c>
      <c r="H898" s="10" t="n">
        <v>2110405</v>
      </c>
      <c r="I898" s="12" t="s">
        <v>63</v>
      </c>
      <c r="J898" s="10" t="n">
        <v>1512891</v>
      </c>
      <c r="L898" s="10" t="n">
        <v>234800</v>
      </c>
      <c r="M898" s="12" t="s">
        <v>33</v>
      </c>
      <c r="N898" s="12" t="s">
        <v>34</v>
      </c>
      <c r="P898" s="10" t="n">
        <v>167</v>
      </c>
      <c r="Q898" s="12" t="s">
        <v>220</v>
      </c>
      <c r="R898" s="12" t="s">
        <v>137</v>
      </c>
      <c r="S898" s="10" t="n">
        <v>4210301</v>
      </c>
      <c r="T898" s="12" t="s">
        <v>357</v>
      </c>
      <c r="U898" s="13" t="n">
        <v>500</v>
      </c>
      <c r="W898" s="13" t="n">
        <v>0</v>
      </c>
      <c r="X898" s="12" t="s">
        <v>1027</v>
      </c>
      <c r="Z898" s="1" t="str">
        <f aca="false">IF($T898="","",IFERROR(INDEX('Resumo Grupos'!$AC$3:$AC$200,MATCH($T898,'Resumo Grupos'!$AB$3:$AB$200,0)),"n/d"))</f>
        <v>Salários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0" t="n">
        <v>3</v>
      </c>
      <c r="B899" s="11" t="n">
        <v>46241</v>
      </c>
      <c r="C899" s="11" t="n">
        <v>46241</v>
      </c>
      <c r="D899" s="10" t="n">
        <v>42</v>
      </c>
      <c r="E899" s="12" t="s">
        <v>106</v>
      </c>
      <c r="F899" s="10" t="n">
        <v>13</v>
      </c>
      <c r="G899" s="12" t="s">
        <v>91</v>
      </c>
      <c r="H899" s="10" t="n">
        <v>2110101</v>
      </c>
      <c r="I899" s="12" t="s">
        <v>32</v>
      </c>
      <c r="J899" s="10" t="n">
        <v>1513176</v>
      </c>
      <c r="L899" s="10" t="n">
        <v>4469</v>
      </c>
      <c r="M899" s="12" t="s">
        <v>33</v>
      </c>
      <c r="N899" s="12" t="s">
        <v>40</v>
      </c>
      <c r="P899" s="10" t="n">
        <v>167</v>
      </c>
      <c r="Q899" s="12" t="s">
        <v>220</v>
      </c>
      <c r="R899" s="12" t="s">
        <v>36</v>
      </c>
      <c r="S899" s="10" t="n">
        <v>1130101</v>
      </c>
      <c r="T899" s="12" t="s">
        <v>37</v>
      </c>
      <c r="U899" s="13" t="n">
        <v>85</v>
      </c>
      <c r="W899" s="13" t="n">
        <v>0</v>
      </c>
      <c r="X899" s="12" t="s">
        <v>221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0" t="n">
        <v>3</v>
      </c>
      <c r="B900" s="11" t="n">
        <v>46223</v>
      </c>
      <c r="C900" s="11" t="n">
        <v>46242</v>
      </c>
      <c r="D900" s="10" t="n">
        <v>1672</v>
      </c>
      <c r="E900" s="12" t="s">
        <v>93</v>
      </c>
      <c r="F900" s="10" t="n">
        <v>24</v>
      </c>
      <c r="G900" s="12" t="s">
        <v>31</v>
      </c>
      <c r="H900" s="10" t="n">
        <v>2110405</v>
      </c>
      <c r="I900" s="12" t="s">
        <v>63</v>
      </c>
      <c r="J900" s="10" t="n">
        <v>1434242</v>
      </c>
      <c r="L900" s="10" t="n">
        <v>14005102</v>
      </c>
      <c r="M900" s="12" t="s">
        <v>33</v>
      </c>
      <c r="N900" s="12" t="s">
        <v>34</v>
      </c>
      <c r="P900" s="10" t="n">
        <v>167</v>
      </c>
      <c r="Q900" s="12" t="s">
        <v>220</v>
      </c>
      <c r="R900" s="12" t="s">
        <v>36</v>
      </c>
      <c r="S900" s="10" t="n">
        <v>1130101</v>
      </c>
      <c r="T900" s="12" t="s">
        <v>37</v>
      </c>
      <c r="U900" s="13" t="n">
        <v>1316.75</v>
      </c>
      <c r="W900" s="13" t="n">
        <v>0</v>
      </c>
      <c r="X900" s="12" t="s">
        <v>1028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0" t="n">
        <v>3</v>
      </c>
      <c r="B901" s="11" t="n">
        <v>46225</v>
      </c>
      <c r="C901" s="11" t="n">
        <v>46242</v>
      </c>
      <c r="D901" s="10" t="n">
        <v>1672</v>
      </c>
      <c r="E901" s="12" t="s">
        <v>93</v>
      </c>
      <c r="F901" s="10" t="n">
        <v>24</v>
      </c>
      <c r="G901" s="12" t="s">
        <v>31</v>
      </c>
      <c r="H901" s="10" t="n">
        <v>2110405</v>
      </c>
      <c r="I901" s="12" t="s">
        <v>63</v>
      </c>
      <c r="J901" s="10" t="n">
        <v>1438976</v>
      </c>
      <c r="L901" s="10" t="n">
        <v>14006312</v>
      </c>
      <c r="M901" s="12" t="s">
        <v>33</v>
      </c>
      <c r="N901" s="12" t="s">
        <v>34</v>
      </c>
      <c r="P901" s="10" t="n">
        <v>167</v>
      </c>
      <c r="Q901" s="12" t="s">
        <v>220</v>
      </c>
      <c r="R901" s="12" t="s">
        <v>36</v>
      </c>
      <c r="S901" s="10" t="n">
        <v>1130101</v>
      </c>
      <c r="T901" s="12" t="s">
        <v>37</v>
      </c>
      <c r="U901" s="13" t="n">
        <v>887.5</v>
      </c>
      <c r="W901" s="13" t="n">
        <v>0</v>
      </c>
      <c r="X901" s="12" t="s">
        <v>1029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0" t="n">
        <v>3</v>
      </c>
      <c r="B902" s="11" t="n">
        <v>46227</v>
      </c>
      <c r="C902" s="11" t="n">
        <v>46242</v>
      </c>
      <c r="D902" s="10" t="n">
        <v>1608</v>
      </c>
      <c r="E902" s="12" t="s">
        <v>69</v>
      </c>
      <c r="F902" s="10" t="n">
        <v>24</v>
      </c>
      <c r="G902" s="12" t="s">
        <v>31</v>
      </c>
      <c r="H902" s="10" t="n">
        <v>2110405</v>
      </c>
      <c r="I902" s="12" t="s">
        <v>63</v>
      </c>
      <c r="J902" s="10" t="n">
        <v>1443888</v>
      </c>
      <c r="L902" s="10" t="n">
        <v>16991331</v>
      </c>
      <c r="M902" s="12" t="s">
        <v>33</v>
      </c>
      <c r="N902" s="12" t="s">
        <v>34</v>
      </c>
      <c r="P902" s="10" t="n">
        <v>167</v>
      </c>
      <c r="Q902" s="12" t="s">
        <v>220</v>
      </c>
      <c r="R902" s="12" t="s">
        <v>36</v>
      </c>
      <c r="S902" s="10" t="n">
        <v>1130101</v>
      </c>
      <c r="T902" s="12" t="s">
        <v>37</v>
      </c>
      <c r="U902" s="13" t="n">
        <v>832.25</v>
      </c>
      <c r="W902" s="13" t="n">
        <v>0</v>
      </c>
      <c r="X902" s="12" t="s">
        <v>1030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0" t="n">
        <v>3</v>
      </c>
      <c r="B903" s="11" t="n">
        <v>46228</v>
      </c>
      <c r="C903" s="11" t="n">
        <v>46242</v>
      </c>
      <c r="D903" s="10" t="n">
        <v>1039</v>
      </c>
      <c r="E903" s="12" t="s">
        <v>150</v>
      </c>
      <c r="F903" s="10" t="n">
        <v>24</v>
      </c>
      <c r="G903" s="12" t="s">
        <v>31</v>
      </c>
      <c r="H903" s="10" t="n">
        <v>2110405</v>
      </c>
      <c r="I903" s="12" t="s">
        <v>63</v>
      </c>
      <c r="J903" s="10" t="n">
        <v>1458348</v>
      </c>
      <c r="L903" s="10" t="n">
        <v>194532</v>
      </c>
      <c r="M903" s="12" t="s">
        <v>33</v>
      </c>
      <c r="N903" s="12" t="s">
        <v>34</v>
      </c>
      <c r="P903" s="10" t="n">
        <v>167</v>
      </c>
      <c r="Q903" s="12" t="s">
        <v>220</v>
      </c>
      <c r="R903" s="12" t="s">
        <v>36</v>
      </c>
      <c r="S903" s="10" t="n">
        <v>1130101</v>
      </c>
      <c r="T903" s="12" t="s">
        <v>37</v>
      </c>
      <c r="U903" s="13" t="n">
        <v>1086.18</v>
      </c>
      <c r="W903" s="13" t="n">
        <v>0</v>
      </c>
      <c r="X903" s="12" t="s">
        <v>1031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0" t="n">
        <v>3</v>
      </c>
      <c r="B904" s="11" t="n">
        <v>46237</v>
      </c>
      <c r="C904" s="11" t="n">
        <v>46242</v>
      </c>
      <c r="D904" s="10" t="n">
        <v>42</v>
      </c>
      <c r="E904" s="12" t="s">
        <v>106</v>
      </c>
      <c r="F904" s="10" t="n">
        <v>34</v>
      </c>
      <c r="G904" s="12" t="s">
        <v>58</v>
      </c>
      <c r="H904" s="10" t="n">
        <v>2110101</v>
      </c>
      <c r="I904" s="12" t="s">
        <v>32</v>
      </c>
      <c r="J904" s="10" t="n">
        <v>1492729</v>
      </c>
      <c r="L904" s="10" t="n">
        <v>4451</v>
      </c>
      <c r="M904" s="12" t="s">
        <v>33</v>
      </c>
      <c r="N904" s="12" t="s">
        <v>40</v>
      </c>
      <c r="P904" s="10" t="n">
        <v>167</v>
      </c>
      <c r="Q904" s="12" t="s">
        <v>220</v>
      </c>
      <c r="R904" s="12" t="s">
        <v>36</v>
      </c>
      <c r="S904" s="10" t="n">
        <v>1130101</v>
      </c>
      <c r="T904" s="12" t="s">
        <v>37</v>
      </c>
      <c r="U904" s="13" t="n">
        <v>280</v>
      </c>
      <c r="W904" s="13" t="n">
        <v>0</v>
      </c>
      <c r="X904" s="12" t="s">
        <v>1032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3</v>
      </c>
      <c r="B905" s="11" t="n">
        <v>46235</v>
      </c>
      <c r="C905" s="11" t="n">
        <v>46242</v>
      </c>
      <c r="D905" s="10" t="n">
        <v>1828</v>
      </c>
      <c r="E905" s="12" t="s">
        <v>52</v>
      </c>
      <c r="F905" s="10" t="n">
        <v>24</v>
      </c>
      <c r="G905" s="12" t="s">
        <v>31</v>
      </c>
      <c r="H905" s="10" t="n">
        <v>2110405</v>
      </c>
      <c r="I905" s="12" t="s">
        <v>63</v>
      </c>
      <c r="J905" s="10" t="n">
        <v>1492812</v>
      </c>
      <c r="L905" s="10" t="n">
        <v>58030</v>
      </c>
      <c r="M905" s="12" t="s">
        <v>33</v>
      </c>
      <c r="N905" s="12" t="s">
        <v>34</v>
      </c>
      <c r="P905" s="10" t="n">
        <v>167</v>
      </c>
      <c r="Q905" s="12" t="s">
        <v>220</v>
      </c>
      <c r="R905" s="12" t="s">
        <v>36</v>
      </c>
      <c r="S905" s="10" t="n">
        <v>1130101</v>
      </c>
      <c r="T905" s="12" t="s">
        <v>37</v>
      </c>
      <c r="U905" s="13" t="n">
        <v>907.7</v>
      </c>
      <c r="W905" s="13" t="n">
        <v>0</v>
      </c>
      <c r="X905" s="12" t="s">
        <v>1033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0" t="n">
        <v>3</v>
      </c>
      <c r="B906" s="11" t="n">
        <v>46237</v>
      </c>
      <c r="C906" s="11" t="n">
        <v>46242</v>
      </c>
      <c r="D906" s="10" t="n">
        <v>1625</v>
      </c>
      <c r="E906" s="12" t="s">
        <v>97</v>
      </c>
      <c r="F906" s="10" t="n">
        <v>24</v>
      </c>
      <c r="G906" s="12" t="s">
        <v>31</v>
      </c>
      <c r="H906" s="10" t="n">
        <v>2110405</v>
      </c>
      <c r="I906" s="12" t="s">
        <v>63</v>
      </c>
      <c r="J906" s="10" t="n">
        <v>1493494</v>
      </c>
      <c r="L906" s="10" t="n">
        <v>149121</v>
      </c>
      <c r="M906" s="12" t="s">
        <v>33</v>
      </c>
      <c r="N906" s="12" t="s">
        <v>34</v>
      </c>
      <c r="P906" s="10" t="n">
        <v>167</v>
      </c>
      <c r="Q906" s="12" t="s">
        <v>220</v>
      </c>
      <c r="R906" s="12" t="s">
        <v>36</v>
      </c>
      <c r="S906" s="10" t="n">
        <v>1130101</v>
      </c>
      <c r="T906" s="12" t="s">
        <v>37</v>
      </c>
      <c r="U906" s="13" t="n">
        <v>3573.2</v>
      </c>
      <c r="W906" s="13" t="n">
        <v>0</v>
      </c>
      <c r="X906" s="12" t="s">
        <v>1034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36.75" hidden="false" customHeight="true" outlineLevel="0" collapsed="false">
      <c r="A907" s="10" t="n">
        <v>3</v>
      </c>
      <c r="B907" s="11" t="n">
        <v>46153</v>
      </c>
      <c r="C907" s="11" t="n">
        <v>46243</v>
      </c>
      <c r="D907" s="10" t="n">
        <v>32</v>
      </c>
      <c r="E907" s="12" t="s">
        <v>361</v>
      </c>
      <c r="F907" s="10" t="n">
        <v>34</v>
      </c>
      <c r="G907" s="12" t="s">
        <v>58</v>
      </c>
      <c r="H907" s="10" t="n">
        <v>2110405</v>
      </c>
      <c r="I907" s="12" t="s">
        <v>63</v>
      </c>
      <c r="J907" s="10" t="n">
        <v>1083670</v>
      </c>
      <c r="L907" s="10" t="n">
        <v>170746</v>
      </c>
      <c r="M907" s="12" t="s">
        <v>371</v>
      </c>
      <c r="N907" s="12" t="s">
        <v>34</v>
      </c>
      <c r="P907" s="10" t="n">
        <v>101</v>
      </c>
      <c r="Q907" s="12" t="s">
        <v>136</v>
      </c>
      <c r="R907" s="12" t="s">
        <v>222</v>
      </c>
      <c r="S907" s="10" t="n">
        <v>4220199</v>
      </c>
      <c r="T907" s="12" t="s">
        <v>223</v>
      </c>
      <c r="U907" s="13" t="n">
        <v>8059.98</v>
      </c>
      <c r="W907" s="13" t="n">
        <v>0</v>
      </c>
      <c r="X907" s="12" t="s">
        <v>1035</v>
      </c>
      <c r="Z907" s="1" t="str">
        <f aca="false">IF($T907="","",IFERROR(INDEX('Resumo Grupos'!$AC$3:$AC$200,MATCH($T907,'Resumo Grupos'!$AB$3:$AB$200,0)),"n/d"))</f>
        <v>Pagamentos outros não operacionais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0" t="n">
        <v>3</v>
      </c>
      <c r="B908" s="11" t="n">
        <v>46211</v>
      </c>
      <c r="C908" s="11" t="n">
        <v>46243</v>
      </c>
      <c r="D908" s="10" t="n">
        <v>1398</v>
      </c>
      <c r="E908" s="12" t="s">
        <v>808</v>
      </c>
      <c r="F908" s="10" t="n">
        <v>24</v>
      </c>
      <c r="G908" s="12" t="s">
        <v>31</v>
      </c>
      <c r="H908" s="10" t="n">
        <v>2110405</v>
      </c>
      <c r="I908" s="12" t="s">
        <v>63</v>
      </c>
      <c r="J908" s="10" t="n">
        <v>1397029</v>
      </c>
      <c r="L908" s="10" t="n">
        <v>33332</v>
      </c>
      <c r="M908" s="12" t="s">
        <v>33</v>
      </c>
      <c r="N908" s="12" t="s">
        <v>34</v>
      </c>
      <c r="P908" s="10" t="n">
        <v>167</v>
      </c>
      <c r="Q908" s="12" t="s">
        <v>220</v>
      </c>
      <c r="R908" s="12" t="s">
        <v>36</v>
      </c>
      <c r="S908" s="10" t="n">
        <v>1130101</v>
      </c>
      <c r="T908" s="12" t="s">
        <v>37</v>
      </c>
      <c r="U908" s="13" t="n">
        <v>592.05</v>
      </c>
      <c r="W908" s="13" t="n">
        <v>0</v>
      </c>
      <c r="X908" s="12" t="s">
        <v>1036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27.75" hidden="false" customHeight="true" outlineLevel="0" collapsed="false">
      <c r="A909" s="10" t="n">
        <v>3</v>
      </c>
      <c r="B909" s="11" t="n">
        <v>46211</v>
      </c>
      <c r="C909" s="11" t="n">
        <v>46243</v>
      </c>
      <c r="D909" s="10" t="n">
        <v>1122</v>
      </c>
      <c r="E909" s="12" t="s">
        <v>810</v>
      </c>
      <c r="F909" s="10" t="n">
        <v>24</v>
      </c>
      <c r="G909" s="12" t="s">
        <v>31</v>
      </c>
      <c r="H909" s="10" t="n">
        <v>2110405</v>
      </c>
      <c r="I909" s="12" t="s">
        <v>63</v>
      </c>
      <c r="J909" s="10" t="n">
        <v>1397050</v>
      </c>
      <c r="L909" s="10" t="n">
        <v>66412</v>
      </c>
      <c r="M909" s="12" t="s">
        <v>33</v>
      </c>
      <c r="N909" s="12" t="s">
        <v>34</v>
      </c>
      <c r="P909" s="10" t="n">
        <v>167</v>
      </c>
      <c r="Q909" s="12" t="s">
        <v>220</v>
      </c>
      <c r="R909" s="12" t="s">
        <v>36</v>
      </c>
      <c r="S909" s="10" t="n">
        <v>1130101</v>
      </c>
      <c r="T909" s="12" t="s">
        <v>37</v>
      </c>
      <c r="U909" s="13" t="n">
        <v>614.99</v>
      </c>
      <c r="W909" s="13" t="n">
        <v>0</v>
      </c>
      <c r="X909" s="12" t="s">
        <v>1037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27.75" hidden="false" customHeight="true" outlineLevel="0" collapsed="false">
      <c r="A910" s="10" t="n">
        <v>3</v>
      </c>
      <c r="B910" s="11" t="n">
        <v>46122</v>
      </c>
      <c r="C910" s="11" t="n">
        <v>46244</v>
      </c>
      <c r="D910" s="10" t="n">
        <v>815</v>
      </c>
      <c r="E910" s="12" t="s">
        <v>410</v>
      </c>
      <c r="F910" s="10" t="n">
        <v>34</v>
      </c>
      <c r="G910" s="12" t="s">
        <v>58</v>
      </c>
      <c r="H910" s="10" t="n">
        <v>2110405</v>
      </c>
      <c r="I910" s="12" t="s">
        <v>63</v>
      </c>
      <c r="J910" s="10" t="n">
        <v>793794</v>
      </c>
      <c r="L910" s="10" t="n">
        <v>100326</v>
      </c>
      <c r="M910" s="12" t="s">
        <v>555</v>
      </c>
      <c r="N910" s="12" t="s">
        <v>34</v>
      </c>
      <c r="P910" s="10" t="n">
        <v>101</v>
      </c>
      <c r="Q910" s="12" t="s">
        <v>136</v>
      </c>
      <c r="R910" s="12" t="s">
        <v>411</v>
      </c>
      <c r="S910" s="10" t="n">
        <v>2110901</v>
      </c>
      <c r="T910" s="12" t="s">
        <v>412</v>
      </c>
      <c r="U910" s="13" t="n">
        <v>1500</v>
      </c>
      <c r="W910" s="13" t="n">
        <v>0</v>
      </c>
      <c r="X910" s="12" t="s">
        <v>413</v>
      </c>
      <c r="Z910" s="1" t="str">
        <f aca="false">IF($T910="","",IFERROR(INDEX('Resumo Grupos'!$AC$3:$AC$200,MATCH($T910,'Resumo Grupos'!$AB$3:$AB$200,0)),"n/d"))</f>
        <v>Empréstimo</v>
      </c>
      <c r="AA910" s="1" t="str">
        <f aca="false">IF($T910="","",IF(COUNTIF('Resumo Grupos'!$AE$3:$AE$40,$T910)&gt;0,"NAO","SIM"))</f>
        <v>SIM</v>
      </c>
    </row>
    <row r="911" customFormat="false" ht="36.75" hidden="false" customHeight="true" outlineLevel="0" collapsed="false">
      <c r="A911" s="10" t="n">
        <v>3</v>
      </c>
      <c r="B911" s="11" t="n">
        <v>46184</v>
      </c>
      <c r="C911" s="11" t="n">
        <v>46244</v>
      </c>
      <c r="D911" s="10" t="n">
        <v>1611</v>
      </c>
      <c r="E911" s="12" t="s">
        <v>199</v>
      </c>
      <c r="F911" s="10" t="n">
        <v>24</v>
      </c>
      <c r="G911" s="12" t="s">
        <v>31</v>
      </c>
      <c r="H911" s="10" t="n">
        <v>2110101</v>
      </c>
      <c r="I911" s="12" t="s">
        <v>32</v>
      </c>
      <c r="J911" s="10" t="n">
        <v>1239682</v>
      </c>
      <c r="L911" s="10" t="n">
        <v>180736282</v>
      </c>
      <c r="M911" s="12" t="s">
        <v>33</v>
      </c>
      <c r="N911" s="12" t="s">
        <v>34</v>
      </c>
      <c r="P911" s="10" t="n">
        <v>128</v>
      </c>
      <c r="Q911" s="12" t="s">
        <v>35</v>
      </c>
      <c r="R911" s="12" t="s">
        <v>36</v>
      </c>
      <c r="S911" s="10" t="n">
        <v>1130101</v>
      </c>
      <c r="T911" s="12" t="s">
        <v>37</v>
      </c>
      <c r="U911" s="13" t="n">
        <v>1718.76</v>
      </c>
      <c r="W911" s="13" t="n">
        <v>0</v>
      </c>
      <c r="X911" s="12" t="s">
        <v>1038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36.75" hidden="false" customHeight="true" outlineLevel="0" collapsed="false">
      <c r="A912" s="10" t="n">
        <v>3</v>
      </c>
      <c r="B912" s="11" t="n">
        <v>46192</v>
      </c>
      <c r="C912" s="11" t="n">
        <v>46244</v>
      </c>
      <c r="D912" s="10" t="n">
        <v>33</v>
      </c>
      <c r="E912" s="12" t="s">
        <v>297</v>
      </c>
      <c r="F912" s="10" t="n">
        <v>34</v>
      </c>
      <c r="G912" s="12" t="s">
        <v>58</v>
      </c>
      <c r="H912" s="10" t="n">
        <v>2110405</v>
      </c>
      <c r="I912" s="12" t="s">
        <v>63</v>
      </c>
      <c r="J912" s="10" t="n">
        <v>1273760</v>
      </c>
      <c r="L912" s="10" t="n">
        <v>199258</v>
      </c>
      <c r="M912" s="12" t="s">
        <v>349</v>
      </c>
      <c r="N912" s="12" t="s">
        <v>34</v>
      </c>
      <c r="P912" s="10" t="n">
        <v>101</v>
      </c>
      <c r="Q912" s="12" t="s">
        <v>136</v>
      </c>
      <c r="R912" s="12" t="s">
        <v>337</v>
      </c>
      <c r="S912" s="10" t="n">
        <v>1240203</v>
      </c>
      <c r="T912" s="12" t="s">
        <v>338</v>
      </c>
      <c r="U912" s="13" t="n">
        <v>666.66</v>
      </c>
      <c r="W912" s="13" t="n">
        <v>0</v>
      </c>
      <c r="X912" s="12" t="s">
        <v>589</v>
      </c>
      <c r="Z912" s="1" t="str">
        <f aca="false">IF($T912="","",IFERROR(INDEX('Resumo Grupos'!$AC$3:$AC$200,MATCH($T912,'Resumo Grupos'!$AB$3:$AB$200,0)),"n/d"))</f>
        <v>Despesa</v>
      </c>
      <c r="AA912" s="1" t="str">
        <f aca="false">IF($T912="","",IF(COUNTIF('Resumo Grupos'!$AE$3:$AE$40,$T912)&gt;0,"NAO","SIM"))</f>
        <v>SIM</v>
      </c>
    </row>
    <row r="913" customFormat="false" ht="36.75" hidden="false" customHeight="true" outlineLevel="0" collapsed="false">
      <c r="A913" s="10" t="n">
        <v>3</v>
      </c>
      <c r="B913" s="11" t="n">
        <v>46211</v>
      </c>
      <c r="C913" s="11" t="n">
        <v>46244</v>
      </c>
      <c r="D913" s="10" t="n">
        <v>33</v>
      </c>
      <c r="E913" s="12" t="s">
        <v>297</v>
      </c>
      <c r="F913" s="10" t="n">
        <v>34</v>
      </c>
      <c r="G913" s="12" t="s">
        <v>58</v>
      </c>
      <c r="H913" s="10" t="n">
        <v>2110405</v>
      </c>
      <c r="I913" s="12" t="s">
        <v>63</v>
      </c>
      <c r="J913" s="10" t="n">
        <v>1370731</v>
      </c>
      <c r="L913" s="10" t="n">
        <v>213889</v>
      </c>
      <c r="M913" s="12" t="s">
        <v>559</v>
      </c>
      <c r="N913" s="12" t="s">
        <v>34</v>
      </c>
      <c r="P913" s="10" t="n">
        <v>101</v>
      </c>
      <c r="Q913" s="12" t="s">
        <v>136</v>
      </c>
      <c r="R913" s="12" t="s">
        <v>64</v>
      </c>
      <c r="S913" s="10" t="n">
        <v>4210222</v>
      </c>
      <c r="T913" s="12" t="s">
        <v>632</v>
      </c>
      <c r="U913" s="13" t="n">
        <v>666.67</v>
      </c>
      <c r="W913" s="13" t="n">
        <v>0</v>
      </c>
      <c r="X913" s="12" t="s">
        <v>633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</row>
    <row r="914" customFormat="false" ht="36.75" hidden="false" customHeight="true" outlineLevel="0" collapsed="false">
      <c r="A914" s="10" t="n">
        <v>3</v>
      </c>
      <c r="B914" s="11" t="n">
        <v>46214</v>
      </c>
      <c r="C914" s="11" t="n">
        <v>46244</v>
      </c>
      <c r="D914" s="10" t="n">
        <v>33</v>
      </c>
      <c r="E914" s="12" t="s">
        <v>297</v>
      </c>
      <c r="F914" s="10" t="n">
        <v>34</v>
      </c>
      <c r="G914" s="12" t="s">
        <v>58</v>
      </c>
      <c r="H914" s="10" t="n">
        <v>2110405</v>
      </c>
      <c r="I914" s="12" t="s">
        <v>63</v>
      </c>
      <c r="J914" s="10" t="n">
        <v>1053887</v>
      </c>
      <c r="L914" s="10" t="n">
        <v>166257</v>
      </c>
      <c r="M914" s="12" t="s">
        <v>371</v>
      </c>
      <c r="N914" s="12" t="s">
        <v>34</v>
      </c>
      <c r="P914" s="10" t="n">
        <v>102</v>
      </c>
      <c r="Q914" s="12" t="s">
        <v>141</v>
      </c>
      <c r="R914" s="12" t="s">
        <v>137</v>
      </c>
      <c r="S914" s="10" t="n">
        <v>4210301</v>
      </c>
      <c r="T914" s="12" t="s">
        <v>357</v>
      </c>
      <c r="U914" s="13" t="n">
        <v>362.3</v>
      </c>
      <c r="W914" s="13" t="n">
        <v>0</v>
      </c>
      <c r="X914" s="12" t="s">
        <v>374</v>
      </c>
      <c r="Z914" s="1" t="str">
        <f aca="false">IF($T914="","",IFERROR(INDEX('Resumo Grupos'!$AC$3:$AC$200,MATCH($T914,'Resumo Grupos'!$AB$3:$AB$200,0)),"n/d"))</f>
        <v>Salários</v>
      </c>
      <c r="AA914" s="1" t="str">
        <f aca="false">IF($T914="","",IF(COUNTIF('Resumo Grupos'!$AE$3:$AE$40,$T914)&gt;0,"NAO","SIM"))</f>
        <v>SIM</v>
      </c>
    </row>
    <row r="915" customFormat="false" ht="36.75" hidden="false" customHeight="true" outlineLevel="0" collapsed="false">
      <c r="A915" s="10" t="n">
        <v>3</v>
      </c>
      <c r="B915" s="11" t="n">
        <v>46214</v>
      </c>
      <c r="C915" s="11" t="n">
        <v>46244</v>
      </c>
      <c r="D915" s="10" t="n">
        <v>1028</v>
      </c>
      <c r="E915" s="12" t="s">
        <v>487</v>
      </c>
      <c r="F915" s="10" t="n">
        <v>34</v>
      </c>
      <c r="G915" s="12" t="s">
        <v>58</v>
      </c>
      <c r="H915" s="10" t="n">
        <v>2110405</v>
      </c>
      <c r="I915" s="12" t="s">
        <v>63</v>
      </c>
      <c r="J915" s="10" t="n">
        <v>1382524</v>
      </c>
      <c r="L915" s="10" t="n">
        <v>215701</v>
      </c>
      <c r="M915" s="12" t="s">
        <v>559</v>
      </c>
      <c r="N915" s="12" t="s">
        <v>34</v>
      </c>
      <c r="P915" s="10" t="n">
        <v>101</v>
      </c>
      <c r="Q915" s="12" t="s">
        <v>136</v>
      </c>
      <c r="R915" s="12" t="s">
        <v>206</v>
      </c>
      <c r="S915" s="10" t="n">
        <v>4210111</v>
      </c>
      <c r="T915" s="12" t="s">
        <v>488</v>
      </c>
      <c r="U915" s="13" t="n">
        <v>5500</v>
      </c>
      <c r="W915" s="13" t="n">
        <v>0</v>
      </c>
      <c r="X915" s="12" t="s">
        <v>489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3</v>
      </c>
      <c r="B916" s="11" t="n">
        <v>46216</v>
      </c>
      <c r="C916" s="11" t="n">
        <v>46244</v>
      </c>
      <c r="D916" s="10" t="n">
        <v>1636</v>
      </c>
      <c r="E916" s="12" t="s">
        <v>195</v>
      </c>
      <c r="F916" s="10" t="n">
        <v>24</v>
      </c>
      <c r="G916" s="12" t="s">
        <v>31</v>
      </c>
      <c r="H916" s="10" t="n">
        <v>1110204</v>
      </c>
      <c r="I916" s="12" t="s">
        <v>177</v>
      </c>
      <c r="J916" s="10" t="n">
        <v>1401761</v>
      </c>
      <c r="L916" s="10" t="n">
        <v>32187123</v>
      </c>
      <c r="M916" s="12" t="s">
        <v>33</v>
      </c>
      <c r="N916" s="12" t="s">
        <v>34</v>
      </c>
      <c r="P916" s="10" t="n">
        <v>167</v>
      </c>
      <c r="Q916" s="12" t="s">
        <v>220</v>
      </c>
      <c r="R916" s="12" t="s">
        <v>36</v>
      </c>
      <c r="S916" s="10" t="n">
        <v>1130101</v>
      </c>
      <c r="T916" s="12" t="s">
        <v>37</v>
      </c>
      <c r="U916" s="13" t="n">
        <v>930.36</v>
      </c>
      <c r="W916" s="13" t="n">
        <v>0</v>
      </c>
      <c r="X916" s="12" t="s">
        <v>1039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36.75" hidden="false" customHeight="true" outlineLevel="0" collapsed="false">
      <c r="A917" s="10" t="n">
        <v>3</v>
      </c>
      <c r="B917" s="11" t="n">
        <v>46216</v>
      </c>
      <c r="C917" s="11" t="n">
        <v>46244</v>
      </c>
      <c r="D917" s="10" t="n">
        <v>1445</v>
      </c>
      <c r="E917" s="12" t="s">
        <v>835</v>
      </c>
      <c r="F917" s="10" t="n">
        <v>24</v>
      </c>
      <c r="G917" s="12" t="s">
        <v>31</v>
      </c>
      <c r="H917" s="10" t="n">
        <v>1110204</v>
      </c>
      <c r="I917" s="12" t="s">
        <v>177</v>
      </c>
      <c r="J917" s="10" t="n">
        <v>1407211</v>
      </c>
      <c r="L917" s="10" t="n">
        <v>2982083</v>
      </c>
      <c r="M917" s="12" t="s">
        <v>33</v>
      </c>
      <c r="N917" s="12" t="s">
        <v>34</v>
      </c>
      <c r="P917" s="10" t="n">
        <v>167</v>
      </c>
      <c r="Q917" s="12" t="s">
        <v>220</v>
      </c>
      <c r="R917" s="12" t="s">
        <v>36</v>
      </c>
      <c r="S917" s="10" t="n">
        <v>1130101</v>
      </c>
      <c r="T917" s="12" t="s">
        <v>37</v>
      </c>
      <c r="U917" s="13" t="n">
        <v>620.44</v>
      </c>
      <c r="W917" s="13" t="n">
        <v>0</v>
      </c>
      <c r="X917" s="12" t="s">
        <v>1040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36.75" hidden="false" customHeight="true" outlineLevel="0" collapsed="false">
      <c r="A918" s="10" t="n">
        <v>3</v>
      </c>
      <c r="B918" s="11" t="n">
        <v>46220</v>
      </c>
      <c r="C918" s="11" t="n">
        <v>46244</v>
      </c>
      <c r="D918" s="10" t="n">
        <v>1778</v>
      </c>
      <c r="E918" s="12" t="s">
        <v>248</v>
      </c>
      <c r="F918" s="10" t="n">
        <v>24</v>
      </c>
      <c r="G918" s="12" t="s">
        <v>31</v>
      </c>
      <c r="H918" s="10" t="n">
        <v>2110405</v>
      </c>
      <c r="I918" s="12" t="s">
        <v>63</v>
      </c>
      <c r="J918" s="10" t="n">
        <v>1411762</v>
      </c>
      <c r="L918" s="10" t="n">
        <v>163141621</v>
      </c>
      <c r="M918" s="12" t="s">
        <v>33</v>
      </c>
      <c r="N918" s="12" t="s">
        <v>34</v>
      </c>
      <c r="P918" s="10" t="n">
        <v>167</v>
      </c>
      <c r="Q918" s="12" t="s">
        <v>220</v>
      </c>
      <c r="R918" s="12" t="s">
        <v>64</v>
      </c>
      <c r="S918" s="10" t="n">
        <v>4210207</v>
      </c>
      <c r="T918" s="12" t="s">
        <v>249</v>
      </c>
      <c r="U918" s="13" t="n">
        <v>65.5</v>
      </c>
      <c r="W918" s="13" t="n">
        <v>0</v>
      </c>
      <c r="X918" s="12" t="s">
        <v>1041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3</v>
      </c>
      <c r="B919" s="11" t="n">
        <v>46220</v>
      </c>
      <c r="C919" s="11" t="n">
        <v>46244</v>
      </c>
      <c r="D919" s="10" t="n">
        <v>1166</v>
      </c>
      <c r="E919" s="12" t="s">
        <v>460</v>
      </c>
      <c r="F919" s="10" t="n">
        <v>24</v>
      </c>
      <c r="G919" s="12" t="s">
        <v>31</v>
      </c>
      <c r="H919" s="10" t="n">
        <v>2110405</v>
      </c>
      <c r="I919" s="12" t="s">
        <v>63</v>
      </c>
      <c r="J919" s="10" t="n">
        <v>1424573</v>
      </c>
      <c r="L919" s="10" t="n">
        <v>355482</v>
      </c>
      <c r="M919" s="12" t="s">
        <v>33</v>
      </c>
      <c r="N919" s="12" t="s">
        <v>34</v>
      </c>
      <c r="P919" s="10" t="n">
        <v>167</v>
      </c>
      <c r="Q919" s="12" t="s">
        <v>220</v>
      </c>
      <c r="R919" s="12" t="s">
        <v>36</v>
      </c>
      <c r="S919" s="10" t="n">
        <v>1130101</v>
      </c>
      <c r="T919" s="12" t="s">
        <v>37</v>
      </c>
      <c r="U919" s="13" t="n">
        <v>404.55</v>
      </c>
      <c r="W919" s="13" t="n">
        <v>0</v>
      </c>
      <c r="X919" s="12" t="s">
        <v>1042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3</v>
      </c>
      <c r="B920" s="11" t="n">
        <v>46225</v>
      </c>
      <c r="C920" s="11" t="n">
        <v>46244</v>
      </c>
      <c r="D920" s="10" t="n">
        <v>1613</v>
      </c>
      <c r="E920" s="12" t="s">
        <v>209</v>
      </c>
      <c r="F920" s="10" t="n">
        <v>24</v>
      </c>
      <c r="G920" s="12" t="s">
        <v>31</v>
      </c>
      <c r="H920" s="10" t="n">
        <v>2110405</v>
      </c>
      <c r="I920" s="12" t="s">
        <v>63</v>
      </c>
      <c r="J920" s="10" t="n">
        <v>1434411</v>
      </c>
      <c r="L920" s="10" t="n">
        <v>16099463</v>
      </c>
      <c r="M920" s="12" t="s">
        <v>33</v>
      </c>
      <c r="N920" s="12" t="s">
        <v>34</v>
      </c>
      <c r="P920" s="10" t="n">
        <v>167</v>
      </c>
      <c r="Q920" s="12" t="s">
        <v>220</v>
      </c>
      <c r="R920" s="12" t="s">
        <v>36</v>
      </c>
      <c r="S920" s="10" t="n">
        <v>1130101</v>
      </c>
      <c r="T920" s="12" t="s">
        <v>37</v>
      </c>
      <c r="U920" s="13" t="n">
        <v>1315.92</v>
      </c>
      <c r="W920" s="13" t="n">
        <v>0</v>
      </c>
      <c r="X920" s="12" t="s">
        <v>1043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3</v>
      </c>
      <c r="B921" s="11" t="n">
        <v>46228</v>
      </c>
      <c r="C921" s="11" t="n">
        <v>46244</v>
      </c>
      <c r="D921" s="10" t="n">
        <v>1608</v>
      </c>
      <c r="E921" s="12" t="s">
        <v>69</v>
      </c>
      <c r="F921" s="10" t="n">
        <v>24</v>
      </c>
      <c r="G921" s="12" t="s">
        <v>31</v>
      </c>
      <c r="H921" s="10" t="n">
        <v>1110204</v>
      </c>
      <c r="I921" s="12" t="s">
        <v>177</v>
      </c>
      <c r="J921" s="10" t="n">
        <v>1458379</v>
      </c>
      <c r="L921" s="10" t="n">
        <v>16998851</v>
      </c>
      <c r="M921" s="12" t="s">
        <v>33</v>
      </c>
      <c r="N921" s="12" t="s">
        <v>34</v>
      </c>
      <c r="P921" s="10" t="n">
        <v>167</v>
      </c>
      <c r="Q921" s="12" t="s">
        <v>220</v>
      </c>
      <c r="R921" s="12" t="s">
        <v>36</v>
      </c>
      <c r="S921" s="10" t="n">
        <v>1130101</v>
      </c>
      <c r="T921" s="12" t="s">
        <v>37</v>
      </c>
      <c r="U921" s="13" t="n">
        <v>418.68</v>
      </c>
      <c r="W921" s="13" t="n">
        <v>0</v>
      </c>
      <c r="X921" s="12" t="s">
        <v>1044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36.75" hidden="false" customHeight="true" outlineLevel="0" collapsed="false">
      <c r="A922" s="10" t="n">
        <v>3</v>
      </c>
      <c r="B922" s="11" t="n">
        <v>46230</v>
      </c>
      <c r="C922" s="11" t="n">
        <v>46244</v>
      </c>
      <c r="D922" s="10" t="n">
        <v>1269</v>
      </c>
      <c r="E922" s="12" t="s">
        <v>938</v>
      </c>
      <c r="F922" s="10" t="n">
        <v>24</v>
      </c>
      <c r="G922" s="12" t="s">
        <v>31</v>
      </c>
      <c r="H922" s="10" t="n">
        <v>1110204</v>
      </c>
      <c r="I922" s="12" t="s">
        <v>177</v>
      </c>
      <c r="J922" s="10" t="n">
        <v>1458690</v>
      </c>
      <c r="L922" s="10" t="n">
        <v>42</v>
      </c>
      <c r="M922" s="12" t="s">
        <v>33</v>
      </c>
      <c r="N922" s="12" t="s">
        <v>34</v>
      </c>
      <c r="P922" s="10" t="n">
        <v>167</v>
      </c>
      <c r="Q922" s="12" t="s">
        <v>220</v>
      </c>
      <c r="R922" s="12" t="s">
        <v>36</v>
      </c>
      <c r="S922" s="10" t="n">
        <v>1130101</v>
      </c>
      <c r="T922" s="12" t="s">
        <v>37</v>
      </c>
      <c r="U922" s="13" t="n">
        <v>746.66</v>
      </c>
      <c r="W922" s="13" t="n">
        <v>0</v>
      </c>
      <c r="X922" s="12" t="s">
        <v>1045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36.75" hidden="false" customHeight="true" outlineLevel="0" collapsed="false">
      <c r="A923" s="10" t="n">
        <v>3</v>
      </c>
      <c r="B923" s="11" t="n">
        <v>46228</v>
      </c>
      <c r="C923" s="11" t="n">
        <v>46244</v>
      </c>
      <c r="D923" s="10" t="n">
        <v>1608</v>
      </c>
      <c r="E923" s="12" t="s">
        <v>69</v>
      </c>
      <c r="F923" s="10" t="n">
        <v>24</v>
      </c>
      <c r="G923" s="12" t="s">
        <v>31</v>
      </c>
      <c r="H923" s="10" t="n">
        <v>1110204</v>
      </c>
      <c r="I923" s="12" t="s">
        <v>177</v>
      </c>
      <c r="J923" s="10" t="n">
        <v>1468572</v>
      </c>
      <c r="L923" s="10" t="n">
        <v>16995931</v>
      </c>
      <c r="M923" s="12" t="s">
        <v>33</v>
      </c>
      <c r="N923" s="12" t="s">
        <v>34</v>
      </c>
      <c r="P923" s="10" t="n">
        <v>167</v>
      </c>
      <c r="Q923" s="12" t="s">
        <v>220</v>
      </c>
      <c r="R923" s="12" t="s">
        <v>36</v>
      </c>
      <c r="S923" s="10" t="n">
        <v>1130101</v>
      </c>
      <c r="T923" s="12" t="s">
        <v>37</v>
      </c>
      <c r="U923" s="13" t="n">
        <v>903.46</v>
      </c>
      <c r="W923" s="13" t="n">
        <v>0</v>
      </c>
      <c r="X923" s="12" t="s">
        <v>1046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3</v>
      </c>
      <c r="B924" s="11" t="n">
        <v>46231</v>
      </c>
      <c r="C924" s="11" t="n">
        <v>46244</v>
      </c>
      <c r="D924" s="10" t="n">
        <v>1672</v>
      </c>
      <c r="E924" s="12" t="s">
        <v>93</v>
      </c>
      <c r="F924" s="10" t="n">
        <v>24</v>
      </c>
      <c r="G924" s="12" t="s">
        <v>31</v>
      </c>
      <c r="H924" s="10" t="n">
        <v>1110204</v>
      </c>
      <c r="I924" s="12" t="s">
        <v>177</v>
      </c>
      <c r="J924" s="10" t="n">
        <v>1472932</v>
      </c>
      <c r="L924" s="10" t="n">
        <v>14071391</v>
      </c>
      <c r="M924" s="12" t="s">
        <v>33</v>
      </c>
      <c r="N924" s="12" t="s">
        <v>34</v>
      </c>
      <c r="P924" s="10" t="n">
        <v>167</v>
      </c>
      <c r="Q924" s="12" t="s">
        <v>220</v>
      </c>
      <c r="R924" s="12" t="s">
        <v>36</v>
      </c>
      <c r="S924" s="10" t="n">
        <v>1130101</v>
      </c>
      <c r="T924" s="12" t="s">
        <v>37</v>
      </c>
      <c r="U924" s="13" t="n">
        <v>537.5</v>
      </c>
      <c r="W924" s="13" t="n">
        <v>0</v>
      </c>
      <c r="X924" s="12" t="s">
        <v>1047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36.75" hidden="false" customHeight="true" outlineLevel="0" collapsed="false">
      <c r="A925" s="10" t="n">
        <v>3</v>
      </c>
      <c r="B925" s="11" t="n">
        <v>46234</v>
      </c>
      <c r="C925" s="11" t="n">
        <v>46244</v>
      </c>
      <c r="D925" s="10" t="n">
        <v>815</v>
      </c>
      <c r="E925" s="12" t="s">
        <v>410</v>
      </c>
      <c r="F925" s="10" t="n">
        <v>34</v>
      </c>
      <c r="G925" s="12" t="s">
        <v>58</v>
      </c>
      <c r="H925" s="10" t="n">
        <v>2110405</v>
      </c>
      <c r="I925" s="12" t="s">
        <v>63</v>
      </c>
      <c r="J925" s="10" t="n">
        <v>1477448</v>
      </c>
      <c r="L925" s="10" t="n">
        <v>229731</v>
      </c>
      <c r="M925" s="12" t="s">
        <v>33</v>
      </c>
      <c r="N925" s="12" t="s">
        <v>34</v>
      </c>
      <c r="P925" s="10" t="n">
        <v>101</v>
      </c>
      <c r="Q925" s="12" t="s">
        <v>136</v>
      </c>
      <c r="R925" s="12" t="s">
        <v>372</v>
      </c>
      <c r="S925" s="10" t="n">
        <v>2210203</v>
      </c>
      <c r="T925" s="12" t="s">
        <v>1016</v>
      </c>
      <c r="U925" s="13" t="n">
        <v>75000</v>
      </c>
      <c r="W925" s="13" t="n">
        <v>0</v>
      </c>
      <c r="X925" s="12" t="s">
        <v>1048</v>
      </c>
      <c r="Z925" s="1" t="str">
        <f aca="false">IF($T925="","",IFERROR(INDEX('Resumo Grupos'!$AC$3:$AC$200,MATCH($T925,'Resumo Grupos'!$AB$3:$AB$200,0)),"n/d"))</f>
        <v>Empréstimo</v>
      </c>
      <c r="AA925" s="1" t="str">
        <f aca="false">IF($T925="","",IF(COUNTIF('Resumo Grupos'!$AE$3:$AE$40,$T925)&gt;0,"NAO","SIM"))</f>
        <v>NAO</v>
      </c>
    </row>
    <row r="926" customFormat="false" ht="36.75" hidden="false" customHeight="true" outlineLevel="0" collapsed="false">
      <c r="A926" s="10" t="n">
        <v>3</v>
      </c>
      <c r="B926" s="11" t="n">
        <v>46234</v>
      </c>
      <c r="C926" s="11" t="n">
        <v>46244</v>
      </c>
      <c r="D926" s="10" t="n">
        <v>1666</v>
      </c>
      <c r="E926" s="12" t="s">
        <v>179</v>
      </c>
      <c r="F926" s="10" t="n">
        <v>24</v>
      </c>
      <c r="G926" s="12" t="s">
        <v>31</v>
      </c>
      <c r="H926" s="10" t="n">
        <v>2110405</v>
      </c>
      <c r="I926" s="12" t="s">
        <v>63</v>
      </c>
      <c r="J926" s="10" t="n">
        <v>1495092</v>
      </c>
      <c r="L926" s="10" t="n">
        <v>5686651</v>
      </c>
      <c r="M926" s="12" t="s">
        <v>33</v>
      </c>
      <c r="N926" s="12" t="s">
        <v>34</v>
      </c>
      <c r="P926" s="10" t="n">
        <v>167</v>
      </c>
      <c r="Q926" s="12" t="s">
        <v>220</v>
      </c>
      <c r="R926" s="12" t="s">
        <v>36</v>
      </c>
      <c r="S926" s="10" t="n">
        <v>1130101</v>
      </c>
      <c r="T926" s="12" t="s">
        <v>37</v>
      </c>
      <c r="U926" s="13" t="n">
        <v>2964.55</v>
      </c>
      <c r="W926" s="13" t="n">
        <v>0</v>
      </c>
      <c r="X926" s="12" t="s">
        <v>1049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45.75" hidden="false" customHeight="true" outlineLevel="0" collapsed="false">
      <c r="A927" s="10" t="n">
        <v>3</v>
      </c>
      <c r="B927" s="11" t="n">
        <v>46224</v>
      </c>
      <c r="C927" s="11" t="n">
        <v>46245</v>
      </c>
      <c r="D927" s="10" t="n">
        <v>1921</v>
      </c>
      <c r="E927" s="12" t="s">
        <v>318</v>
      </c>
      <c r="F927" s="10" t="n">
        <v>24</v>
      </c>
      <c r="G927" s="12" t="s">
        <v>31</v>
      </c>
      <c r="H927" s="10" t="n">
        <v>2110405</v>
      </c>
      <c r="I927" s="12" t="s">
        <v>63</v>
      </c>
      <c r="J927" s="10" t="n">
        <v>1427659</v>
      </c>
      <c r="L927" s="10" t="n">
        <v>134392</v>
      </c>
      <c r="M927" s="12" t="s">
        <v>33</v>
      </c>
      <c r="N927" s="12" t="s">
        <v>34</v>
      </c>
      <c r="P927" s="10" t="n">
        <v>167</v>
      </c>
      <c r="Q927" s="12" t="s">
        <v>220</v>
      </c>
      <c r="R927" s="12" t="s">
        <v>36</v>
      </c>
      <c r="S927" s="10" t="n">
        <v>1130101</v>
      </c>
      <c r="T927" s="12" t="s">
        <v>37</v>
      </c>
      <c r="U927" s="13" t="n">
        <v>360.15</v>
      </c>
      <c r="W927" s="13" t="n">
        <v>0</v>
      </c>
      <c r="X927" s="12" t="s">
        <v>1050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36.75" hidden="false" customHeight="true" outlineLevel="0" collapsed="false">
      <c r="A928" s="10" t="n">
        <v>3</v>
      </c>
      <c r="B928" s="11" t="n">
        <v>46225</v>
      </c>
      <c r="C928" s="11" t="n">
        <v>46245</v>
      </c>
      <c r="D928" s="10" t="n">
        <v>1815</v>
      </c>
      <c r="E928" s="12" t="s">
        <v>157</v>
      </c>
      <c r="F928" s="10" t="n">
        <v>24</v>
      </c>
      <c r="G928" s="12" t="s">
        <v>31</v>
      </c>
      <c r="H928" s="10" t="n">
        <v>2110405</v>
      </c>
      <c r="I928" s="12" t="s">
        <v>63</v>
      </c>
      <c r="J928" s="10" t="n">
        <v>1435875</v>
      </c>
      <c r="L928" s="10" t="n">
        <v>4580362</v>
      </c>
      <c r="M928" s="12" t="s">
        <v>33</v>
      </c>
      <c r="N928" s="12" t="s">
        <v>34</v>
      </c>
      <c r="P928" s="10" t="n">
        <v>167</v>
      </c>
      <c r="Q928" s="12" t="s">
        <v>220</v>
      </c>
      <c r="R928" s="12" t="s">
        <v>36</v>
      </c>
      <c r="S928" s="10" t="n">
        <v>1130101</v>
      </c>
      <c r="T928" s="12" t="s">
        <v>37</v>
      </c>
      <c r="U928" s="13" t="n">
        <v>2067.28</v>
      </c>
      <c r="W928" s="13" t="n">
        <v>0</v>
      </c>
      <c r="X928" s="12" t="s">
        <v>1051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72.75" hidden="false" customHeight="true" outlineLevel="0" collapsed="false">
      <c r="A929" s="10" t="n">
        <v>3</v>
      </c>
      <c r="B929" s="11" t="n">
        <v>46224</v>
      </c>
      <c r="C929" s="11" t="n">
        <v>46245</v>
      </c>
      <c r="D929" s="10" t="n">
        <v>1636</v>
      </c>
      <c r="E929" s="12" t="s">
        <v>195</v>
      </c>
      <c r="F929" s="10" t="n">
        <v>24</v>
      </c>
      <c r="G929" s="12" t="s">
        <v>31</v>
      </c>
      <c r="H929" s="10" t="n">
        <v>1110204</v>
      </c>
      <c r="I929" s="12" t="s">
        <v>177</v>
      </c>
      <c r="J929" s="10" t="n">
        <v>1448430</v>
      </c>
      <c r="L929" s="10" t="n">
        <v>32235722</v>
      </c>
      <c r="M929" s="12" t="s">
        <v>33</v>
      </c>
      <c r="N929" s="12" t="s">
        <v>34</v>
      </c>
      <c r="P929" s="10" t="n">
        <v>167</v>
      </c>
      <c r="Q929" s="12" t="s">
        <v>220</v>
      </c>
      <c r="R929" s="12" t="s">
        <v>36</v>
      </c>
      <c r="S929" s="10" t="n">
        <v>1130101</v>
      </c>
      <c r="T929" s="12" t="s">
        <v>37</v>
      </c>
      <c r="U929" s="13" t="n">
        <v>289.19</v>
      </c>
      <c r="W929" s="13" t="n">
        <v>0</v>
      </c>
      <c r="X929" s="12" t="s">
        <v>1052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72.75" hidden="false" customHeight="true" outlineLevel="0" collapsed="false">
      <c r="A930" s="10" t="n">
        <v>3</v>
      </c>
      <c r="B930" s="11" t="n">
        <v>46231</v>
      </c>
      <c r="C930" s="11" t="n">
        <v>46245</v>
      </c>
      <c r="D930" s="10" t="n">
        <v>1740</v>
      </c>
      <c r="E930" s="12" t="s">
        <v>273</v>
      </c>
      <c r="F930" s="10" t="n">
        <v>24</v>
      </c>
      <c r="G930" s="12" t="s">
        <v>31</v>
      </c>
      <c r="H930" s="10" t="n">
        <v>2110405</v>
      </c>
      <c r="I930" s="12" t="s">
        <v>63</v>
      </c>
      <c r="J930" s="10" t="n">
        <v>1468598</v>
      </c>
      <c r="L930" s="10" t="n">
        <v>12522441</v>
      </c>
      <c r="M930" s="12" t="s">
        <v>33</v>
      </c>
      <c r="N930" s="12" t="s">
        <v>34</v>
      </c>
      <c r="P930" s="10" t="n">
        <v>167</v>
      </c>
      <c r="Q930" s="12" t="s">
        <v>220</v>
      </c>
      <c r="R930" s="12" t="s">
        <v>36</v>
      </c>
      <c r="S930" s="10" t="n">
        <v>1130101</v>
      </c>
      <c r="T930" s="12" t="s">
        <v>37</v>
      </c>
      <c r="U930" s="13" t="n">
        <v>676.45</v>
      </c>
      <c r="W930" s="13" t="n">
        <v>0</v>
      </c>
      <c r="X930" s="12" t="s">
        <v>1053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45.75" hidden="false" customHeight="true" outlineLevel="0" collapsed="false">
      <c r="A931" s="10" t="n">
        <v>3</v>
      </c>
      <c r="B931" s="11" t="n">
        <v>46231</v>
      </c>
      <c r="C931" s="11" t="n">
        <v>46245</v>
      </c>
      <c r="D931" s="10" t="n">
        <v>1749</v>
      </c>
      <c r="E931" s="12" t="s">
        <v>110</v>
      </c>
      <c r="F931" s="10" t="n">
        <v>24</v>
      </c>
      <c r="G931" s="12" t="s">
        <v>31</v>
      </c>
      <c r="H931" s="10" t="n">
        <v>1110204</v>
      </c>
      <c r="I931" s="12" t="s">
        <v>177</v>
      </c>
      <c r="J931" s="10" t="n">
        <v>1473006</v>
      </c>
      <c r="L931" s="10" t="n">
        <v>35692</v>
      </c>
      <c r="M931" s="12" t="s">
        <v>33</v>
      </c>
      <c r="N931" s="12" t="s">
        <v>34</v>
      </c>
      <c r="P931" s="10" t="n">
        <v>167</v>
      </c>
      <c r="Q931" s="12" t="s">
        <v>220</v>
      </c>
      <c r="R931" s="12" t="s">
        <v>36</v>
      </c>
      <c r="S931" s="10" t="n">
        <v>1130101</v>
      </c>
      <c r="T931" s="12" t="s">
        <v>37</v>
      </c>
      <c r="U931" s="13" t="n">
        <v>1398.66</v>
      </c>
      <c r="W931" s="13" t="n">
        <v>0</v>
      </c>
      <c r="X931" s="12" t="s">
        <v>1054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3</v>
      </c>
      <c r="B932" s="11" t="n">
        <v>46231</v>
      </c>
      <c r="C932" s="11" t="n">
        <v>46245</v>
      </c>
      <c r="D932" s="10" t="n">
        <v>1723</v>
      </c>
      <c r="E932" s="12" t="s">
        <v>54</v>
      </c>
      <c r="F932" s="10" t="n">
        <v>24</v>
      </c>
      <c r="G932" s="12" t="s">
        <v>31</v>
      </c>
      <c r="H932" s="10" t="n">
        <v>2110405</v>
      </c>
      <c r="I932" s="12" t="s">
        <v>63</v>
      </c>
      <c r="J932" s="10" t="n">
        <v>1473775</v>
      </c>
      <c r="L932" s="10" t="n">
        <v>578112</v>
      </c>
      <c r="M932" s="12" t="s">
        <v>33</v>
      </c>
      <c r="N932" s="12" t="s">
        <v>34</v>
      </c>
      <c r="P932" s="10" t="n">
        <v>167</v>
      </c>
      <c r="Q932" s="12" t="s">
        <v>220</v>
      </c>
      <c r="R932" s="12" t="s">
        <v>36</v>
      </c>
      <c r="S932" s="10" t="n">
        <v>1130101</v>
      </c>
      <c r="T932" s="12" t="s">
        <v>37</v>
      </c>
      <c r="U932" s="13" t="n">
        <v>2040.8</v>
      </c>
      <c r="W932" s="13" t="n">
        <v>0</v>
      </c>
      <c r="X932" s="12" t="s">
        <v>1055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54.75" hidden="false" customHeight="true" outlineLevel="0" collapsed="false">
      <c r="A933" s="10" t="n">
        <v>3</v>
      </c>
      <c r="B933" s="11" t="n">
        <v>46233</v>
      </c>
      <c r="C933" s="11" t="n">
        <v>46245</v>
      </c>
      <c r="D933" s="10" t="n">
        <v>1613</v>
      </c>
      <c r="E933" s="12" t="s">
        <v>209</v>
      </c>
      <c r="F933" s="10" t="n">
        <v>24</v>
      </c>
      <c r="G933" s="12" t="s">
        <v>31</v>
      </c>
      <c r="H933" s="10" t="n">
        <v>1110204</v>
      </c>
      <c r="I933" s="12" t="s">
        <v>177</v>
      </c>
      <c r="J933" s="10" t="n">
        <v>1473804</v>
      </c>
      <c r="L933" s="10" t="n">
        <v>16135172</v>
      </c>
      <c r="M933" s="12" t="s">
        <v>33</v>
      </c>
      <c r="N933" s="12" t="s">
        <v>34</v>
      </c>
      <c r="P933" s="10" t="n">
        <v>167</v>
      </c>
      <c r="Q933" s="12" t="s">
        <v>220</v>
      </c>
      <c r="R933" s="12" t="s">
        <v>36</v>
      </c>
      <c r="S933" s="10" t="n">
        <v>1130101</v>
      </c>
      <c r="T933" s="12" t="s">
        <v>37</v>
      </c>
      <c r="U933" s="13" t="n">
        <v>1468.01</v>
      </c>
      <c r="W933" s="13" t="n">
        <v>0</v>
      </c>
      <c r="X933" s="12" t="s">
        <v>1056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45.75" hidden="false" customHeight="true" outlineLevel="0" collapsed="false">
      <c r="A934" s="10" t="n">
        <v>3</v>
      </c>
      <c r="B934" s="11" t="n">
        <v>46232</v>
      </c>
      <c r="C934" s="11" t="n">
        <v>46245</v>
      </c>
      <c r="D934" s="10" t="n">
        <v>1911</v>
      </c>
      <c r="E934" s="12" t="s">
        <v>62</v>
      </c>
      <c r="F934" s="10" t="n">
        <v>24</v>
      </c>
      <c r="G934" s="12" t="s">
        <v>31</v>
      </c>
      <c r="H934" s="10" t="n">
        <v>1110204</v>
      </c>
      <c r="I934" s="12" t="s">
        <v>177</v>
      </c>
      <c r="J934" s="10" t="n">
        <v>1477480</v>
      </c>
      <c r="L934" s="10" t="n">
        <v>66364</v>
      </c>
      <c r="M934" s="12" t="s">
        <v>33</v>
      </c>
      <c r="N934" s="12" t="s">
        <v>34</v>
      </c>
      <c r="P934" s="10" t="n">
        <v>167</v>
      </c>
      <c r="Q934" s="12" t="s">
        <v>220</v>
      </c>
      <c r="R934" s="12" t="s">
        <v>64</v>
      </c>
      <c r="S934" s="10" t="n">
        <v>4210299</v>
      </c>
      <c r="T934" s="12" t="s">
        <v>615</v>
      </c>
      <c r="U934" s="13" t="n">
        <v>648</v>
      </c>
      <c r="W934" s="13" t="n">
        <v>0</v>
      </c>
      <c r="X934" s="12" t="s">
        <v>1057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</row>
    <row r="935" customFormat="false" ht="45.75" hidden="false" customHeight="true" outlineLevel="0" collapsed="false">
      <c r="A935" s="10" t="n">
        <v>3</v>
      </c>
      <c r="B935" s="11" t="n">
        <v>46231</v>
      </c>
      <c r="C935" s="11" t="n">
        <v>46245</v>
      </c>
      <c r="D935" s="10" t="n">
        <v>10009</v>
      </c>
      <c r="E935" s="12" t="s">
        <v>99</v>
      </c>
      <c r="F935" s="10" t="n">
        <v>24</v>
      </c>
      <c r="G935" s="12" t="s">
        <v>31</v>
      </c>
      <c r="H935" s="10" t="n">
        <v>2110101</v>
      </c>
      <c r="I935" s="12" t="s">
        <v>32</v>
      </c>
      <c r="J935" s="10" t="n">
        <v>1477520</v>
      </c>
      <c r="L935" s="10" t="n">
        <v>1433260</v>
      </c>
      <c r="M935" s="12" t="s">
        <v>33</v>
      </c>
      <c r="N935" s="12" t="s">
        <v>34</v>
      </c>
      <c r="P935" s="10" t="n">
        <v>167</v>
      </c>
      <c r="Q935" s="12" t="s">
        <v>220</v>
      </c>
      <c r="R935" s="12" t="s">
        <v>36</v>
      </c>
      <c r="S935" s="10" t="n">
        <v>1130101</v>
      </c>
      <c r="T935" s="12" t="s">
        <v>37</v>
      </c>
      <c r="U935" s="13" t="n">
        <v>1385.79</v>
      </c>
      <c r="W935" s="13" t="n">
        <v>0</v>
      </c>
      <c r="X935" s="12" t="s">
        <v>1058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45.75" hidden="false" customHeight="true" outlineLevel="0" collapsed="false">
      <c r="A936" s="10" t="n">
        <v>3</v>
      </c>
      <c r="B936" s="11" t="n">
        <v>46234</v>
      </c>
      <c r="C936" s="11" t="n">
        <v>46245</v>
      </c>
      <c r="D936" s="10" t="n">
        <v>1621</v>
      </c>
      <c r="E936" s="12" t="s">
        <v>129</v>
      </c>
      <c r="F936" s="10" t="n">
        <v>24</v>
      </c>
      <c r="G936" s="12" t="s">
        <v>31</v>
      </c>
      <c r="H936" s="10" t="n">
        <v>1110204</v>
      </c>
      <c r="I936" s="12" t="s">
        <v>177</v>
      </c>
      <c r="J936" s="10" t="n">
        <v>1492837</v>
      </c>
      <c r="L936" s="10" t="n">
        <v>935472</v>
      </c>
      <c r="M936" s="12" t="s">
        <v>33</v>
      </c>
      <c r="N936" s="12" t="s">
        <v>34</v>
      </c>
      <c r="P936" s="10" t="n">
        <v>167</v>
      </c>
      <c r="Q936" s="12" t="s">
        <v>220</v>
      </c>
      <c r="R936" s="12" t="s">
        <v>36</v>
      </c>
      <c r="S936" s="10" t="n">
        <v>1130101</v>
      </c>
      <c r="T936" s="12" t="s">
        <v>37</v>
      </c>
      <c r="U936" s="13" t="n">
        <v>944.87</v>
      </c>
      <c r="W936" s="13" t="n">
        <v>0</v>
      </c>
      <c r="X936" s="12" t="s">
        <v>1059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3</v>
      </c>
      <c r="B937" s="11" t="n">
        <v>46237</v>
      </c>
      <c r="C937" s="11" t="n">
        <v>46245</v>
      </c>
      <c r="D937" s="10" t="n">
        <v>1734</v>
      </c>
      <c r="E937" s="12" t="s">
        <v>214</v>
      </c>
      <c r="F937" s="10" t="n">
        <v>24</v>
      </c>
      <c r="G937" s="12" t="s">
        <v>31</v>
      </c>
      <c r="H937" s="10" t="n">
        <v>1110204</v>
      </c>
      <c r="I937" s="12" t="s">
        <v>177</v>
      </c>
      <c r="J937" s="10" t="n">
        <v>1495561</v>
      </c>
      <c r="L937" s="10" t="n">
        <v>2562082</v>
      </c>
      <c r="M937" s="12" t="s">
        <v>33</v>
      </c>
      <c r="N937" s="12" t="s">
        <v>34</v>
      </c>
      <c r="P937" s="10" t="n">
        <v>167</v>
      </c>
      <c r="Q937" s="12" t="s">
        <v>220</v>
      </c>
      <c r="R937" s="12" t="s">
        <v>36</v>
      </c>
      <c r="S937" s="10" t="n">
        <v>1130101</v>
      </c>
      <c r="T937" s="12" t="s">
        <v>37</v>
      </c>
      <c r="U937" s="13" t="n">
        <v>430</v>
      </c>
      <c r="W937" s="13" t="n">
        <v>0</v>
      </c>
      <c r="X937" s="12" t="s">
        <v>1060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36.75" hidden="false" customHeight="true" outlineLevel="0" collapsed="false">
      <c r="A938" s="10" t="n">
        <v>3</v>
      </c>
      <c r="B938" s="11" t="n">
        <v>46238</v>
      </c>
      <c r="C938" s="11" t="n">
        <v>46245</v>
      </c>
      <c r="D938" s="10" t="n">
        <v>1378</v>
      </c>
      <c r="E938" s="12" t="s">
        <v>119</v>
      </c>
      <c r="F938" s="10" t="n">
        <v>24</v>
      </c>
      <c r="G938" s="12" t="s">
        <v>31</v>
      </c>
      <c r="H938" s="10" t="n">
        <v>2110405</v>
      </c>
      <c r="I938" s="12" t="s">
        <v>63</v>
      </c>
      <c r="J938" s="10" t="n">
        <v>1503228</v>
      </c>
      <c r="L938" s="10" t="n">
        <v>18523</v>
      </c>
      <c r="M938" s="12" t="s">
        <v>33</v>
      </c>
      <c r="N938" s="12" t="s">
        <v>34</v>
      </c>
      <c r="P938" s="10" t="n">
        <v>167</v>
      </c>
      <c r="Q938" s="12" t="s">
        <v>220</v>
      </c>
      <c r="R938" s="12" t="s">
        <v>36</v>
      </c>
      <c r="S938" s="10" t="n">
        <v>1130101</v>
      </c>
      <c r="T938" s="12" t="s">
        <v>37</v>
      </c>
      <c r="U938" s="13" t="n">
        <v>282</v>
      </c>
      <c r="W938" s="13" t="n">
        <v>0</v>
      </c>
      <c r="X938" s="12" t="s">
        <v>1061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3</v>
      </c>
      <c r="B939" s="11" t="n">
        <v>46237</v>
      </c>
      <c r="C939" s="11" t="n">
        <v>46245</v>
      </c>
      <c r="D939" s="10" t="n">
        <v>1705</v>
      </c>
      <c r="E939" s="12" t="s">
        <v>252</v>
      </c>
      <c r="F939" s="10" t="n">
        <v>24</v>
      </c>
      <c r="G939" s="12" t="s">
        <v>31</v>
      </c>
      <c r="H939" s="10" t="n">
        <v>2110405</v>
      </c>
      <c r="I939" s="12" t="s">
        <v>63</v>
      </c>
      <c r="J939" s="10" t="n">
        <v>1504161</v>
      </c>
      <c r="L939" s="10" t="n">
        <v>19685125</v>
      </c>
      <c r="M939" s="12" t="s">
        <v>33</v>
      </c>
      <c r="N939" s="12" t="s">
        <v>34</v>
      </c>
      <c r="P939" s="10" t="n">
        <v>167</v>
      </c>
      <c r="Q939" s="12" t="s">
        <v>220</v>
      </c>
      <c r="R939" s="12" t="s">
        <v>36</v>
      </c>
      <c r="S939" s="10" t="n">
        <v>1130101</v>
      </c>
      <c r="T939" s="12" t="s">
        <v>37</v>
      </c>
      <c r="U939" s="13" t="n">
        <v>3781.27</v>
      </c>
      <c r="W939" s="13" t="n">
        <v>0</v>
      </c>
      <c r="X939" s="12" t="s">
        <v>1062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3</v>
      </c>
      <c r="B940" s="11" t="n">
        <v>46237</v>
      </c>
      <c r="C940" s="11" t="n">
        <v>46245</v>
      </c>
      <c r="D940" s="10" t="n">
        <v>1705</v>
      </c>
      <c r="E940" s="12" t="s">
        <v>252</v>
      </c>
      <c r="F940" s="10" t="n">
        <v>24</v>
      </c>
      <c r="G940" s="12" t="s">
        <v>31</v>
      </c>
      <c r="H940" s="10" t="n">
        <v>2110405</v>
      </c>
      <c r="I940" s="12" t="s">
        <v>63</v>
      </c>
      <c r="J940" s="10" t="n">
        <v>1504186</v>
      </c>
      <c r="L940" s="10" t="n">
        <v>19683555</v>
      </c>
      <c r="M940" s="12" t="s">
        <v>33</v>
      </c>
      <c r="N940" s="12" t="s">
        <v>34</v>
      </c>
      <c r="P940" s="10" t="n">
        <v>167</v>
      </c>
      <c r="Q940" s="12" t="s">
        <v>220</v>
      </c>
      <c r="R940" s="12" t="s">
        <v>36</v>
      </c>
      <c r="S940" s="10" t="n">
        <v>1130101</v>
      </c>
      <c r="T940" s="12" t="s">
        <v>37</v>
      </c>
      <c r="U940" s="13" t="n">
        <v>593.41</v>
      </c>
      <c r="W940" s="13" t="n">
        <v>0</v>
      </c>
      <c r="X940" s="12" t="s">
        <v>1063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36.75" hidden="false" customHeight="true" outlineLevel="0" collapsed="false">
      <c r="A941" s="10" t="n">
        <v>3</v>
      </c>
      <c r="B941" s="11" t="n">
        <v>46237</v>
      </c>
      <c r="C941" s="11" t="n">
        <v>46245</v>
      </c>
      <c r="D941" s="10" t="n">
        <v>1705</v>
      </c>
      <c r="E941" s="12" t="s">
        <v>252</v>
      </c>
      <c r="F941" s="10" t="n">
        <v>24</v>
      </c>
      <c r="G941" s="12" t="s">
        <v>31</v>
      </c>
      <c r="H941" s="10" t="n">
        <v>1110204</v>
      </c>
      <c r="I941" s="12" t="s">
        <v>177</v>
      </c>
      <c r="J941" s="10" t="n">
        <v>1504194</v>
      </c>
      <c r="L941" s="10" t="n">
        <v>1232508</v>
      </c>
      <c r="M941" s="12" t="s">
        <v>33</v>
      </c>
      <c r="N941" s="12" t="s">
        <v>34</v>
      </c>
      <c r="P941" s="10" t="n">
        <v>167</v>
      </c>
      <c r="Q941" s="12" t="s">
        <v>220</v>
      </c>
      <c r="R941" s="12" t="s">
        <v>36</v>
      </c>
      <c r="S941" s="10" t="n">
        <v>1130101</v>
      </c>
      <c r="T941" s="12" t="s">
        <v>37</v>
      </c>
      <c r="U941" s="13" t="n">
        <v>2416.27</v>
      </c>
      <c r="W941" s="13" t="n">
        <v>0</v>
      </c>
      <c r="X941" s="12" t="s">
        <v>1064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3</v>
      </c>
      <c r="B942" s="11" t="n">
        <v>46238</v>
      </c>
      <c r="C942" s="11" t="n">
        <v>46245</v>
      </c>
      <c r="D942" s="10" t="n">
        <v>1734</v>
      </c>
      <c r="E942" s="12" t="s">
        <v>214</v>
      </c>
      <c r="F942" s="10" t="n">
        <v>24</v>
      </c>
      <c r="G942" s="12" t="s">
        <v>31</v>
      </c>
      <c r="H942" s="10" t="n">
        <v>1110204</v>
      </c>
      <c r="I942" s="12" t="s">
        <v>177</v>
      </c>
      <c r="J942" s="10" t="n">
        <v>1504817</v>
      </c>
      <c r="L942" s="10" t="n">
        <v>257005</v>
      </c>
      <c r="M942" s="12" t="s">
        <v>33</v>
      </c>
      <c r="N942" s="12" t="s">
        <v>34</v>
      </c>
      <c r="P942" s="10" t="n">
        <v>167</v>
      </c>
      <c r="Q942" s="12" t="s">
        <v>220</v>
      </c>
      <c r="R942" s="12" t="s">
        <v>36</v>
      </c>
      <c r="S942" s="10" t="n">
        <v>1130101</v>
      </c>
      <c r="T942" s="12" t="s">
        <v>37</v>
      </c>
      <c r="U942" s="13" t="n">
        <v>482.52</v>
      </c>
      <c r="W942" s="13" t="n">
        <v>0</v>
      </c>
      <c r="X942" s="12" t="s">
        <v>1065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36.75" hidden="false" customHeight="true" outlineLevel="0" collapsed="false">
      <c r="A943" s="10" t="n">
        <v>3</v>
      </c>
      <c r="B943" s="11" t="n">
        <v>46234</v>
      </c>
      <c r="C943" s="11" t="n">
        <v>46245</v>
      </c>
      <c r="D943" s="10" t="n">
        <v>1608</v>
      </c>
      <c r="E943" s="12" t="s">
        <v>69</v>
      </c>
      <c r="F943" s="10" t="n">
        <v>24</v>
      </c>
      <c r="G943" s="12" t="s">
        <v>31</v>
      </c>
      <c r="H943" s="10" t="n">
        <v>2110405</v>
      </c>
      <c r="I943" s="12" t="s">
        <v>63</v>
      </c>
      <c r="J943" s="10" t="n">
        <v>1509868</v>
      </c>
      <c r="L943" s="10" t="n">
        <v>1704577</v>
      </c>
      <c r="M943" s="12" t="s">
        <v>33</v>
      </c>
      <c r="N943" s="12" t="s">
        <v>34</v>
      </c>
      <c r="P943" s="10" t="n">
        <v>167</v>
      </c>
      <c r="Q943" s="12" t="s">
        <v>220</v>
      </c>
      <c r="R943" s="12" t="s">
        <v>36</v>
      </c>
      <c r="S943" s="10" t="n">
        <v>1130101</v>
      </c>
      <c r="T943" s="12" t="s">
        <v>37</v>
      </c>
      <c r="U943" s="13" t="n">
        <v>156.12</v>
      </c>
      <c r="W943" s="13" t="n">
        <v>0</v>
      </c>
      <c r="X943" s="12" t="s">
        <v>1066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3</v>
      </c>
      <c r="B944" s="11" t="n">
        <v>46241</v>
      </c>
      <c r="C944" s="11" t="n">
        <v>46245</v>
      </c>
      <c r="D944" s="10" t="n">
        <v>1615</v>
      </c>
      <c r="E944" s="12" t="s">
        <v>57</v>
      </c>
      <c r="F944" s="10" t="n">
        <v>34</v>
      </c>
      <c r="G944" s="12" t="s">
        <v>58</v>
      </c>
      <c r="H944" s="10" t="n">
        <v>2110405</v>
      </c>
      <c r="I944" s="12" t="s">
        <v>63</v>
      </c>
      <c r="J944" s="10" t="n">
        <v>1514395</v>
      </c>
      <c r="L944" s="10" t="n">
        <v>235013</v>
      </c>
      <c r="M944" s="12" t="s">
        <v>33</v>
      </c>
      <c r="N944" s="12" t="s">
        <v>34</v>
      </c>
      <c r="P944" s="10" t="n">
        <v>167</v>
      </c>
      <c r="Q944" s="12" t="s">
        <v>220</v>
      </c>
      <c r="R944" s="12" t="s">
        <v>36</v>
      </c>
      <c r="S944" s="10" t="n">
        <v>1130101</v>
      </c>
      <c r="T944" s="12" t="s">
        <v>37</v>
      </c>
      <c r="U944" s="13" t="n">
        <v>270</v>
      </c>
      <c r="W944" s="13" t="n">
        <v>0</v>
      </c>
      <c r="X944" s="12" t="s">
        <v>1067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3</v>
      </c>
      <c r="B945" s="11" t="n">
        <v>46241</v>
      </c>
      <c r="C945" s="11" t="n">
        <v>46245</v>
      </c>
      <c r="D945" s="10" t="n">
        <v>1615</v>
      </c>
      <c r="E945" s="12" t="s">
        <v>57</v>
      </c>
      <c r="F945" s="10" t="n">
        <v>34</v>
      </c>
      <c r="G945" s="12" t="s">
        <v>58</v>
      </c>
      <c r="H945" s="10" t="n">
        <v>2110405</v>
      </c>
      <c r="I945" s="12" t="s">
        <v>63</v>
      </c>
      <c r="J945" s="10" t="n">
        <v>1514407</v>
      </c>
      <c r="L945" s="10" t="n">
        <v>235016</v>
      </c>
      <c r="M945" s="12" t="s">
        <v>33</v>
      </c>
      <c r="N945" s="12" t="s">
        <v>34</v>
      </c>
      <c r="P945" s="10" t="n">
        <v>167</v>
      </c>
      <c r="Q945" s="12" t="s">
        <v>220</v>
      </c>
      <c r="R945" s="12" t="s">
        <v>36</v>
      </c>
      <c r="S945" s="10" t="n">
        <v>1130101</v>
      </c>
      <c r="T945" s="12" t="s">
        <v>37</v>
      </c>
      <c r="U945" s="13" t="n">
        <v>108</v>
      </c>
      <c r="W945" s="13" t="n">
        <v>0</v>
      </c>
      <c r="X945" s="12" t="s">
        <v>1068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3</v>
      </c>
      <c r="B946" s="11" t="n">
        <v>46241</v>
      </c>
      <c r="C946" s="11" t="n">
        <v>46245</v>
      </c>
      <c r="D946" s="10" t="n">
        <v>42</v>
      </c>
      <c r="E946" s="12" t="s">
        <v>106</v>
      </c>
      <c r="F946" s="10" t="n">
        <v>34</v>
      </c>
      <c r="G946" s="12" t="s">
        <v>58</v>
      </c>
      <c r="H946" s="10" t="n">
        <v>2110101</v>
      </c>
      <c r="I946" s="12" t="s">
        <v>32</v>
      </c>
      <c r="J946" s="10" t="n">
        <v>1514452</v>
      </c>
      <c r="L946" s="10" t="n">
        <v>4474</v>
      </c>
      <c r="M946" s="12" t="s">
        <v>33</v>
      </c>
      <c r="N946" s="12" t="s">
        <v>40</v>
      </c>
      <c r="P946" s="10" t="n">
        <v>167</v>
      </c>
      <c r="Q946" s="12" t="s">
        <v>220</v>
      </c>
      <c r="R946" s="12" t="s">
        <v>36</v>
      </c>
      <c r="S946" s="10" t="n">
        <v>1130101</v>
      </c>
      <c r="T946" s="12" t="s">
        <v>37</v>
      </c>
      <c r="U946" s="13" t="n">
        <v>1991</v>
      </c>
      <c r="W946" s="13" t="n">
        <v>0</v>
      </c>
      <c r="X946" s="12" t="s">
        <v>561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3</v>
      </c>
      <c r="B947" s="11" t="n">
        <v>46196</v>
      </c>
      <c r="C947" s="11" t="n">
        <v>46246</v>
      </c>
      <c r="D947" s="10" t="n">
        <v>560</v>
      </c>
      <c r="E947" s="12" t="s">
        <v>1069</v>
      </c>
      <c r="F947" s="10" t="n">
        <v>24</v>
      </c>
      <c r="G947" s="12" t="s">
        <v>31</v>
      </c>
      <c r="H947" s="10" t="n">
        <v>2110101</v>
      </c>
      <c r="I947" s="12" t="s">
        <v>32</v>
      </c>
      <c r="J947" s="10" t="n">
        <v>1293646</v>
      </c>
      <c r="L947" s="10" t="n">
        <v>1716</v>
      </c>
      <c r="M947" s="12" t="s">
        <v>33</v>
      </c>
      <c r="N947" s="12" t="s">
        <v>40</v>
      </c>
      <c r="P947" s="10" t="n">
        <v>128</v>
      </c>
      <c r="Q947" s="12" t="s">
        <v>35</v>
      </c>
      <c r="R947" s="12" t="s">
        <v>36</v>
      </c>
      <c r="S947" s="10" t="n">
        <v>1130101</v>
      </c>
      <c r="T947" s="12" t="s">
        <v>37</v>
      </c>
      <c r="U947" s="13" t="n">
        <v>250</v>
      </c>
      <c r="W947" s="13" t="n">
        <v>0</v>
      </c>
      <c r="X947" s="12" t="s">
        <v>1070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3</v>
      </c>
      <c r="B948" s="11" t="n">
        <v>46225</v>
      </c>
      <c r="C948" s="11" t="n">
        <v>46246</v>
      </c>
      <c r="D948" s="10" t="n">
        <v>1740</v>
      </c>
      <c r="E948" s="12" t="s">
        <v>273</v>
      </c>
      <c r="F948" s="10" t="n">
        <v>24</v>
      </c>
      <c r="G948" s="12" t="s">
        <v>31</v>
      </c>
      <c r="H948" s="10" t="n">
        <v>2110405</v>
      </c>
      <c r="I948" s="12" t="s">
        <v>63</v>
      </c>
      <c r="J948" s="10" t="n">
        <v>1435864</v>
      </c>
      <c r="L948" s="10" t="n">
        <v>12504182</v>
      </c>
      <c r="M948" s="12" t="s">
        <v>33</v>
      </c>
      <c r="N948" s="12" t="s">
        <v>34</v>
      </c>
      <c r="P948" s="10" t="n">
        <v>167</v>
      </c>
      <c r="Q948" s="12" t="s">
        <v>220</v>
      </c>
      <c r="R948" s="12" t="s">
        <v>36</v>
      </c>
      <c r="S948" s="10" t="n">
        <v>1130101</v>
      </c>
      <c r="T948" s="12" t="s">
        <v>37</v>
      </c>
      <c r="U948" s="13" t="n">
        <v>867.31</v>
      </c>
      <c r="W948" s="13" t="n">
        <v>0</v>
      </c>
      <c r="X948" s="12" t="s">
        <v>1071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36.75" hidden="false" customHeight="true" outlineLevel="0" collapsed="false">
      <c r="A949" s="10" t="n">
        <v>3</v>
      </c>
      <c r="B949" s="11" t="n">
        <v>46232</v>
      </c>
      <c r="C949" s="11" t="n">
        <v>46246</v>
      </c>
      <c r="D949" s="10" t="n">
        <v>1740</v>
      </c>
      <c r="E949" s="12" t="s">
        <v>273</v>
      </c>
      <c r="F949" s="10" t="n">
        <v>24</v>
      </c>
      <c r="G949" s="12" t="s">
        <v>31</v>
      </c>
      <c r="H949" s="10" t="n">
        <v>1110204</v>
      </c>
      <c r="I949" s="12" t="s">
        <v>177</v>
      </c>
      <c r="J949" s="10" t="n">
        <v>1469526</v>
      </c>
      <c r="L949" s="10" t="n">
        <v>12528961</v>
      </c>
      <c r="M949" s="12" t="s">
        <v>33</v>
      </c>
      <c r="N949" s="12" t="s">
        <v>34</v>
      </c>
      <c r="P949" s="10" t="n">
        <v>129</v>
      </c>
      <c r="Q949" s="12" t="s">
        <v>60</v>
      </c>
      <c r="R949" s="12" t="s">
        <v>36</v>
      </c>
      <c r="S949" s="10" t="n">
        <v>1130101</v>
      </c>
      <c r="T949" s="12" t="s">
        <v>37</v>
      </c>
      <c r="U949" s="13" t="n">
        <v>546.32</v>
      </c>
      <c r="W949" s="13" t="n">
        <v>0</v>
      </c>
      <c r="X949" s="12" t="s">
        <v>1072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45.75" hidden="false" customHeight="true" outlineLevel="0" collapsed="false">
      <c r="A950" s="10" t="n">
        <v>3</v>
      </c>
      <c r="B950" s="11" t="n">
        <v>46232</v>
      </c>
      <c r="C950" s="11" t="n">
        <v>46246</v>
      </c>
      <c r="D950" s="10" t="n">
        <v>1695</v>
      </c>
      <c r="E950" s="12" t="s">
        <v>211</v>
      </c>
      <c r="F950" s="10" t="n">
        <v>24</v>
      </c>
      <c r="G950" s="12" t="s">
        <v>31</v>
      </c>
      <c r="H950" s="10" t="n">
        <v>2110405</v>
      </c>
      <c r="I950" s="12" t="s">
        <v>63</v>
      </c>
      <c r="J950" s="10" t="n">
        <v>1469698</v>
      </c>
      <c r="L950" s="10" t="n">
        <v>195092</v>
      </c>
      <c r="M950" s="12" t="s">
        <v>33</v>
      </c>
      <c r="N950" s="12" t="s">
        <v>34</v>
      </c>
      <c r="P950" s="10" t="n">
        <v>167</v>
      </c>
      <c r="Q950" s="12" t="s">
        <v>220</v>
      </c>
      <c r="R950" s="12" t="s">
        <v>36</v>
      </c>
      <c r="S950" s="10" t="n">
        <v>1130101</v>
      </c>
      <c r="T950" s="12" t="s">
        <v>37</v>
      </c>
      <c r="U950" s="13" t="n">
        <v>978.6</v>
      </c>
      <c r="W950" s="13" t="n">
        <v>0</v>
      </c>
      <c r="X950" s="12" t="s">
        <v>1073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63.75" hidden="false" customHeight="true" outlineLevel="0" collapsed="false">
      <c r="A951" s="10" t="n">
        <v>3</v>
      </c>
      <c r="B951" s="11" t="n">
        <v>46232</v>
      </c>
      <c r="C951" s="11" t="n">
        <v>46246</v>
      </c>
      <c r="D951" s="10" t="n">
        <v>1695</v>
      </c>
      <c r="E951" s="12" t="s">
        <v>211</v>
      </c>
      <c r="F951" s="10" t="n">
        <v>34</v>
      </c>
      <c r="G951" s="12" t="s">
        <v>58</v>
      </c>
      <c r="H951" s="10" t="n">
        <v>2110405</v>
      </c>
      <c r="I951" s="12" t="s">
        <v>63</v>
      </c>
      <c r="J951" s="10" t="n">
        <v>1469730</v>
      </c>
      <c r="L951" s="10" t="n">
        <v>228599</v>
      </c>
      <c r="M951" s="12" t="s">
        <v>33</v>
      </c>
      <c r="N951" s="12" t="s">
        <v>34</v>
      </c>
      <c r="P951" s="10" t="n">
        <v>167</v>
      </c>
      <c r="Q951" s="12" t="s">
        <v>220</v>
      </c>
      <c r="R951" s="12" t="s">
        <v>36</v>
      </c>
      <c r="S951" s="10" t="n">
        <v>1130101</v>
      </c>
      <c r="T951" s="12" t="s">
        <v>37</v>
      </c>
      <c r="U951" s="13" t="n">
        <v>512.4</v>
      </c>
      <c r="W951" s="13" t="n">
        <v>0</v>
      </c>
      <c r="X951" s="12" t="s">
        <v>1074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63.75" hidden="false" customHeight="true" outlineLevel="0" collapsed="false">
      <c r="A952" s="10" t="n">
        <v>3</v>
      </c>
      <c r="B952" s="11" t="n">
        <v>46232</v>
      </c>
      <c r="C952" s="11" t="n">
        <v>46246</v>
      </c>
      <c r="D952" s="10" t="n">
        <v>794</v>
      </c>
      <c r="E952" s="12" t="s">
        <v>74</v>
      </c>
      <c r="F952" s="10" t="n">
        <v>24</v>
      </c>
      <c r="G952" s="12" t="s">
        <v>31</v>
      </c>
      <c r="H952" s="10" t="n">
        <v>1110204</v>
      </c>
      <c r="I952" s="12" t="s">
        <v>177</v>
      </c>
      <c r="J952" s="10" t="n">
        <v>1473072</v>
      </c>
      <c r="L952" s="10" t="n">
        <v>55991</v>
      </c>
      <c r="M952" s="12" t="s">
        <v>33</v>
      </c>
      <c r="N952" s="12" t="s">
        <v>34</v>
      </c>
      <c r="P952" s="10" t="n">
        <v>167</v>
      </c>
      <c r="Q952" s="12" t="s">
        <v>220</v>
      </c>
      <c r="R952" s="12" t="s">
        <v>64</v>
      </c>
      <c r="S952" s="10" t="n">
        <v>4210299</v>
      </c>
      <c r="T952" s="12" t="s">
        <v>615</v>
      </c>
      <c r="U952" s="13" t="n">
        <v>648.13</v>
      </c>
      <c r="W952" s="13" t="n">
        <v>0</v>
      </c>
      <c r="X952" s="12" t="s">
        <v>1075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</row>
    <row r="953" customFormat="false" ht="63.75" hidden="false" customHeight="true" outlineLevel="0" collapsed="false">
      <c r="A953" s="10" t="n">
        <v>3</v>
      </c>
      <c r="B953" s="11" t="n">
        <v>46239</v>
      </c>
      <c r="C953" s="11" t="n">
        <v>46246</v>
      </c>
      <c r="D953" s="10" t="n">
        <v>10102</v>
      </c>
      <c r="E953" s="12" t="s">
        <v>1076</v>
      </c>
      <c r="F953" s="10" t="n">
        <v>24</v>
      </c>
      <c r="G953" s="12" t="s">
        <v>31</v>
      </c>
      <c r="H953" s="10" t="n">
        <v>1110204</v>
      </c>
      <c r="I953" s="12" t="s">
        <v>177</v>
      </c>
      <c r="J953" s="10" t="n">
        <v>1503317</v>
      </c>
      <c r="L953" s="10" t="n">
        <v>14811</v>
      </c>
      <c r="M953" s="12" t="s">
        <v>33</v>
      </c>
      <c r="N953" s="12" t="s">
        <v>34</v>
      </c>
      <c r="P953" s="10" t="n">
        <v>167</v>
      </c>
      <c r="Q953" s="12" t="s">
        <v>220</v>
      </c>
      <c r="R953" s="12" t="s">
        <v>36</v>
      </c>
      <c r="S953" s="10" t="n">
        <v>1130101</v>
      </c>
      <c r="T953" s="12" t="s">
        <v>37</v>
      </c>
      <c r="U953" s="13" t="n">
        <v>5068.23</v>
      </c>
      <c r="W953" s="13" t="n">
        <v>0</v>
      </c>
      <c r="X953" s="12" t="s">
        <v>1077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54.75" hidden="false" customHeight="true" outlineLevel="0" collapsed="false">
      <c r="A954" s="10" t="n">
        <v>3</v>
      </c>
      <c r="B954" s="11" t="n">
        <v>46238</v>
      </c>
      <c r="C954" s="11" t="n">
        <v>46246</v>
      </c>
      <c r="D954" s="10" t="n">
        <v>1024</v>
      </c>
      <c r="E954" s="12" t="s">
        <v>278</v>
      </c>
      <c r="F954" s="10" t="n">
        <v>24</v>
      </c>
      <c r="G954" s="12" t="s">
        <v>31</v>
      </c>
      <c r="H954" s="10" t="n">
        <v>1110204</v>
      </c>
      <c r="I954" s="12" t="s">
        <v>177</v>
      </c>
      <c r="J954" s="10" t="n">
        <v>1504201</v>
      </c>
      <c r="L954" s="10" t="n">
        <v>6156081</v>
      </c>
      <c r="M954" s="12" t="s">
        <v>33</v>
      </c>
      <c r="N954" s="12" t="s">
        <v>34</v>
      </c>
      <c r="P954" s="10" t="n">
        <v>167</v>
      </c>
      <c r="Q954" s="12" t="s">
        <v>220</v>
      </c>
      <c r="R954" s="12" t="s">
        <v>36</v>
      </c>
      <c r="S954" s="10" t="n">
        <v>1130101</v>
      </c>
      <c r="T954" s="12" t="s">
        <v>37</v>
      </c>
      <c r="U954" s="13" t="n">
        <v>105</v>
      </c>
      <c r="W954" s="13" t="n">
        <v>0</v>
      </c>
      <c r="X954" s="12" t="s">
        <v>1078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54.75" hidden="false" customHeight="true" outlineLevel="0" collapsed="false">
      <c r="A955" s="10" t="n">
        <v>3</v>
      </c>
      <c r="B955" s="11" t="n">
        <v>46239</v>
      </c>
      <c r="C955" s="11" t="n">
        <v>46246</v>
      </c>
      <c r="D955" s="10" t="n">
        <v>1613</v>
      </c>
      <c r="E955" s="12" t="s">
        <v>209</v>
      </c>
      <c r="F955" s="10" t="n">
        <v>24</v>
      </c>
      <c r="G955" s="12" t="s">
        <v>31</v>
      </c>
      <c r="H955" s="10" t="n">
        <v>2110405</v>
      </c>
      <c r="I955" s="12" t="s">
        <v>63</v>
      </c>
      <c r="J955" s="10" t="n">
        <v>1504626</v>
      </c>
      <c r="L955" s="10" t="n">
        <v>16155701</v>
      </c>
      <c r="M955" s="12" t="s">
        <v>33</v>
      </c>
      <c r="N955" s="12" t="s">
        <v>34</v>
      </c>
      <c r="P955" s="10" t="n">
        <v>167</v>
      </c>
      <c r="Q955" s="12" t="s">
        <v>220</v>
      </c>
      <c r="R955" s="12" t="s">
        <v>36</v>
      </c>
      <c r="S955" s="10" t="n">
        <v>1130101</v>
      </c>
      <c r="T955" s="12" t="s">
        <v>37</v>
      </c>
      <c r="U955" s="13" t="n">
        <v>1173.52</v>
      </c>
      <c r="W955" s="13" t="n">
        <v>0</v>
      </c>
      <c r="X955" s="12" t="s">
        <v>1079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54.75" hidden="false" customHeight="true" outlineLevel="0" collapsed="false">
      <c r="A956" s="10" t="n">
        <v>3</v>
      </c>
      <c r="B956" s="11" t="n">
        <v>46238</v>
      </c>
      <c r="C956" s="11" t="n">
        <v>46246</v>
      </c>
      <c r="D956" s="10" t="n">
        <v>1457</v>
      </c>
      <c r="E956" s="12" t="s">
        <v>39</v>
      </c>
      <c r="F956" s="10" t="n">
        <v>24</v>
      </c>
      <c r="G956" s="12" t="s">
        <v>31</v>
      </c>
      <c r="H956" s="10" t="n">
        <v>2110405</v>
      </c>
      <c r="I956" s="12" t="s">
        <v>63</v>
      </c>
      <c r="J956" s="10" t="n">
        <v>1504808</v>
      </c>
      <c r="L956" s="10" t="n">
        <v>233657</v>
      </c>
      <c r="M956" s="12" t="s">
        <v>33</v>
      </c>
      <c r="N956" s="12" t="s">
        <v>34</v>
      </c>
      <c r="P956" s="10" t="n">
        <v>167</v>
      </c>
      <c r="Q956" s="12" t="s">
        <v>220</v>
      </c>
      <c r="R956" s="12" t="s">
        <v>36</v>
      </c>
      <c r="S956" s="10" t="n">
        <v>1130101</v>
      </c>
      <c r="T956" s="12" t="s">
        <v>37</v>
      </c>
      <c r="U956" s="13" t="n">
        <v>366.4</v>
      </c>
      <c r="W956" s="13" t="n">
        <v>0</v>
      </c>
      <c r="X956" s="12" t="s">
        <v>1080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45.75" hidden="false" customHeight="true" outlineLevel="0" collapsed="false">
      <c r="A957" s="10" t="n">
        <v>3</v>
      </c>
      <c r="B957" s="11" t="n">
        <v>46239</v>
      </c>
      <c r="C957" s="11" t="n">
        <v>46246</v>
      </c>
      <c r="D957" s="10" t="n">
        <v>489</v>
      </c>
      <c r="E957" s="12" t="s">
        <v>393</v>
      </c>
      <c r="F957" s="10" t="n">
        <v>34</v>
      </c>
      <c r="G957" s="12" t="s">
        <v>58</v>
      </c>
      <c r="H957" s="10" t="n">
        <v>2110405</v>
      </c>
      <c r="I957" s="12" t="s">
        <v>63</v>
      </c>
      <c r="J957" s="10" t="n">
        <v>1504966</v>
      </c>
      <c r="L957" s="10" t="n">
        <v>233669</v>
      </c>
      <c r="M957" s="12" t="s">
        <v>33</v>
      </c>
      <c r="N957" s="12" t="s">
        <v>34</v>
      </c>
      <c r="P957" s="10" t="n">
        <v>167</v>
      </c>
      <c r="Q957" s="12" t="s">
        <v>220</v>
      </c>
      <c r="R957" s="12" t="s">
        <v>36</v>
      </c>
      <c r="S957" s="10" t="n">
        <v>1130101</v>
      </c>
      <c r="T957" s="12" t="s">
        <v>37</v>
      </c>
      <c r="U957" s="13" t="n">
        <v>735</v>
      </c>
      <c r="W957" s="13" t="n">
        <v>0</v>
      </c>
      <c r="X957" s="12" t="s">
        <v>956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0" t="n">
        <v>3</v>
      </c>
      <c r="B958" s="11" t="n">
        <v>46239</v>
      </c>
      <c r="C958" s="11" t="n">
        <v>46246</v>
      </c>
      <c r="D958" s="10" t="n">
        <v>1723</v>
      </c>
      <c r="E958" s="12" t="s">
        <v>54</v>
      </c>
      <c r="F958" s="10" t="n">
        <v>24</v>
      </c>
      <c r="G958" s="12" t="s">
        <v>31</v>
      </c>
      <c r="H958" s="10" t="n">
        <v>1110204</v>
      </c>
      <c r="I958" s="12" t="s">
        <v>177</v>
      </c>
      <c r="J958" s="10" t="n">
        <v>1507877</v>
      </c>
      <c r="L958" s="10" t="n">
        <v>586661</v>
      </c>
      <c r="M958" s="12" t="s">
        <v>33</v>
      </c>
      <c r="N958" s="12" t="s">
        <v>34</v>
      </c>
      <c r="P958" s="10" t="n">
        <v>167</v>
      </c>
      <c r="Q958" s="12" t="s">
        <v>220</v>
      </c>
      <c r="R958" s="12" t="s">
        <v>36</v>
      </c>
      <c r="S958" s="10" t="n">
        <v>1130101</v>
      </c>
      <c r="T958" s="12" t="s">
        <v>37</v>
      </c>
      <c r="U958" s="13" t="n">
        <v>1142.4</v>
      </c>
      <c r="W958" s="13" t="n">
        <v>0</v>
      </c>
      <c r="X958" s="12" t="s">
        <v>1081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3</v>
      </c>
      <c r="B959" s="11" t="n">
        <v>46203</v>
      </c>
      <c r="C959" s="11" t="n">
        <v>46247</v>
      </c>
      <c r="D959" s="10" t="n">
        <v>10011</v>
      </c>
      <c r="E959" s="12" t="s">
        <v>770</v>
      </c>
      <c r="F959" s="10" t="n">
        <v>24</v>
      </c>
      <c r="G959" s="12" t="s">
        <v>31</v>
      </c>
      <c r="H959" s="10" t="n">
        <v>2110101</v>
      </c>
      <c r="I959" s="12" t="s">
        <v>32</v>
      </c>
      <c r="J959" s="10" t="n">
        <v>1334050</v>
      </c>
      <c r="L959" s="10" t="n">
        <v>344683</v>
      </c>
      <c r="M959" s="12" t="s">
        <v>33</v>
      </c>
      <c r="N959" s="12" t="s">
        <v>34</v>
      </c>
      <c r="P959" s="10" t="n">
        <v>167</v>
      </c>
      <c r="Q959" s="12" t="s">
        <v>220</v>
      </c>
      <c r="R959" s="12" t="s">
        <v>36</v>
      </c>
      <c r="S959" s="10" t="n">
        <v>1130101</v>
      </c>
      <c r="T959" s="12" t="s">
        <v>37</v>
      </c>
      <c r="U959" s="13" t="n">
        <v>925.9</v>
      </c>
      <c r="W959" s="13" t="n">
        <v>0</v>
      </c>
      <c r="X959" s="12" t="s">
        <v>1082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36.75" hidden="false" customHeight="true" outlineLevel="0" collapsed="false">
      <c r="A960" s="10" t="n">
        <v>3</v>
      </c>
      <c r="B960" s="11" t="n">
        <v>46230</v>
      </c>
      <c r="C960" s="11" t="n">
        <v>46247</v>
      </c>
      <c r="D960" s="10" t="n">
        <v>1715</v>
      </c>
      <c r="E960" s="12" t="s">
        <v>78</v>
      </c>
      <c r="F960" s="10" t="n">
        <v>24</v>
      </c>
      <c r="G960" s="12" t="s">
        <v>31</v>
      </c>
      <c r="H960" s="10" t="n">
        <v>2110405</v>
      </c>
      <c r="I960" s="12" t="s">
        <v>63</v>
      </c>
      <c r="J960" s="10" t="n">
        <v>1458642</v>
      </c>
      <c r="L960" s="10" t="n">
        <v>1934021</v>
      </c>
      <c r="M960" s="12" t="s">
        <v>33</v>
      </c>
      <c r="N960" s="12" t="s">
        <v>34</v>
      </c>
      <c r="P960" s="10" t="n">
        <v>167</v>
      </c>
      <c r="Q960" s="12" t="s">
        <v>220</v>
      </c>
      <c r="R960" s="12" t="s">
        <v>36</v>
      </c>
      <c r="S960" s="10" t="n">
        <v>1130101</v>
      </c>
      <c r="T960" s="12" t="s">
        <v>37</v>
      </c>
      <c r="U960" s="13" t="n">
        <v>172.25</v>
      </c>
      <c r="W960" s="13" t="n">
        <v>0</v>
      </c>
      <c r="X960" s="12" t="s">
        <v>1083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0" t="n">
        <v>3</v>
      </c>
      <c r="B961" s="11" t="n">
        <v>46232</v>
      </c>
      <c r="C961" s="11" t="n">
        <v>46247</v>
      </c>
      <c r="D961" s="10" t="n">
        <v>1665</v>
      </c>
      <c r="E961" s="12" t="s">
        <v>456</v>
      </c>
      <c r="F961" s="10" t="n">
        <v>24</v>
      </c>
      <c r="G961" s="12" t="s">
        <v>31</v>
      </c>
      <c r="H961" s="10" t="n">
        <v>2110405</v>
      </c>
      <c r="I961" s="12" t="s">
        <v>63</v>
      </c>
      <c r="J961" s="10" t="n">
        <v>1472895</v>
      </c>
      <c r="L961" s="10" t="n">
        <v>135484</v>
      </c>
      <c r="M961" s="12" t="s">
        <v>33</v>
      </c>
      <c r="N961" s="12" t="s">
        <v>34</v>
      </c>
      <c r="P961" s="10" t="n">
        <v>167</v>
      </c>
      <c r="Q961" s="12" t="s">
        <v>220</v>
      </c>
      <c r="R961" s="12" t="s">
        <v>36</v>
      </c>
      <c r="S961" s="10" t="n">
        <v>1130101</v>
      </c>
      <c r="T961" s="12" t="s">
        <v>37</v>
      </c>
      <c r="U961" s="13" t="n">
        <v>243</v>
      </c>
      <c r="W961" s="13" t="n">
        <v>0</v>
      </c>
      <c r="X961" s="12" t="s">
        <v>1084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0" t="n">
        <v>3</v>
      </c>
      <c r="B962" s="11" t="n">
        <v>46233</v>
      </c>
      <c r="C962" s="11" t="n">
        <v>46247</v>
      </c>
      <c r="D962" s="10" t="n">
        <v>1625</v>
      </c>
      <c r="E962" s="12" t="s">
        <v>97</v>
      </c>
      <c r="F962" s="10" t="n">
        <v>24</v>
      </c>
      <c r="G962" s="12" t="s">
        <v>31</v>
      </c>
      <c r="H962" s="10" t="n">
        <v>1110204</v>
      </c>
      <c r="I962" s="12" t="s">
        <v>177</v>
      </c>
      <c r="J962" s="10" t="n">
        <v>1473755</v>
      </c>
      <c r="L962" s="10" t="n">
        <v>148802</v>
      </c>
      <c r="M962" s="12" t="s">
        <v>33</v>
      </c>
      <c r="N962" s="12" t="s">
        <v>34</v>
      </c>
      <c r="P962" s="10" t="n">
        <v>167</v>
      </c>
      <c r="Q962" s="12" t="s">
        <v>220</v>
      </c>
      <c r="R962" s="12" t="s">
        <v>36</v>
      </c>
      <c r="S962" s="10" t="n">
        <v>1130101</v>
      </c>
      <c r="T962" s="12" t="s">
        <v>37</v>
      </c>
      <c r="U962" s="13" t="n">
        <v>3135.1</v>
      </c>
      <c r="W962" s="13" t="n">
        <v>0</v>
      </c>
      <c r="X962" s="12" t="s">
        <v>1085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0" t="n">
        <v>3</v>
      </c>
      <c r="B963" s="11" t="n">
        <v>46232</v>
      </c>
      <c r="C963" s="11" t="n">
        <v>46247</v>
      </c>
      <c r="D963" s="10" t="n">
        <v>1718</v>
      </c>
      <c r="E963" s="12" t="s">
        <v>67</v>
      </c>
      <c r="F963" s="10" t="n">
        <v>24</v>
      </c>
      <c r="G963" s="12" t="s">
        <v>31</v>
      </c>
      <c r="H963" s="10" t="n">
        <v>2110405</v>
      </c>
      <c r="I963" s="12" t="s">
        <v>63</v>
      </c>
      <c r="J963" s="10" t="n">
        <v>1473782</v>
      </c>
      <c r="L963" s="10" t="n">
        <v>8101041</v>
      </c>
      <c r="M963" s="12" t="s">
        <v>33</v>
      </c>
      <c r="N963" s="12" t="s">
        <v>34</v>
      </c>
      <c r="P963" s="10" t="n">
        <v>167</v>
      </c>
      <c r="Q963" s="12" t="s">
        <v>220</v>
      </c>
      <c r="R963" s="12" t="s">
        <v>36</v>
      </c>
      <c r="S963" s="10" t="n">
        <v>1130101</v>
      </c>
      <c r="T963" s="12" t="s">
        <v>37</v>
      </c>
      <c r="U963" s="13" t="n">
        <v>1000.47</v>
      </c>
      <c r="W963" s="13" t="n">
        <v>0</v>
      </c>
      <c r="X963" s="12" t="s">
        <v>1086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3</v>
      </c>
      <c r="B964" s="11" t="n">
        <v>46234</v>
      </c>
      <c r="C964" s="11" t="n">
        <v>46247</v>
      </c>
      <c r="D964" s="10" t="n">
        <v>1672</v>
      </c>
      <c r="E964" s="12" t="s">
        <v>93</v>
      </c>
      <c r="F964" s="10" t="n">
        <v>24</v>
      </c>
      <c r="G964" s="12" t="s">
        <v>31</v>
      </c>
      <c r="H964" s="10" t="n">
        <v>2110405</v>
      </c>
      <c r="I964" s="12" t="s">
        <v>63</v>
      </c>
      <c r="J964" s="10" t="n">
        <v>1504745</v>
      </c>
      <c r="L964" s="10" t="n">
        <v>14118641</v>
      </c>
      <c r="M964" s="12" t="s">
        <v>33</v>
      </c>
      <c r="N964" s="12" t="s">
        <v>34</v>
      </c>
      <c r="P964" s="10" t="n">
        <v>167</v>
      </c>
      <c r="Q964" s="12" t="s">
        <v>220</v>
      </c>
      <c r="R964" s="12" t="s">
        <v>36</v>
      </c>
      <c r="S964" s="10" t="n">
        <v>1130101</v>
      </c>
      <c r="T964" s="12" t="s">
        <v>37</v>
      </c>
      <c r="U964" s="13" t="n">
        <v>245</v>
      </c>
      <c r="W964" s="13" t="n">
        <v>0</v>
      </c>
      <c r="X964" s="12" t="s">
        <v>1087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3</v>
      </c>
      <c r="B965" s="11" t="n">
        <v>46239</v>
      </c>
      <c r="C965" s="11" t="n">
        <v>46247</v>
      </c>
      <c r="D965" s="10" t="n">
        <v>1642</v>
      </c>
      <c r="E965" s="12" t="s">
        <v>48</v>
      </c>
      <c r="F965" s="10" t="n">
        <v>24</v>
      </c>
      <c r="G965" s="12" t="s">
        <v>31</v>
      </c>
      <c r="H965" s="10" t="n">
        <v>2110405</v>
      </c>
      <c r="I965" s="12" t="s">
        <v>63</v>
      </c>
      <c r="J965" s="10" t="n">
        <v>1509595</v>
      </c>
      <c r="L965" s="10" t="n">
        <v>1035511</v>
      </c>
      <c r="M965" s="12" t="s">
        <v>33</v>
      </c>
      <c r="N965" s="12" t="s">
        <v>34</v>
      </c>
      <c r="P965" s="10" t="n">
        <v>167</v>
      </c>
      <c r="Q965" s="12" t="s">
        <v>220</v>
      </c>
      <c r="R965" s="12" t="s">
        <v>36</v>
      </c>
      <c r="S965" s="10" t="n">
        <v>1130101</v>
      </c>
      <c r="T965" s="12" t="s">
        <v>37</v>
      </c>
      <c r="U965" s="13" t="n">
        <v>648.24</v>
      </c>
      <c r="W965" s="13" t="n">
        <v>0</v>
      </c>
      <c r="X965" s="12" t="s">
        <v>1088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3</v>
      </c>
      <c r="B966" s="11" t="n">
        <v>46239</v>
      </c>
      <c r="C966" s="11" t="n">
        <v>46247</v>
      </c>
      <c r="D966" s="10" t="n">
        <v>1667</v>
      </c>
      <c r="E966" s="12" t="s">
        <v>286</v>
      </c>
      <c r="F966" s="10" t="n">
        <v>24</v>
      </c>
      <c r="G966" s="12" t="s">
        <v>31</v>
      </c>
      <c r="H966" s="10" t="n">
        <v>2110405</v>
      </c>
      <c r="I966" s="12" t="s">
        <v>63</v>
      </c>
      <c r="J966" s="10" t="n">
        <v>1509662</v>
      </c>
      <c r="L966" s="10" t="n">
        <v>3978881</v>
      </c>
      <c r="M966" s="12" t="s">
        <v>33</v>
      </c>
      <c r="N966" s="12" t="s">
        <v>34</v>
      </c>
      <c r="P966" s="10" t="n">
        <v>167</v>
      </c>
      <c r="Q966" s="12" t="s">
        <v>220</v>
      </c>
      <c r="R966" s="12" t="s">
        <v>36</v>
      </c>
      <c r="S966" s="10" t="n">
        <v>1130101</v>
      </c>
      <c r="T966" s="12" t="s">
        <v>37</v>
      </c>
      <c r="U966" s="13" t="n">
        <v>610.14</v>
      </c>
      <c r="W966" s="13" t="n">
        <v>0</v>
      </c>
      <c r="X966" s="12" t="s">
        <v>1089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0" t="n">
        <v>3</v>
      </c>
      <c r="B967" s="11" t="n">
        <v>46240</v>
      </c>
      <c r="C967" s="11" t="n">
        <v>46247</v>
      </c>
      <c r="D967" s="10" t="n">
        <v>10063</v>
      </c>
      <c r="E967" s="12" t="s">
        <v>76</v>
      </c>
      <c r="F967" s="10" t="n">
        <v>24</v>
      </c>
      <c r="G967" s="12" t="s">
        <v>31</v>
      </c>
      <c r="H967" s="10" t="n">
        <v>2110405</v>
      </c>
      <c r="I967" s="12" t="s">
        <v>63</v>
      </c>
      <c r="J967" s="10" t="n">
        <v>1512688</v>
      </c>
      <c r="L967" s="10" t="n">
        <v>2676</v>
      </c>
      <c r="M967" s="12" t="s">
        <v>33</v>
      </c>
      <c r="N967" s="12" t="s">
        <v>34</v>
      </c>
      <c r="P967" s="10" t="n">
        <v>167</v>
      </c>
      <c r="Q967" s="12" t="s">
        <v>220</v>
      </c>
      <c r="R967" s="12" t="s">
        <v>36</v>
      </c>
      <c r="S967" s="10" t="n">
        <v>1130101</v>
      </c>
      <c r="T967" s="12" t="s">
        <v>37</v>
      </c>
      <c r="U967" s="13" t="n">
        <v>940</v>
      </c>
      <c r="W967" s="13" t="n">
        <v>0</v>
      </c>
      <c r="X967" s="12" t="s">
        <v>1090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0" t="n">
        <v>3</v>
      </c>
      <c r="B968" s="11" t="n">
        <v>46234</v>
      </c>
      <c r="C968" s="11" t="n">
        <v>46247</v>
      </c>
      <c r="D968" s="10" t="n">
        <v>1000054</v>
      </c>
      <c r="E968" s="12" t="s">
        <v>1091</v>
      </c>
      <c r="F968" s="10" t="n">
        <v>26</v>
      </c>
      <c r="G968" s="12" t="s">
        <v>1092</v>
      </c>
      <c r="H968" s="10" t="n">
        <v>2110701</v>
      </c>
      <c r="I968" s="12" t="s">
        <v>175</v>
      </c>
      <c r="J968" s="10" t="n">
        <v>1514365</v>
      </c>
      <c r="L968" s="10" t="n">
        <v>235010</v>
      </c>
      <c r="M968" s="12" t="s">
        <v>33</v>
      </c>
      <c r="N968" s="12" t="s">
        <v>1093</v>
      </c>
      <c r="P968" s="10" t="n">
        <v>129</v>
      </c>
      <c r="Q968" s="12" t="s">
        <v>60</v>
      </c>
      <c r="R968" s="12" t="s">
        <v>1094</v>
      </c>
      <c r="S968" s="10" t="n">
        <v>3110302</v>
      </c>
      <c r="T968" s="12" t="s">
        <v>1095</v>
      </c>
      <c r="U968" s="13" t="n">
        <v>10753.48</v>
      </c>
      <c r="W968" s="13" t="n">
        <v>0</v>
      </c>
      <c r="X968" s="12" t="s">
        <v>1096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3</v>
      </c>
      <c r="B969" s="11" t="n">
        <v>46225</v>
      </c>
      <c r="C969" s="11" t="n">
        <v>46248</v>
      </c>
      <c r="D969" s="10" t="n">
        <v>1699</v>
      </c>
      <c r="E969" s="12" t="s">
        <v>87</v>
      </c>
      <c r="F969" s="10" t="n">
        <v>24</v>
      </c>
      <c r="G969" s="12" t="s">
        <v>31</v>
      </c>
      <c r="H969" s="10" t="n">
        <v>1110204</v>
      </c>
      <c r="I969" s="12" t="s">
        <v>177</v>
      </c>
      <c r="J969" s="10" t="n">
        <v>1439138</v>
      </c>
      <c r="L969" s="10" t="n">
        <v>3087372</v>
      </c>
      <c r="M969" s="12" t="s">
        <v>33</v>
      </c>
      <c r="N969" s="12" t="s">
        <v>34</v>
      </c>
      <c r="P969" s="10" t="n">
        <v>167</v>
      </c>
      <c r="Q969" s="12" t="s">
        <v>220</v>
      </c>
      <c r="R969" s="12" t="s">
        <v>36</v>
      </c>
      <c r="S969" s="10" t="n">
        <v>1130101</v>
      </c>
      <c r="T969" s="12" t="s">
        <v>37</v>
      </c>
      <c r="U969" s="13" t="n">
        <v>894.33</v>
      </c>
      <c r="W969" s="13" t="n">
        <v>0</v>
      </c>
      <c r="X969" s="12" t="s">
        <v>1097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0" t="n">
        <v>3</v>
      </c>
      <c r="B970" s="11" t="n">
        <v>46232</v>
      </c>
      <c r="C970" s="11" t="n">
        <v>46248</v>
      </c>
      <c r="D970" s="10" t="n">
        <v>1699</v>
      </c>
      <c r="E970" s="12" t="s">
        <v>87</v>
      </c>
      <c r="F970" s="10" t="n">
        <v>24</v>
      </c>
      <c r="G970" s="12" t="s">
        <v>31</v>
      </c>
      <c r="H970" s="10" t="n">
        <v>2110405</v>
      </c>
      <c r="I970" s="12" t="s">
        <v>63</v>
      </c>
      <c r="J970" s="10" t="n">
        <v>1474069</v>
      </c>
      <c r="L970" s="10" t="n">
        <v>3095421</v>
      </c>
      <c r="M970" s="12" t="s">
        <v>33</v>
      </c>
      <c r="N970" s="12" t="s">
        <v>34</v>
      </c>
      <c r="P970" s="10" t="n">
        <v>167</v>
      </c>
      <c r="Q970" s="12" t="s">
        <v>220</v>
      </c>
      <c r="R970" s="12" t="s">
        <v>36</v>
      </c>
      <c r="S970" s="10" t="n">
        <v>1130101</v>
      </c>
      <c r="T970" s="12" t="s">
        <v>37</v>
      </c>
      <c r="U970" s="13" t="n">
        <v>983.7</v>
      </c>
      <c r="W970" s="13" t="n">
        <v>0</v>
      </c>
      <c r="X970" s="12" t="s">
        <v>1098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0" t="n">
        <v>3</v>
      </c>
      <c r="B971" s="11" t="n">
        <v>46232</v>
      </c>
      <c r="C971" s="11" t="n">
        <v>46248</v>
      </c>
      <c r="D971" s="10" t="n">
        <v>10017</v>
      </c>
      <c r="E971" s="12" t="s">
        <v>693</v>
      </c>
      <c r="F971" s="10" t="n">
        <v>24</v>
      </c>
      <c r="G971" s="12" t="s">
        <v>31</v>
      </c>
      <c r="H971" s="10" t="n">
        <v>2110405</v>
      </c>
      <c r="I971" s="12" t="s">
        <v>63</v>
      </c>
      <c r="J971" s="10" t="n">
        <v>1474074</v>
      </c>
      <c r="L971" s="10" t="n">
        <v>1950891</v>
      </c>
      <c r="M971" s="12" t="s">
        <v>33</v>
      </c>
      <c r="N971" s="12" t="s">
        <v>34</v>
      </c>
      <c r="P971" s="10" t="n">
        <v>167</v>
      </c>
      <c r="Q971" s="12" t="s">
        <v>220</v>
      </c>
      <c r="R971" s="12" t="s">
        <v>36</v>
      </c>
      <c r="S971" s="10" t="n">
        <v>1130101</v>
      </c>
      <c r="T971" s="12" t="s">
        <v>37</v>
      </c>
      <c r="U971" s="13" t="n">
        <v>1191.82</v>
      </c>
      <c r="W971" s="13" t="n">
        <v>0</v>
      </c>
      <c r="X971" s="12" t="s">
        <v>1099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0" t="n">
        <v>3</v>
      </c>
      <c r="B972" s="11" t="n">
        <v>46233</v>
      </c>
      <c r="C972" s="11" t="n">
        <v>46248</v>
      </c>
      <c r="D972" s="10" t="n">
        <v>1916</v>
      </c>
      <c r="E972" s="12" t="s">
        <v>384</v>
      </c>
      <c r="F972" s="10" t="n">
        <v>24</v>
      </c>
      <c r="G972" s="12" t="s">
        <v>31</v>
      </c>
      <c r="H972" s="10" t="n">
        <v>2110405</v>
      </c>
      <c r="I972" s="12" t="s">
        <v>63</v>
      </c>
      <c r="J972" s="10" t="n">
        <v>1474199</v>
      </c>
      <c r="L972" s="10" t="n">
        <v>2604</v>
      </c>
      <c r="M972" s="12" t="s">
        <v>33</v>
      </c>
      <c r="N972" s="12" t="s">
        <v>34</v>
      </c>
      <c r="P972" s="10" t="n">
        <v>167</v>
      </c>
      <c r="Q972" s="12" t="s">
        <v>220</v>
      </c>
      <c r="R972" s="12" t="s">
        <v>36</v>
      </c>
      <c r="S972" s="10" t="n">
        <v>1130101</v>
      </c>
      <c r="T972" s="12" t="s">
        <v>37</v>
      </c>
      <c r="U972" s="13" t="n">
        <v>105</v>
      </c>
      <c r="W972" s="13" t="n">
        <v>0</v>
      </c>
      <c r="X972" s="12" t="s">
        <v>1100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3</v>
      </c>
      <c r="B973" s="11" t="n">
        <v>46232</v>
      </c>
      <c r="C973" s="11" t="n">
        <v>46248</v>
      </c>
      <c r="D973" s="10" t="n">
        <v>1196</v>
      </c>
      <c r="E973" s="12" t="s">
        <v>293</v>
      </c>
      <c r="F973" s="10" t="n">
        <v>24</v>
      </c>
      <c r="G973" s="12" t="s">
        <v>31</v>
      </c>
      <c r="H973" s="10" t="n">
        <v>1110204</v>
      </c>
      <c r="I973" s="12" t="s">
        <v>177</v>
      </c>
      <c r="J973" s="10" t="n">
        <v>1478189</v>
      </c>
      <c r="L973" s="10" t="n">
        <v>13171</v>
      </c>
      <c r="M973" s="12" t="s">
        <v>33</v>
      </c>
      <c r="N973" s="12" t="s">
        <v>34</v>
      </c>
      <c r="P973" s="10" t="n">
        <v>167</v>
      </c>
      <c r="Q973" s="12" t="s">
        <v>220</v>
      </c>
      <c r="R973" s="12" t="s">
        <v>36</v>
      </c>
      <c r="S973" s="10" t="n">
        <v>1130101</v>
      </c>
      <c r="T973" s="12" t="s">
        <v>37</v>
      </c>
      <c r="U973" s="13" t="n">
        <v>481.15</v>
      </c>
      <c r="W973" s="13" t="n">
        <v>0</v>
      </c>
      <c r="X973" s="12" t="s">
        <v>1101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3</v>
      </c>
      <c r="B974" s="11" t="n">
        <v>46233</v>
      </c>
      <c r="C974" s="11" t="n">
        <v>46248</v>
      </c>
      <c r="D974" s="10" t="n">
        <v>1814</v>
      </c>
      <c r="E974" s="12" t="s">
        <v>280</v>
      </c>
      <c r="F974" s="10" t="n">
        <v>24</v>
      </c>
      <c r="G974" s="12" t="s">
        <v>31</v>
      </c>
      <c r="H974" s="10" t="n">
        <v>2110405</v>
      </c>
      <c r="I974" s="12" t="s">
        <v>63</v>
      </c>
      <c r="J974" s="10" t="n">
        <v>1478675</v>
      </c>
      <c r="L974" s="10" t="n">
        <v>279762</v>
      </c>
      <c r="M974" s="12" t="s">
        <v>33</v>
      </c>
      <c r="N974" s="12" t="s">
        <v>34</v>
      </c>
      <c r="P974" s="10" t="n">
        <v>167</v>
      </c>
      <c r="Q974" s="12" t="s">
        <v>220</v>
      </c>
      <c r="R974" s="12" t="s">
        <v>36</v>
      </c>
      <c r="S974" s="10" t="n">
        <v>1130101</v>
      </c>
      <c r="T974" s="12" t="s">
        <v>37</v>
      </c>
      <c r="U974" s="13" t="n">
        <v>835.37</v>
      </c>
      <c r="W974" s="13" t="n">
        <v>0</v>
      </c>
      <c r="X974" s="12" t="s">
        <v>1102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3</v>
      </c>
      <c r="B975" s="11" t="n">
        <v>46233</v>
      </c>
      <c r="C975" s="11" t="n">
        <v>46248</v>
      </c>
      <c r="D975" s="10" t="n">
        <v>1608</v>
      </c>
      <c r="E975" s="12" t="s">
        <v>69</v>
      </c>
      <c r="F975" s="10" t="n">
        <v>24</v>
      </c>
      <c r="G975" s="12" t="s">
        <v>31</v>
      </c>
      <c r="H975" s="10" t="n">
        <v>2110101</v>
      </c>
      <c r="I975" s="12" t="s">
        <v>32</v>
      </c>
      <c r="J975" s="10" t="n">
        <v>1482387</v>
      </c>
      <c r="L975" s="10" t="n">
        <v>17031521</v>
      </c>
      <c r="M975" s="12" t="s">
        <v>33</v>
      </c>
      <c r="N975" s="12" t="s">
        <v>34</v>
      </c>
      <c r="P975" s="10" t="n">
        <v>167</v>
      </c>
      <c r="Q975" s="12" t="s">
        <v>220</v>
      </c>
      <c r="R975" s="12" t="s">
        <v>36</v>
      </c>
      <c r="S975" s="10" t="n">
        <v>1130101</v>
      </c>
      <c r="T975" s="12" t="s">
        <v>37</v>
      </c>
      <c r="U975" s="13" t="n">
        <v>362.69</v>
      </c>
      <c r="W975" s="13" t="n">
        <v>0</v>
      </c>
      <c r="X975" s="12" t="s">
        <v>1103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3</v>
      </c>
      <c r="B976" s="11" t="n">
        <v>46241</v>
      </c>
      <c r="C976" s="11" t="n">
        <v>46248</v>
      </c>
      <c r="D976" s="10" t="n">
        <v>1828</v>
      </c>
      <c r="E976" s="12" t="s">
        <v>52</v>
      </c>
      <c r="F976" s="10" t="n">
        <v>24</v>
      </c>
      <c r="G976" s="12" t="s">
        <v>31</v>
      </c>
      <c r="H976" s="10" t="n">
        <v>2110405</v>
      </c>
      <c r="I976" s="12" t="s">
        <v>63</v>
      </c>
      <c r="J976" s="10" t="n">
        <v>1513088</v>
      </c>
      <c r="L976" s="10" t="n">
        <v>157</v>
      </c>
      <c r="M976" s="12" t="s">
        <v>33</v>
      </c>
      <c r="N976" s="12" t="s">
        <v>34</v>
      </c>
      <c r="P976" s="10" t="n">
        <v>167</v>
      </c>
      <c r="Q976" s="12" t="s">
        <v>220</v>
      </c>
      <c r="R976" s="12" t="s">
        <v>36</v>
      </c>
      <c r="S976" s="10" t="n">
        <v>1130101</v>
      </c>
      <c r="T976" s="12" t="s">
        <v>37</v>
      </c>
      <c r="U976" s="13" t="n">
        <v>700.4</v>
      </c>
      <c r="W976" s="13" t="n">
        <v>0</v>
      </c>
      <c r="X976" s="12" t="s">
        <v>1104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45.75" hidden="false" customHeight="true" outlineLevel="0" collapsed="false">
      <c r="A977" s="10" t="n">
        <v>3</v>
      </c>
      <c r="B977" s="11" t="n">
        <v>46241</v>
      </c>
      <c r="C977" s="11" t="n">
        <v>46248</v>
      </c>
      <c r="D977" s="10" t="n">
        <v>42</v>
      </c>
      <c r="E977" s="12" t="s">
        <v>106</v>
      </c>
      <c r="F977" s="10" t="n">
        <v>34</v>
      </c>
      <c r="G977" s="12" t="s">
        <v>58</v>
      </c>
      <c r="H977" s="10" t="n">
        <v>2110101</v>
      </c>
      <c r="I977" s="12" t="s">
        <v>32</v>
      </c>
      <c r="J977" s="10" t="n">
        <v>1513572</v>
      </c>
      <c r="L977" s="10" t="n">
        <v>4473</v>
      </c>
      <c r="M977" s="12" t="s">
        <v>33</v>
      </c>
      <c r="N977" s="12" t="s">
        <v>40</v>
      </c>
      <c r="P977" s="10" t="n">
        <v>167</v>
      </c>
      <c r="Q977" s="12" t="s">
        <v>220</v>
      </c>
      <c r="R977" s="12" t="s">
        <v>36</v>
      </c>
      <c r="S977" s="10" t="n">
        <v>1130101</v>
      </c>
      <c r="T977" s="12" t="s">
        <v>37</v>
      </c>
      <c r="U977" s="13" t="n">
        <v>300</v>
      </c>
      <c r="W977" s="13" t="n">
        <v>0</v>
      </c>
      <c r="X977" s="12" t="s">
        <v>1105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45.75" hidden="false" customHeight="true" outlineLevel="0" collapsed="false">
      <c r="A978" s="10" t="n">
        <v>3</v>
      </c>
      <c r="B978" s="11" t="n">
        <v>46241</v>
      </c>
      <c r="C978" s="11" t="n">
        <v>46248</v>
      </c>
      <c r="D978" s="10" t="n">
        <v>1723</v>
      </c>
      <c r="E978" s="12" t="s">
        <v>54</v>
      </c>
      <c r="F978" s="10" t="n">
        <v>24</v>
      </c>
      <c r="G978" s="12" t="s">
        <v>31</v>
      </c>
      <c r="H978" s="10" t="n">
        <v>2110405</v>
      </c>
      <c r="I978" s="12" t="s">
        <v>63</v>
      </c>
      <c r="J978" s="10" t="n">
        <v>1514492</v>
      </c>
      <c r="L978" s="10" t="n">
        <v>589281</v>
      </c>
      <c r="M978" s="12" t="s">
        <v>33</v>
      </c>
      <c r="N978" s="12" t="s">
        <v>34</v>
      </c>
      <c r="P978" s="10" t="n">
        <v>167</v>
      </c>
      <c r="Q978" s="12" t="s">
        <v>220</v>
      </c>
      <c r="R978" s="12" t="s">
        <v>36</v>
      </c>
      <c r="S978" s="10" t="n">
        <v>1130101</v>
      </c>
      <c r="T978" s="12" t="s">
        <v>37</v>
      </c>
      <c r="U978" s="13" t="n">
        <v>1847.6</v>
      </c>
      <c r="W978" s="13" t="n">
        <v>0</v>
      </c>
      <c r="X978" s="12" t="s">
        <v>1106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36.75" hidden="false" customHeight="true" outlineLevel="0" collapsed="false">
      <c r="A979" s="10" t="n">
        <v>3</v>
      </c>
      <c r="B979" s="11" t="n">
        <v>46097</v>
      </c>
      <c r="C979" s="11" t="n">
        <v>46249</v>
      </c>
      <c r="D979" s="10" t="n">
        <v>1867</v>
      </c>
      <c r="E979" s="12" t="s">
        <v>554</v>
      </c>
      <c r="F979" s="10" t="n">
        <v>24</v>
      </c>
      <c r="G979" s="12" t="s">
        <v>31</v>
      </c>
      <c r="H979" s="10" t="n">
        <v>2110405</v>
      </c>
      <c r="I979" s="12" t="s">
        <v>63</v>
      </c>
      <c r="J979" s="10" t="n">
        <v>809440</v>
      </c>
      <c r="L979" s="10" t="n">
        <v>777006512</v>
      </c>
      <c r="M979" s="12" t="s">
        <v>353</v>
      </c>
      <c r="N979" s="12" t="s">
        <v>34</v>
      </c>
      <c r="P979" s="10" t="n">
        <v>101</v>
      </c>
      <c r="Q979" s="12" t="s">
        <v>136</v>
      </c>
      <c r="R979" s="12" t="s">
        <v>556</v>
      </c>
      <c r="S979" s="10" t="n">
        <v>4210401</v>
      </c>
      <c r="T979" s="12" t="s">
        <v>557</v>
      </c>
      <c r="U979" s="13" t="n">
        <v>225.2</v>
      </c>
      <c r="W979" s="13" t="n">
        <v>0</v>
      </c>
      <c r="X979" s="12" t="s">
        <v>1107</v>
      </c>
      <c r="Z979" s="1" t="str">
        <f aca="false">IF($T979="","",IFERROR(INDEX('Resumo Grupos'!$AC$3:$AC$200,MATCH($T979,'Resumo Grupos'!$AB$3:$AB$200,0)),"n/d"))</f>
        <v>Impostos</v>
      </c>
      <c r="AA979" s="1" t="str">
        <f aca="false">IF($T979="","",IF(COUNTIF('Resumo Grupos'!$AE$3:$AE$40,$T979)&gt;0,"NAO","SIM"))</f>
        <v>SIM</v>
      </c>
    </row>
    <row r="980" customFormat="false" ht="54.75" hidden="false" customHeight="true" outlineLevel="0" collapsed="false">
      <c r="A980" s="10" t="n">
        <v>3</v>
      </c>
      <c r="B980" s="11" t="n">
        <v>46227</v>
      </c>
      <c r="C980" s="11" t="n">
        <v>46249</v>
      </c>
      <c r="D980" s="10" t="n">
        <v>1608</v>
      </c>
      <c r="E980" s="12" t="s">
        <v>69</v>
      </c>
      <c r="F980" s="10" t="n">
        <v>24</v>
      </c>
      <c r="G980" s="12" t="s">
        <v>31</v>
      </c>
      <c r="H980" s="10" t="n">
        <v>1110204</v>
      </c>
      <c r="I980" s="12" t="s">
        <v>177</v>
      </c>
      <c r="J980" s="10" t="n">
        <v>1443899</v>
      </c>
      <c r="L980" s="10" t="n">
        <v>16991332</v>
      </c>
      <c r="M980" s="12" t="s">
        <v>33</v>
      </c>
      <c r="N980" s="12" t="s">
        <v>34</v>
      </c>
      <c r="P980" s="10" t="n">
        <v>167</v>
      </c>
      <c r="Q980" s="12" t="s">
        <v>220</v>
      </c>
      <c r="R980" s="12" t="s">
        <v>36</v>
      </c>
      <c r="S980" s="10" t="n">
        <v>1130101</v>
      </c>
      <c r="T980" s="12" t="s">
        <v>37</v>
      </c>
      <c r="U980" s="13" t="n">
        <v>832.25</v>
      </c>
      <c r="W980" s="13" t="n">
        <v>0</v>
      </c>
      <c r="X980" s="12" t="s">
        <v>1108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0" t="n">
        <v>3</v>
      </c>
      <c r="B981" s="11" t="n">
        <v>46228</v>
      </c>
      <c r="C981" s="11" t="n">
        <v>46249</v>
      </c>
      <c r="D981" s="10" t="n">
        <v>1039</v>
      </c>
      <c r="E981" s="12" t="s">
        <v>150</v>
      </c>
      <c r="F981" s="10" t="n">
        <v>24</v>
      </c>
      <c r="G981" s="12" t="s">
        <v>31</v>
      </c>
      <c r="H981" s="10" t="n">
        <v>1110204</v>
      </c>
      <c r="I981" s="12" t="s">
        <v>177</v>
      </c>
      <c r="J981" s="10" t="n">
        <v>1458367</v>
      </c>
      <c r="L981" s="10" t="n">
        <v>194533</v>
      </c>
      <c r="M981" s="12" t="s">
        <v>33</v>
      </c>
      <c r="N981" s="12" t="s">
        <v>34</v>
      </c>
      <c r="P981" s="10" t="n">
        <v>167</v>
      </c>
      <c r="Q981" s="12" t="s">
        <v>220</v>
      </c>
      <c r="R981" s="12" t="s">
        <v>36</v>
      </c>
      <c r="S981" s="10" t="n">
        <v>1130101</v>
      </c>
      <c r="T981" s="12" t="s">
        <v>37</v>
      </c>
      <c r="U981" s="13" t="n">
        <v>1086.18</v>
      </c>
      <c r="W981" s="13" t="n">
        <v>0</v>
      </c>
      <c r="X981" s="12" t="s">
        <v>1109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3</v>
      </c>
      <c r="B982" s="11" t="n">
        <v>46231</v>
      </c>
      <c r="C982" s="11" t="n">
        <v>46249</v>
      </c>
      <c r="D982" s="10" t="n">
        <v>1893</v>
      </c>
      <c r="E982" s="12" t="s">
        <v>564</v>
      </c>
      <c r="F982" s="10" t="n">
        <v>34</v>
      </c>
      <c r="G982" s="12" t="s">
        <v>58</v>
      </c>
      <c r="H982" s="10" t="n">
        <v>2110405</v>
      </c>
      <c r="I982" s="12" t="s">
        <v>63</v>
      </c>
      <c r="J982" s="10" t="n">
        <v>1464910</v>
      </c>
      <c r="L982" s="10" t="n">
        <v>227905</v>
      </c>
      <c r="M982" s="12" t="s">
        <v>33</v>
      </c>
      <c r="N982" s="12" t="s">
        <v>34</v>
      </c>
      <c r="P982" s="10" t="n">
        <v>101</v>
      </c>
      <c r="Q982" s="12" t="s">
        <v>136</v>
      </c>
      <c r="R982" s="12" t="s">
        <v>137</v>
      </c>
      <c r="S982" s="10" t="n">
        <v>4210315</v>
      </c>
      <c r="T982" s="12" t="s">
        <v>182</v>
      </c>
      <c r="U982" s="13" t="n">
        <v>177.65</v>
      </c>
      <c r="W982" s="13" t="n">
        <v>0</v>
      </c>
      <c r="X982" s="12" t="s">
        <v>1110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</row>
    <row r="983" customFormat="false" ht="36.75" hidden="false" customHeight="true" outlineLevel="0" collapsed="false">
      <c r="A983" s="10" t="n">
        <v>3</v>
      </c>
      <c r="B983" s="11" t="n">
        <v>46237</v>
      </c>
      <c r="C983" s="11" t="n">
        <v>46249</v>
      </c>
      <c r="D983" s="10" t="n">
        <v>1625</v>
      </c>
      <c r="E983" s="12" t="s">
        <v>97</v>
      </c>
      <c r="F983" s="10" t="n">
        <v>24</v>
      </c>
      <c r="G983" s="12" t="s">
        <v>31</v>
      </c>
      <c r="H983" s="10" t="n">
        <v>2110405</v>
      </c>
      <c r="I983" s="12" t="s">
        <v>63</v>
      </c>
      <c r="J983" s="10" t="n">
        <v>1493506</v>
      </c>
      <c r="L983" s="10" t="n">
        <v>149122</v>
      </c>
      <c r="M983" s="12" t="s">
        <v>33</v>
      </c>
      <c r="N983" s="12" t="s">
        <v>34</v>
      </c>
      <c r="P983" s="10" t="n">
        <v>167</v>
      </c>
      <c r="Q983" s="12" t="s">
        <v>220</v>
      </c>
      <c r="R983" s="12" t="s">
        <v>36</v>
      </c>
      <c r="S983" s="10" t="n">
        <v>1130101</v>
      </c>
      <c r="T983" s="12" t="s">
        <v>37</v>
      </c>
      <c r="U983" s="13" t="n">
        <v>3573.2</v>
      </c>
      <c r="W983" s="13" t="n">
        <v>0</v>
      </c>
      <c r="X983" s="12" t="s">
        <v>1111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3</v>
      </c>
      <c r="B984" s="11" t="n">
        <v>46237</v>
      </c>
      <c r="C984" s="11" t="n">
        <v>46249</v>
      </c>
      <c r="D984" s="10" t="n">
        <v>1672</v>
      </c>
      <c r="E984" s="12" t="s">
        <v>93</v>
      </c>
      <c r="F984" s="10" t="n">
        <v>24</v>
      </c>
      <c r="G984" s="12" t="s">
        <v>31</v>
      </c>
      <c r="H984" s="10" t="n">
        <v>2110405</v>
      </c>
      <c r="I984" s="12" t="s">
        <v>63</v>
      </c>
      <c r="J984" s="10" t="n">
        <v>1504154</v>
      </c>
      <c r="L984" s="10" t="n">
        <v>14134011</v>
      </c>
      <c r="M984" s="12" t="s">
        <v>33</v>
      </c>
      <c r="N984" s="12" t="s">
        <v>34</v>
      </c>
      <c r="P984" s="10" t="n">
        <v>167</v>
      </c>
      <c r="Q984" s="12" t="s">
        <v>220</v>
      </c>
      <c r="R984" s="12" t="s">
        <v>36</v>
      </c>
      <c r="S984" s="10" t="n">
        <v>1130101</v>
      </c>
      <c r="T984" s="12" t="s">
        <v>37</v>
      </c>
      <c r="U984" s="13" t="n">
        <v>725.05</v>
      </c>
      <c r="W984" s="13" t="n">
        <v>0</v>
      </c>
      <c r="X984" s="12" t="s">
        <v>1112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36.75" hidden="false" customHeight="true" outlineLevel="0" collapsed="false">
      <c r="A985" s="10" t="n">
        <v>3</v>
      </c>
      <c r="B985" s="11" t="n">
        <v>46207</v>
      </c>
      <c r="C985" s="11" t="n">
        <v>46251</v>
      </c>
      <c r="D985" s="10" t="n">
        <v>1814</v>
      </c>
      <c r="E985" s="12" t="s">
        <v>280</v>
      </c>
      <c r="F985" s="10" t="n">
        <v>24</v>
      </c>
      <c r="G985" s="12" t="s">
        <v>31</v>
      </c>
      <c r="H985" s="10" t="n">
        <v>2110101</v>
      </c>
      <c r="I985" s="12" t="s">
        <v>32</v>
      </c>
      <c r="J985" s="10" t="n">
        <v>1348312</v>
      </c>
      <c r="L985" s="10" t="n">
        <v>27252</v>
      </c>
      <c r="M985" s="12" t="s">
        <v>559</v>
      </c>
      <c r="N985" s="12" t="s">
        <v>40</v>
      </c>
      <c r="P985" s="10" t="n">
        <v>167</v>
      </c>
      <c r="Q985" s="12" t="s">
        <v>220</v>
      </c>
      <c r="R985" s="12" t="s">
        <v>36</v>
      </c>
      <c r="S985" s="10" t="n">
        <v>1130101</v>
      </c>
      <c r="T985" s="12" t="s">
        <v>37</v>
      </c>
      <c r="U985" s="13" t="n">
        <v>587.62</v>
      </c>
      <c r="W985" s="13" t="n">
        <v>0</v>
      </c>
      <c r="X985" s="12" t="s">
        <v>1113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3</v>
      </c>
      <c r="B986" s="11" t="n">
        <v>46212</v>
      </c>
      <c r="C986" s="11" t="n">
        <v>46251</v>
      </c>
      <c r="D986" s="10" t="n">
        <v>10037</v>
      </c>
      <c r="E986" s="12" t="s">
        <v>81</v>
      </c>
      <c r="F986" s="10" t="n">
        <v>24</v>
      </c>
      <c r="G986" s="12" t="s">
        <v>31</v>
      </c>
      <c r="H986" s="10" t="n">
        <v>1110204</v>
      </c>
      <c r="I986" s="12" t="s">
        <v>177</v>
      </c>
      <c r="J986" s="10" t="n">
        <v>1392516</v>
      </c>
      <c r="L986" s="10" t="n">
        <v>27513</v>
      </c>
      <c r="M986" s="12" t="s">
        <v>33</v>
      </c>
      <c r="N986" s="12" t="s">
        <v>34</v>
      </c>
      <c r="P986" s="10" t="n">
        <v>167</v>
      </c>
      <c r="Q986" s="12" t="s">
        <v>220</v>
      </c>
      <c r="R986" s="12" t="s">
        <v>36</v>
      </c>
      <c r="S986" s="10" t="n">
        <v>1130101</v>
      </c>
      <c r="T986" s="12" t="s">
        <v>37</v>
      </c>
      <c r="U986" s="13" t="n">
        <v>565.04</v>
      </c>
      <c r="W986" s="13" t="n">
        <v>0</v>
      </c>
      <c r="X986" s="12" t="s">
        <v>1114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3</v>
      </c>
      <c r="B987" s="11" t="n">
        <v>46220</v>
      </c>
      <c r="C987" s="11" t="n">
        <v>46251</v>
      </c>
      <c r="D987" s="10" t="n">
        <v>16</v>
      </c>
      <c r="E987" s="12" t="s">
        <v>365</v>
      </c>
      <c r="F987" s="10" t="n">
        <v>34</v>
      </c>
      <c r="G987" s="12" t="s">
        <v>58</v>
      </c>
      <c r="H987" s="10" t="n">
        <v>2110405</v>
      </c>
      <c r="I987" s="12" t="s">
        <v>63</v>
      </c>
      <c r="J987" s="10" t="n">
        <v>1415325</v>
      </c>
      <c r="L987" s="10" t="n">
        <v>220522</v>
      </c>
      <c r="M987" s="12" t="s">
        <v>33</v>
      </c>
      <c r="N987" s="12" t="s">
        <v>34</v>
      </c>
      <c r="P987" s="10" t="n">
        <v>101</v>
      </c>
      <c r="Q987" s="12" t="s">
        <v>136</v>
      </c>
      <c r="R987" s="12" t="s">
        <v>372</v>
      </c>
      <c r="S987" s="10" t="n">
        <v>2210202</v>
      </c>
      <c r="T987" s="12" t="s">
        <v>372</v>
      </c>
      <c r="U987" s="13" t="n">
        <v>1000</v>
      </c>
      <c r="W987" s="13" t="n">
        <v>0</v>
      </c>
      <c r="X987" s="12" t="s">
        <v>1115</v>
      </c>
      <c r="Z987" s="1" t="str">
        <f aca="false">IF($T987="","",IFERROR(INDEX('Resumo Grupos'!$AC$3:$AC$200,MATCH($T987,'Resumo Grupos'!$AB$3:$AB$200,0)),"n/d"))</f>
        <v>Empréstimo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3</v>
      </c>
      <c r="B988" s="11" t="n">
        <v>46224</v>
      </c>
      <c r="C988" s="11" t="n">
        <v>46251</v>
      </c>
      <c r="D988" s="10" t="n">
        <v>16</v>
      </c>
      <c r="E988" s="12" t="s">
        <v>365</v>
      </c>
      <c r="F988" s="10" t="n">
        <v>34</v>
      </c>
      <c r="G988" s="12" t="s">
        <v>58</v>
      </c>
      <c r="H988" s="10" t="n">
        <v>2110405</v>
      </c>
      <c r="I988" s="12" t="s">
        <v>63</v>
      </c>
      <c r="J988" s="10" t="n">
        <v>1428695</v>
      </c>
      <c r="L988" s="10" t="n">
        <v>222991</v>
      </c>
      <c r="M988" s="12" t="s">
        <v>33</v>
      </c>
      <c r="N988" s="12" t="s">
        <v>34</v>
      </c>
      <c r="P988" s="10" t="n">
        <v>101</v>
      </c>
      <c r="Q988" s="12" t="s">
        <v>136</v>
      </c>
      <c r="R988" s="12" t="s">
        <v>372</v>
      </c>
      <c r="S988" s="10" t="n">
        <v>2210202</v>
      </c>
      <c r="T988" s="12" t="s">
        <v>372</v>
      </c>
      <c r="U988" s="13" t="n">
        <v>3000</v>
      </c>
      <c r="W988" s="13" t="n">
        <v>0</v>
      </c>
      <c r="X988" s="12" t="s">
        <v>1116</v>
      </c>
      <c r="Z988" s="1" t="str">
        <f aca="false">IF($T988="","",IFERROR(INDEX('Resumo Grupos'!$AC$3:$AC$200,MATCH($T988,'Resumo Grupos'!$AB$3:$AB$200,0)),"n/d"))</f>
        <v>Empréstimo</v>
      </c>
      <c r="AA988" s="1" t="str">
        <f aca="false">IF($T988="","",IF(COUNTIF('Resumo Grupos'!$AE$3:$AE$40,$T988)&gt;0,"NAO","SIM"))</f>
        <v>SIM</v>
      </c>
    </row>
    <row r="989" customFormat="false" ht="36.75" hidden="false" customHeight="true" outlineLevel="0" collapsed="false">
      <c r="A989" s="10" t="n">
        <v>3</v>
      </c>
      <c r="B989" s="11" t="n">
        <v>46225</v>
      </c>
      <c r="C989" s="11" t="n">
        <v>46251</v>
      </c>
      <c r="D989" s="10" t="n">
        <v>1815</v>
      </c>
      <c r="E989" s="12" t="s">
        <v>157</v>
      </c>
      <c r="F989" s="10" t="n">
        <v>24</v>
      </c>
      <c r="G989" s="12" t="s">
        <v>31</v>
      </c>
      <c r="H989" s="10" t="n">
        <v>2110405</v>
      </c>
      <c r="I989" s="12" t="s">
        <v>63</v>
      </c>
      <c r="J989" s="10" t="n">
        <v>1435878</v>
      </c>
      <c r="L989" s="10" t="n">
        <v>4580363</v>
      </c>
      <c r="M989" s="12" t="s">
        <v>33</v>
      </c>
      <c r="N989" s="12" t="s">
        <v>34</v>
      </c>
      <c r="P989" s="10" t="n">
        <v>167</v>
      </c>
      <c r="Q989" s="12" t="s">
        <v>220</v>
      </c>
      <c r="R989" s="12" t="s">
        <v>36</v>
      </c>
      <c r="S989" s="10" t="n">
        <v>1130101</v>
      </c>
      <c r="T989" s="12" t="s">
        <v>37</v>
      </c>
      <c r="U989" s="13" t="n">
        <v>2067.28</v>
      </c>
      <c r="W989" s="13" t="n">
        <v>0</v>
      </c>
      <c r="X989" s="12" t="s">
        <v>1117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" hidden="false" customHeight="true" outlineLevel="0" collapsed="false">
      <c r="A990" s="14" t="n">
        <v>3</v>
      </c>
      <c r="B990" s="15" t="n">
        <v>46228</v>
      </c>
      <c r="C990" s="15" t="n">
        <v>46251</v>
      </c>
      <c r="D990" s="16" t="n">
        <v>1608</v>
      </c>
      <c r="E990" s="1" t="s">
        <v>69</v>
      </c>
      <c r="F990" s="16" t="n">
        <v>24</v>
      </c>
      <c r="G990" s="1" t="s">
        <v>31</v>
      </c>
      <c r="H990" s="16" t="n">
        <v>2110405</v>
      </c>
      <c r="I990" s="1" t="s">
        <v>63</v>
      </c>
      <c r="J990" s="16" t="n">
        <v>1458586</v>
      </c>
      <c r="L990" s="16" t="n">
        <v>16998852</v>
      </c>
      <c r="M990" s="1" t="s">
        <v>33</v>
      </c>
      <c r="N990" s="1" t="s">
        <v>34</v>
      </c>
      <c r="P990" s="16" t="n">
        <v>167</v>
      </c>
      <c r="Q990" s="1" t="s">
        <v>220</v>
      </c>
      <c r="R990" s="1" t="s">
        <v>36</v>
      </c>
      <c r="S990" s="16" t="n">
        <v>1130101</v>
      </c>
      <c r="T990" s="1" t="s">
        <v>37</v>
      </c>
      <c r="U990" s="17" t="n">
        <v>418.68</v>
      </c>
      <c r="W990" s="17" t="n">
        <v>0</v>
      </c>
      <c r="X990" s="1" t="s">
        <v>1118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9.75" hidden="false" customHeight="true" outlineLevel="0" collapsed="false">
      <c r="A991" s="18" t="n">
        <v>3</v>
      </c>
      <c r="B991" s="15" t="n">
        <v>46230</v>
      </c>
      <c r="C991" s="15" t="n">
        <v>46251</v>
      </c>
      <c r="D991" s="16" t="n">
        <v>1269</v>
      </c>
      <c r="E991" s="1" t="s">
        <v>938</v>
      </c>
      <c r="F991" s="16" t="n">
        <v>24</v>
      </c>
      <c r="G991" s="1" t="s">
        <v>31</v>
      </c>
      <c r="H991" s="16" t="n">
        <v>2110405</v>
      </c>
      <c r="I991" s="1" t="s">
        <v>63</v>
      </c>
      <c r="J991" s="16" t="n">
        <v>1458706</v>
      </c>
      <c r="K991" s="19"/>
      <c r="L991" s="16" t="n">
        <v>43</v>
      </c>
      <c r="M991" s="1" t="s">
        <v>33</v>
      </c>
      <c r="N991" s="1" t="s">
        <v>34</v>
      </c>
      <c r="P991" s="16" t="n">
        <v>167</v>
      </c>
      <c r="Q991" s="1" t="s">
        <v>220</v>
      </c>
      <c r="R991" s="1" t="s">
        <v>36</v>
      </c>
      <c r="S991" s="16" t="n">
        <v>1130101</v>
      </c>
      <c r="T991" s="1" t="s">
        <v>37</v>
      </c>
      <c r="U991" s="17" t="n">
        <v>746.68</v>
      </c>
      <c r="V991" s="20"/>
      <c r="W991" s="17" t="n">
        <v>0</v>
      </c>
      <c r="X991" s="1" t="s">
        <v>1119</v>
      </c>
      <c r="Y991" s="21"/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6" t="n">
        <v>3</v>
      </c>
      <c r="B992" s="15" t="n">
        <v>46231</v>
      </c>
      <c r="C992" s="15" t="n">
        <v>46251</v>
      </c>
      <c r="D992" s="16" t="n">
        <v>1354</v>
      </c>
      <c r="E992" s="1" t="s">
        <v>1120</v>
      </c>
      <c r="F992" s="16" t="n">
        <v>60</v>
      </c>
      <c r="G992" s="1" t="s">
        <v>1121</v>
      </c>
      <c r="H992" s="16" t="n">
        <v>1110204</v>
      </c>
      <c r="I992" s="1" t="s">
        <v>177</v>
      </c>
      <c r="J992" s="16" t="n">
        <v>1468267</v>
      </c>
      <c r="L992" s="16" t="n">
        <v>1339</v>
      </c>
      <c r="M992" s="1" t="s">
        <v>33</v>
      </c>
      <c r="N992" s="1" t="s">
        <v>34</v>
      </c>
      <c r="P992" s="16" t="n">
        <v>167</v>
      </c>
      <c r="Q992" s="1" t="s">
        <v>220</v>
      </c>
      <c r="R992" s="1" t="s">
        <v>64</v>
      </c>
      <c r="S992" s="16" t="n">
        <v>4210227</v>
      </c>
      <c r="T992" s="1" t="s">
        <v>65</v>
      </c>
      <c r="U992" s="17" t="n">
        <v>121.66</v>
      </c>
      <c r="W992" s="17" t="n">
        <v>0</v>
      </c>
      <c r="X992" s="1" t="s">
        <v>1122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6" t="n">
        <v>3</v>
      </c>
      <c r="B993" s="15" t="n">
        <v>46228</v>
      </c>
      <c r="C993" s="15" t="n">
        <v>46251</v>
      </c>
      <c r="D993" s="16" t="n">
        <v>1608</v>
      </c>
      <c r="E993" s="1" t="s">
        <v>69</v>
      </c>
      <c r="F993" s="16" t="n">
        <v>24</v>
      </c>
      <c r="G993" s="1" t="s">
        <v>31</v>
      </c>
      <c r="H993" s="16" t="n">
        <v>1110204</v>
      </c>
      <c r="I993" s="1" t="s">
        <v>177</v>
      </c>
      <c r="J993" s="16" t="n">
        <v>1468583</v>
      </c>
      <c r="L993" s="16" t="n">
        <v>16995932</v>
      </c>
      <c r="M993" s="1" t="s">
        <v>33</v>
      </c>
      <c r="N993" s="1" t="s">
        <v>34</v>
      </c>
      <c r="P993" s="16" t="n">
        <v>167</v>
      </c>
      <c r="Q993" s="1" t="s">
        <v>220</v>
      </c>
      <c r="R993" s="1" t="s">
        <v>36</v>
      </c>
      <c r="S993" s="16" t="n">
        <v>1130101</v>
      </c>
      <c r="T993" s="1" t="s">
        <v>37</v>
      </c>
      <c r="U993" s="17" t="n">
        <v>903.47</v>
      </c>
      <c r="W993" s="17" t="n">
        <v>0</v>
      </c>
      <c r="X993" s="1" t="s">
        <v>1123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6" t="n">
        <v>3</v>
      </c>
      <c r="B994" s="15" t="n">
        <v>46232</v>
      </c>
      <c r="C994" s="15" t="n">
        <v>46251</v>
      </c>
      <c r="D994" s="16" t="n">
        <v>1672</v>
      </c>
      <c r="E994" s="1" t="s">
        <v>93</v>
      </c>
      <c r="F994" s="16" t="n">
        <v>24</v>
      </c>
      <c r="G994" s="1" t="s">
        <v>31</v>
      </c>
      <c r="H994" s="16" t="n">
        <v>1110204</v>
      </c>
      <c r="I994" s="1" t="s">
        <v>177</v>
      </c>
      <c r="J994" s="16" t="n">
        <v>1472941</v>
      </c>
      <c r="L994" s="16" t="n">
        <v>14071392</v>
      </c>
      <c r="M994" s="1" t="s">
        <v>33</v>
      </c>
      <c r="N994" s="1" t="s">
        <v>34</v>
      </c>
      <c r="P994" s="16" t="n">
        <v>167</v>
      </c>
      <c r="Q994" s="1" t="s">
        <v>220</v>
      </c>
      <c r="R994" s="1" t="s">
        <v>36</v>
      </c>
      <c r="S994" s="16" t="n">
        <v>1130101</v>
      </c>
      <c r="T994" s="1" t="s">
        <v>37</v>
      </c>
      <c r="U994" s="17" t="n">
        <v>537.5</v>
      </c>
      <c r="W994" s="17" t="n">
        <v>0</v>
      </c>
      <c r="X994" s="1" t="s">
        <v>1124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6" t="n">
        <v>3</v>
      </c>
      <c r="B995" s="15" t="n">
        <v>46230</v>
      </c>
      <c r="C995" s="15" t="n">
        <v>46251</v>
      </c>
      <c r="D995" s="16" t="n">
        <v>10009</v>
      </c>
      <c r="E995" s="1" t="s">
        <v>99</v>
      </c>
      <c r="F995" s="16" t="n">
        <v>24</v>
      </c>
      <c r="G995" s="1" t="s">
        <v>31</v>
      </c>
      <c r="H995" s="16" t="n">
        <v>1110204</v>
      </c>
      <c r="I995" s="1" t="s">
        <v>177</v>
      </c>
      <c r="J995" s="16" t="n">
        <v>1477532</v>
      </c>
      <c r="L995" s="16" t="n">
        <v>1431918</v>
      </c>
      <c r="M995" s="1" t="s">
        <v>33</v>
      </c>
      <c r="N995" s="1" t="s">
        <v>34</v>
      </c>
      <c r="P995" s="16" t="n">
        <v>167</v>
      </c>
      <c r="Q995" s="1" t="s">
        <v>220</v>
      </c>
      <c r="R995" s="1" t="s">
        <v>36</v>
      </c>
      <c r="S995" s="16" t="n">
        <v>1130101</v>
      </c>
      <c r="T995" s="1" t="s">
        <v>37</v>
      </c>
      <c r="U995" s="17" t="n">
        <v>742.93</v>
      </c>
      <c r="W995" s="17" t="n">
        <v>0</v>
      </c>
      <c r="X995" s="1" t="s">
        <v>1125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6" t="n">
        <v>3</v>
      </c>
      <c r="B996" s="15" t="n">
        <v>46230</v>
      </c>
      <c r="C996" s="15" t="n">
        <v>46251</v>
      </c>
      <c r="D996" s="16" t="n">
        <v>10009</v>
      </c>
      <c r="E996" s="1" t="s">
        <v>99</v>
      </c>
      <c r="F996" s="16" t="n">
        <v>24</v>
      </c>
      <c r="G996" s="1" t="s">
        <v>31</v>
      </c>
      <c r="H996" s="16" t="n">
        <v>1110204</v>
      </c>
      <c r="I996" s="1" t="s">
        <v>177</v>
      </c>
      <c r="J996" s="16" t="n">
        <v>1477537</v>
      </c>
      <c r="L996" s="16" t="n">
        <v>1432680</v>
      </c>
      <c r="M996" s="1" t="s">
        <v>33</v>
      </c>
      <c r="N996" s="1" t="s">
        <v>34</v>
      </c>
      <c r="P996" s="16" t="n">
        <v>167</v>
      </c>
      <c r="Q996" s="1" t="s">
        <v>220</v>
      </c>
      <c r="R996" s="1" t="s">
        <v>36</v>
      </c>
      <c r="S996" s="16" t="n">
        <v>1130101</v>
      </c>
      <c r="T996" s="1" t="s">
        <v>37</v>
      </c>
      <c r="U996" s="17" t="n">
        <v>1015.17</v>
      </c>
      <c r="W996" s="17" t="n">
        <v>0</v>
      </c>
      <c r="X996" s="1" t="s">
        <v>1126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6" t="n">
        <v>3</v>
      </c>
      <c r="B997" s="15" t="n">
        <v>46237</v>
      </c>
      <c r="C997" s="15" t="n">
        <v>46251</v>
      </c>
      <c r="D997" s="16" t="n">
        <v>1723</v>
      </c>
      <c r="E997" s="1" t="s">
        <v>54</v>
      </c>
      <c r="F997" s="16" t="n">
        <v>24</v>
      </c>
      <c r="G997" s="1" t="s">
        <v>31</v>
      </c>
      <c r="H997" s="16" t="n">
        <v>2110405</v>
      </c>
      <c r="I997" s="1" t="s">
        <v>63</v>
      </c>
      <c r="J997" s="16" t="n">
        <v>1493479</v>
      </c>
      <c r="L997" s="16" t="n">
        <v>58429</v>
      </c>
      <c r="M997" s="1" t="s">
        <v>33</v>
      </c>
      <c r="N997" s="1" t="s">
        <v>34</v>
      </c>
      <c r="P997" s="16" t="n">
        <v>167</v>
      </c>
      <c r="Q997" s="1" t="s">
        <v>220</v>
      </c>
      <c r="R997" s="1" t="s">
        <v>36</v>
      </c>
      <c r="S997" s="16" t="n">
        <v>1130101</v>
      </c>
      <c r="T997" s="1" t="s">
        <v>37</v>
      </c>
      <c r="U997" s="17" t="n">
        <v>3287</v>
      </c>
      <c r="W997" s="17" t="n">
        <v>0</v>
      </c>
      <c r="X997" s="1" t="s">
        <v>1127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6" t="n">
        <v>3</v>
      </c>
      <c r="B998" s="15" t="n">
        <v>46237</v>
      </c>
      <c r="C998" s="15" t="n">
        <v>46251</v>
      </c>
      <c r="D998" s="16" t="n">
        <v>16</v>
      </c>
      <c r="E998" s="1" t="s">
        <v>365</v>
      </c>
      <c r="F998" s="16" t="n">
        <v>34</v>
      </c>
      <c r="G998" s="1" t="s">
        <v>58</v>
      </c>
      <c r="H998" s="16" t="n">
        <v>2110405</v>
      </c>
      <c r="I998" s="1" t="s">
        <v>63</v>
      </c>
      <c r="J998" s="16" t="n">
        <v>1493536</v>
      </c>
      <c r="L998" s="16" t="n">
        <v>232110</v>
      </c>
      <c r="M998" s="1" t="s">
        <v>33</v>
      </c>
      <c r="N998" s="1" t="s">
        <v>34</v>
      </c>
      <c r="P998" s="16" t="n">
        <v>101</v>
      </c>
      <c r="Q998" s="1" t="s">
        <v>136</v>
      </c>
      <c r="R998" s="1" t="s">
        <v>372</v>
      </c>
      <c r="S998" s="16" t="n">
        <v>2210203</v>
      </c>
      <c r="T998" s="1" t="s">
        <v>1016</v>
      </c>
      <c r="U998" s="17" t="n">
        <v>100000</v>
      </c>
      <c r="W998" s="17" t="n">
        <v>0</v>
      </c>
      <c r="X998" s="1" t="s">
        <v>1128</v>
      </c>
      <c r="Z998" s="1" t="str">
        <f aca="false">IF($T998="","",IFERROR(INDEX('Resumo Grupos'!$AC$3:$AC$200,MATCH($T998,'Resumo Grupos'!$AB$3:$AB$200,0)),"n/d"))</f>
        <v>Empréstimo</v>
      </c>
      <c r="AA998" s="1" t="str">
        <f aca="false">IF($T998="","",IF(COUNTIF('Resumo Grupos'!$AE$3:$AE$40,$T998)&gt;0,"NAO","SIM"))</f>
        <v>NAO</v>
      </c>
    </row>
    <row r="999" customFormat="false" ht="12.75" hidden="false" customHeight="true" outlineLevel="0" collapsed="false">
      <c r="A999" s="16" t="n">
        <v>3</v>
      </c>
      <c r="B999" s="15" t="n">
        <v>46234</v>
      </c>
      <c r="C999" s="15" t="n">
        <v>46251</v>
      </c>
      <c r="D999" s="16" t="n">
        <v>1666</v>
      </c>
      <c r="E999" s="1" t="s">
        <v>179</v>
      </c>
      <c r="F999" s="16" t="n">
        <v>24</v>
      </c>
      <c r="G999" s="1" t="s">
        <v>31</v>
      </c>
      <c r="H999" s="16" t="n">
        <v>1110204</v>
      </c>
      <c r="I999" s="1" t="s">
        <v>177</v>
      </c>
      <c r="J999" s="16" t="n">
        <v>1495100</v>
      </c>
      <c r="L999" s="16" t="n">
        <v>5686652</v>
      </c>
      <c r="M999" s="1" t="s">
        <v>33</v>
      </c>
      <c r="N999" s="1" t="s">
        <v>34</v>
      </c>
      <c r="P999" s="16" t="n">
        <v>167</v>
      </c>
      <c r="Q999" s="1" t="s">
        <v>220</v>
      </c>
      <c r="R999" s="1" t="s">
        <v>36</v>
      </c>
      <c r="S999" s="16" t="n">
        <v>1130101</v>
      </c>
      <c r="T999" s="1" t="s">
        <v>37</v>
      </c>
      <c r="U999" s="17" t="n">
        <v>2964.56</v>
      </c>
      <c r="W999" s="17" t="n">
        <v>0</v>
      </c>
      <c r="X999" s="1" t="s">
        <v>1129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6" t="n">
        <v>3</v>
      </c>
      <c r="B1000" s="15" t="n">
        <v>46234</v>
      </c>
      <c r="C1000" s="15" t="n">
        <v>46251</v>
      </c>
      <c r="D1000" s="16" t="n">
        <v>1608</v>
      </c>
      <c r="E1000" s="1" t="s">
        <v>69</v>
      </c>
      <c r="F1000" s="16" t="n">
        <v>34</v>
      </c>
      <c r="G1000" s="1" t="s">
        <v>58</v>
      </c>
      <c r="H1000" s="16" t="n">
        <v>2110405</v>
      </c>
      <c r="I1000" s="1" t="s">
        <v>63</v>
      </c>
      <c r="J1000" s="16" t="n">
        <v>1495366</v>
      </c>
      <c r="L1000" s="16" t="n">
        <v>17042431</v>
      </c>
      <c r="M1000" s="1" t="s">
        <v>33</v>
      </c>
      <c r="N1000" s="1" t="s">
        <v>34</v>
      </c>
      <c r="P1000" s="16" t="n">
        <v>167</v>
      </c>
      <c r="Q1000" s="1" t="s">
        <v>220</v>
      </c>
      <c r="R1000" s="1" t="s">
        <v>36</v>
      </c>
      <c r="S1000" s="16" t="n">
        <v>1130101</v>
      </c>
      <c r="T1000" s="1" t="s">
        <v>37</v>
      </c>
      <c r="U1000" s="17" t="n">
        <v>166.32</v>
      </c>
      <c r="W1000" s="17" t="n">
        <v>0</v>
      </c>
      <c r="X1000" s="1" t="s">
        <v>1130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6" t="n">
        <v>3</v>
      </c>
      <c r="B1001" s="15" t="n">
        <v>46233</v>
      </c>
      <c r="C1001" s="15" t="n">
        <v>46251</v>
      </c>
      <c r="D1001" s="16" t="n">
        <v>1636</v>
      </c>
      <c r="E1001" s="1" t="s">
        <v>195</v>
      </c>
      <c r="F1001" s="16" t="n">
        <v>24</v>
      </c>
      <c r="G1001" s="1" t="s">
        <v>31</v>
      </c>
      <c r="H1001" s="16" t="n">
        <v>2110405</v>
      </c>
      <c r="I1001" s="1" t="s">
        <v>63</v>
      </c>
      <c r="J1001" s="16" t="n">
        <v>1495385</v>
      </c>
      <c r="L1001" s="16" t="n">
        <v>32292541</v>
      </c>
      <c r="M1001" s="1" t="s">
        <v>33</v>
      </c>
      <c r="N1001" s="1" t="s">
        <v>34</v>
      </c>
      <c r="P1001" s="16" t="n">
        <v>167</v>
      </c>
      <c r="Q1001" s="1" t="s">
        <v>220</v>
      </c>
      <c r="R1001" s="1" t="s">
        <v>36</v>
      </c>
      <c r="S1001" s="16" t="n">
        <v>1130101</v>
      </c>
      <c r="T1001" s="1" t="s">
        <v>37</v>
      </c>
      <c r="U1001" s="17" t="n">
        <v>947.74</v>
      </c>
      <c r="W1001" s="17" t="n">
        <v>0</v>
      </c>
      <c r="X1001" s="1" t="s">
        <v>1131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6" t="n">
        <v>3</v>
      </c>
      <c r="B1002" s="15" t="n">
        <v>46237</v>
      </c>
      <c r="C1002" s="15" t="n">
        <v>46251</v>
      </c>
      <c r="D1002" s="16" t="n">
        <v>846</v>
      </c>
      <c r="E1002" s="1" t="s">
        <v>1132</v>
      </c>
      <c r="F1002" s="16" t="n">
        <v>24</v>
      </c>
      <c r="G1002" s="1" t="s">
        <v>31</v>
      </c>
      <c r="H1002" s="16" t="n">
        <v>2110405</v>
      </c>
      <c r="I1002" s="1" t="s">
        <v>63</v>
      </c>
      <c r="J1002" s="16" t="n">
        <v>1498612</v>
      </c>
      <c r="L1002" s="16" t="n">
        <v>8461</v>
      </c>
      <c r="M1002" s="1" t="s">
        <v>33</v>
      </c>
      <c r="N1002" s="1" t="s">
        <v>34</v>
      </c>
      <c r="P1002" s="16" t="n">
        <v>167</v>
      </c>
      <c r="Q1002" s="1" t="s">
        <v>220</v>
      </c>
      <c r="R1002" s="1" t="s">
        <v>36</v>
      </c>
      <c r="S1002" s="16" t="n">
        <v>1130101</v>
      </c>
      <c r="T1002" s="1" t="s">
        <v>37</v>
      </c>
      <c r="U1002" s="17" t="n">
        <v>538.21</v>
      </c>
      <c r="W1002" s="17" t="n">
        <v>0</v>
      </c>
      <c r="X1002" s="1" t="s">
        <v>1133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6" t="n">
        <v>3</v>
      </c>
      <c r="B1003" s="15" t="n">
        <v>46239</v>
      </c>
      <c r="C1003" s="15" t="n">
        <v>46251</v>
      </c>
      <c r="D1003" s="16" t="n">
        <v>1613</v>
      </c>
      <c r="E1003" s="1" t="s">
        <v>209</v>
      </c>
      <c r="F1003" s="16" t="n">
        <v>24</v>
      </c>
      <c r="G1003" s="1" t="s">
        <v>31</v>
      </c>
      <c r="H1003" s="16" t="n">
        <v>2110405</v>
      </c>
      <c r="I1003" s="1" t="s">
        <v>63</v>
      </c>
      <c r="J1003" s="16" t="n">
        <v>1504630</v>
      </c>
      <c r="L1003" s="16" t="n">
        <v>16155702</v>
      </c>
      <c r="M1003" s="1" t="s">
        <v>33</v>
      </c>
      <c r="N1003" s="1" t="s">
        <v>34</v>
      </c>
      <c r="P1003" s="16" t="n">
        <v>167</v>
      </c>
      <c r="Q1003" s="1" t="s">
        <v>220</v>
      </c>
      <c r="R1003" s="1" t="s">
        <v>36</v>
      </c>
      <c r="S1003" s="16" t="n">
        <v>1130101</v>
      </c>
      <c r="T1003" s="1" t="s">
        <v>37</v>
      </c>
      <c r="U1003" s="17" t="n">
        <v>1173.52</v>
      </c>
      <c r="W1003" s="17" t="n">
        <v>0</v>
      </c>
      <c r="X1003" s="1" t="s">
        <v>1134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6" t="n">
        <v>3</v>
      </c>
      <c r="B1004" s="15" t="n">
        <v>45950</v>
      </c>
      <c r="C1004" s="15" t="n">
        <v>46252</v>
      </c>
      <c r="D1004" s="16" t="n">
        <v>515</v>
      </c>
      <c r="E1004" s="1" t="s">
        <v>240</v>
      </c>
      <c r="F1004" s="16" t="n">
        <v>34</v>
      </c>
      <c r="G1004" s="1" t="s">
        <v>58</v>
      </c>
      <c r="H1004" s="16" t="n">
        <v>2110405</v>
      </c>
      <c r="I1004" s="1" t="s">
        <v>63</v>
      </c>
      <c r="J1004" s="16" t="n">
        <v>546000</v>
      </c>
      <c r="L1004" s="16" t="n">
        <v>85577</v>
      </c>
      <c r="M1004" s="1" t="s">
        <v>1135</v>
      </c>
      <c r="N1004" s="1" t="s">
        <v>34</v>
      </c>
      <c r="P1004" s="16" t="n">
        <v>101</v>
      </c>
      <c r="Q1004" s="1" t="s">
        <v>136</v>
      </c>
      <c r="R1004" s="1" t="s">
        <v>64</v>
      </c>
      <c r="S1004" s="16" t="n">
        <v>4210210</v>
      </c>
      <c r="T1004" s="1" t="s">
        <v>676</v>
      </c>
      <c r="U1004" s="17" t="n">
        <v>45.73</v>
      </c>
      <c r="W1004" s="17" t="n">
        <v>0</v>
      </c>
      <c r="X1004" s="1" t="s">
        <v>1136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6" t="n">
        <v>3</v>
      </c>
      <c r="B1005" s="15" t="n">
        <v>46009</v>
      </c>
      <c r="C1005" s="15" t="n">
        <v>46252</v>
      </c>
      <c r="D1005" s="16" t="n">
        <v>515</v>
      </c>
      <c r="E1005" s="1" t="s">
        <v>240</v>
      </c>
      <c r="F1005" s="16" t="n">
        <v>34</v>
      </c>
      <c r="G1005" s="1" t="s">
        <v>58</v>
      </c>
      <c r="H1005" s="16" t="n">
        <v>2110405</v>
      </c>
      <c r="I1005" s="1" t="s">
        <v>63</v>
      </c>
      <c r="J1005" s="16" t="n">
        <v>818253</v>
      </c>
      <c r="L1005" s="16" t="n">
        <v>129421</v>
      </c>
      <c r="M1005" s="1" t="s">
        <v>688</v>
      </c>
      <c r="N1005" s="1" t="s">
        <v>34</v>
      </c>
      <c r="P1005" s="16" t="n">
        <v>102</v>
      </c>
      <c r="Q1005" s="1" t="s">
        <v>141</v>
      </c>
      <c r="R1005" s="1" t="s">
        <v>411</v>
      </c>
      <c r="S1005" s="16" t="n">
        <v>2110901</v>
      </c>
      <c r="T1005" s="1" t="s">
        <v>412</v>
      </c>
      <c r="U1005" s="17" t="n">
        <v>2090.82</v>
      </c>
      <c r="W1005" s="17" t="n">
        <v>0</v>
      </c>
      <c r="X1005" s="1" t="s">
        <v>1137</v>
      </c>
      <c r="Z1005" s="1" t="str">
        <f aca="false">IF($T1005="","",IFERROR(INDEX('Resumo Grupos'!$AC$3:$AC$200,MATCH($T1005,'Resumo Grupos'!$AB$3:$AB$200,0)),"n/d"))</f>
        <v>Empréstimo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6" t="n">
        <v>3</v>
      </c>
      <c r="B1006" s="15" t="n">
        <v>46206</v>
      </c>
      <c r="C1006" s="15" t="n">
        <v>46252</v>
      </c>
      <c r="D1006" s="16" t="n">
        <v>33</v>
      </c>
      <c r="E1006" s="1" t="s">
        <v>297</v>
      </c>
      <c r="F1006" s="16" t="n">
        <v>34</v>
      </c>
      <c r="G1006" s="1" t="s">
        <v>58</v>
      </c>
      <c r="H1006" s="16" t="n">
        <v>2110405</v>
      </c>
      <c r="I1006" s="1" t="s">
        <v>63</v>
      </c>
      <c r="J1006" s="16" t="n">
        <v>1345342</v>
      </c>
      <c r="L1006" s="16" t="n">
        <v>210000</v>
      </c>
      <c r="M1006" s="1" t="s">
        <v>559</v>
      </c>
      <c r="N1006" s="1" t="s">
        <v>34</v>
      </c>
      <c r="P1006" s="16" t="n">
        <v>101</v>
      </c>
      <c r="Q1006" s="1" t="s">
        <v>136</v>
      </c>
      <c r="R1006" s="1" t="s">
        <v>64</v>
      </c>
      <c r="S1006" s="16" t="n">
        <v>4210203</v>
      </c>
      <c r="T1006" s="1" t="s">
        <v>298</v>
      </c>
      <c r="U1006" s="17" t="n">
        <v>373.79</v>
      </c>
      <c r="W1006" s="17" t="n">
        <v>0</v>
      </c>
      <c r="X1006" s="1" t="s">
        <v>681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6" t="n">
        <v>3</v>
      </c>
      <c r="B1007" s="15" t="n">
        <v>46224</v>
      </c>
      <c r="C1007" s="15" t="n">
        <v>46252</v>
      </c>
      <c r="D1007" s="16" t="n">
        <v>1921</v>
      </c>
      <c r="E1007" s="1" t="s">
        <v>318</v>
      </c>
      <c r="F1007" s="16" t="n">
        <v>24</v>
      </c>
      <c r="G1007" s="1" t="s">
        <v>31</v>
      </c>
      <c r="H1007" s="16" t="n">
        <v>2110405</v>
      </c>
      <c r="I1007" s="1" t="s">
        <v>63</v>
      </c>
      <c r="J1007" s="16" t="n">
        <v>1427664</v>
      </c>
      <c r="L1007" s="16" t="n">
        <v>134393</v>
      </c>
      <c r="M1007" s="1" t="s">
        <v>33</v>
      </c>
      <c r="N1007" s="1" t="s">
        <v>34</v>
      </c>
      <c r="P1007" s="16" t="n">
        <v>167</v>
      </c>
      <c r="Q1007" s="1" t="s">
        <v>220</v>
      </c>
      <c r="R1007" s="1" t="s">
        <v>36</v>
      </c>
      <c r="S1007" s="16" t="n">
        <v>1130101</v>
      </c>
      <c r="T1007" s="1" t="s">
        <v>37</v>
      </c>
      <c r="U1007" s="17" t="n">
        <v>360.16</v>
      </c>
      <c r="W1007" s="17" t="n">
        <v>0</v>
      </c>
      <c r="X1007" s="1" t="s">
        <v>1138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6" t="n">
        <v>3</v>
      </c>
      <c r="B1008" s="15" t="n">
        <v>46224</v>
      </c>
      <c r="C1008" s="15" t="n">
        <v>46252</v>
      </c>
      <c r="D1008" s="16" t="n">
        <v>1636</v>
      </c>
      <c r="E1008" s="1" t="s">
        <v>195</v>
      </c>
      <c r="F1008" s="16" t="n">
        <v>24</v>
      </c>
      <c r="G1008" s="1" t="s">
        <v>31</v>
      </c>
      <c r="H1008" s="16" t="n">
        <v>2110101</v>
      </c>
      <c r="I1008" s="1" t="s">
        <v>32</v>
      </c>
      <c r="J1008" s="16" t="n">
        <v>1448434</v>
      </c>
      <c r="L1008" s="16" t="n">
        <v>32235723</v>
      </c>
      <c r="M1008" s="1" t="s">
        <v>33</v>
      </c>
      <c r="N1008" s="1" t="s">
        <v>34</v>
      </c>
      <c r="P1008" s="16" t="n">
        <v>167</v>
      </c>
      <c r="Q1008" s="1" t="s">
        <v>220</v>
      </c>
      <c r="R1008" s="1" t="s">
        <v>36</v>
      </c>
      <c r="S1008" s="16" t="n">
        <v>1130101</v>
      </c>
      <c r="T1008" s="1" t="s">
        <v>37</v>
      </c>
      <c r="U1008" s="17" t="n">
        <v>289.19</v>
      </c>
      <c r="W1008" s="17" t="n">
        <v>0</v>
      </c>
      <c r="X1008" s="1" t="s">
        <v>1139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6" t="n">
        <v>3</v>
      </c>
      <c r="B1009" s="15" t="n">
        <v>46231</v>
      </c>
      <c r="C1009" s="15" t="n">
        <v>46252</v>
      </c>
      <c r="D1009" s="16" t="n">
        <v>1740</v>
      </c>
      <c r="E1009" s="1" t="s">
        <v>273</v>
      </c>
      <c r="F1009" s="16" t="n">
        <v>24</v>
      </c>
      <c r="G1009" s="1" t="s">
        <v>31</v>
      </c>
      <c r="H1009" s="16" t="n">
        <v>2110405</v>
      </c>
      <c r="I1009" s="1" t="s">
        <v>63</v>
      </c>
      <c r="J1009" s="16" t="n">
        <v>1468604</v>
      </c>
      <c r="L1009" s="16" t="n">
        <v>12522442</v>
      </c>
      <c r="M1009" s="1" t="s">
        <v>33</v>
      </c>
      <c r="N1009" s="1" t="s">
        <v>34</v>
      </c>
      <c r="P1009" s="16" t="n">
        <v>167</v>
      </c>
      <c r="Q1009" s="1" t="s">
        <v>220</v>
      </c>
      <c r="R1009" s="1" t="s">
        <v>36</v>
      </c>
      <c r="S1009" s="16" t="n">
        <v>1130101</v>
      </c>
      <c r="T1009" s="1" t="s">
        <v>37</v>
      </c>
      <c r="U1009" s="17" t="n">
        <v>676.45</v>
      </c>
      <c r="W1009" s="17" t="n">
        <v>0</v>
      </c>
      <c r="X1009" s="1" t="s">
        <v>1140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6" t="n">
        <v>3</v>
      </c>
      <c r="B1010" s="15" t="n">
        <v>46231</v>
      </c>
      <c r="C1010" s="15" t="n">
        <v>46252</v>
      </c>
      <c r="D1010" s="16" t="n">
        <v>1749</v>
      </c>
      <c r="E1010" s="1" t="s">
        <v>110</v>
      </c>
      <c r="F1010" s="16" t="n">
        <v>24</v>
      </c>
      <c r="G1010" s="1" t="s">
        <v>31</v>
      </c>
      <c r="H1010" s="16" t="n">
        <v>2110405</v>
      </c>
      <c r="I1010" s="1" t="s">
        <v>63</v>
      </c>
      <c r="J1010" s="16" t="n">
        <v>1473015</v>
      </c>
      <c r="L1010" s="16" t="n">
        <v>34683</v>
      </c>
      <c r="M1010" s="1" t="s">
        <v>33</v>
      </c>
      <c r="N1010" s="1" t="s">
        <v>34</v>
      </c>
      <c r="P1010" s="16" t="n">
        <v>167</v>
      </c>
      <c r="Q1010" s="1" t="s">
        <v>220</v>
      </c>
      <c r="R1010" s="1" t="s">
        <v>36</v>
      </c>
      <c r="S1010" s="16" t="n">
        <v>1130101</v>
      </c>
      <c r="T1010" s="1" t="s">
        <v>37</v>
      </c>
      <c r="U1010" s="17" t="n">
        <v>1399.08</v>
      </c>
      <c r="W1010" s="17" t="n">
        <v>0</v>
      </c>
      <c r="X1010" s="1" t="s">
        <v>1141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6" t="n">
        <v>3</v>
      </c>
      <c r="B1011" s="15" t="n">
        <v>46233</v>
      </c>
      <c r="C1011" s="15" t="n">
        <v>46252</v>
      </c>
      <c r="D1011" s="16" t="n">
        <v>1613</v>
      </c>
      <c r="E1011" s="1" t="s">
        <v>209</v>
      </c>
      <c r="F1011" s="16" t="n">
        <v>24</v>
      </c>
      <c r="G1011" s="1" t="s">
        <v>31</v>
      </c>
      <c r="H1011" s="16" t="n">
        <v>1110204</v>
      </c>
      <c r="I1011" s="1" t="s">
        <v>177</v>
      </c>
      <c r="J1011" s="16" t="n">
        <v>1473814</v>
      </c>
      <c r="L1011" s="16" t="n">
        <v>16135173</v>
      </c>
      <c r="M1011" s="1" t="s">
        <v>33</v>
      </c>
      <c r="N1011" s="1" t="s">
        <v>34</v>
      </c>
      <c r="P1011" s="16" t="n">
        <v>167</v>
      </c>
      <c r="Q1011" s="1" t="s">
        <v>220</v>
      </c>
      <c r="R1011" s="1" t="s">
        <v>36</v>
      </c>
      <c r="S1011" s="16" t="n">
        <v>1130101</v>
      </c>
      <c r="T1011" s="1" t="s">
        <v>37</v>
      </c>
      <c r="U1011" s="17" t="n">
        <v>1468.46</v>
      </c>
      <c r="W1011" s="17" t="n">
        <v>0</v>
      </c>
      <c r="X1011" s="1" t="s">
        <v>1142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6" t="n">
        <v>3</v>
      </c>
      <c r="B1012" s="15" t="n">
        <v>46238</v>
      </c>
      <c r="C1012" s="15" t="n">
        <v>46252</v>
      </c>
      <c r="D1012" s="16" t="n">
        <v>1656</v>
      </c>
      <c r="E1012" s="1" t="s">
        <v>330</v>
      </c>
      <c r="F1012" s="16" t="n">
        <v>24</v>
      </c>
      <c r="G1012" s="1" t="s">
        <v>31</v>
      </c>
      <c r="H1012" s="16" t="n">
        <v>2110405</v>
      </c>
      <c r="I1012" s="1" t="s">
        <v>63</v>
      </c>
      <c r="J1012" s="16" t="n">
        <v>1499214</v>
      </c>
      <c r="L1012" s="16" t="n">
        <v>224551</v>
      </c>
      <c r="M1012" s="1" t="s">
        <v>33</v>
      </c>
      <c r="N1012" s="1" t="s">
        <v>34</v>
      </c>
      <c r="P1012" s="16" t="n">
        <v>167</v>
      </c>
      <c r="Q1012" s="1" t="s">
        <v>220</v>
      </c>
      <c r="R1012" s="1" t="s">
        <v>36</v>
      </c>
      <c r="S1012" s="16" t="n">
        <v>1130101</v>
      </c>
      <c r="T1012" s="1" t="s">
        <v>37</v>
      </c>
      <c r="U1012" s="17" t="n">
        <v>358.73</v>
      </c>
      <c r="W1012" s="17" t="n">
        <v>0</v>
      </c>
      <c r="X1012" s="1" t="s">
        <v>1143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6" t="n">
        <v>3</v>
      </c>
      <c r="B1013" s="15" t="n">
        <v>46238</v>
      </c>
      <c r="C1013" s="15" t="n">
        <v>46252</v>
      </c>
      <c r="D1013" s="16" t="n">
        <v>1185</v>
      </c>
      <c r="E1013" s="1" t="s">
        <v>527</v>
      </c>
      <c r="F1013" s="16" t="n">
        <v>24</v>
      </c>
      <c r="G1013" s="1" t="s">
        <v>31</v>
      </c>
      <c r="H1013" s="16" t="n">
        <v>1110204</v>
      </c>
      <c r="I1013" s="1" t="s">
        <v>177</v>
      </c>
      <c r="J1013" s="16" t="n">
        <v>1500183</v>
      </c>
      <c r="L1013" s="16" t="n">
        <v>3931</v>
      </c>
      <c r="M1013" s="1" t="s">
        <v>33</v>
      </c>
      <c r="N1013" s="1" t="s">
        <v>34</v>
      </c>
      <c r="P1013" s="16" t="n">
        <v>167</v>
      </c>
      <c r="Q1013" s="1" t="s">
        <v>220</v>
      </c>
      <c r="R1013" s="1" t="s">
        <v>36</v>
      </c>
      <c r="S1013" s="16" t="n">
        <v>1130101</v>
      </c>
      <c r="T1013" s="1" t="s">
        <v>37</v>
      </c>
      <c r="U1013" s="17" t="n">
        <v>768</v>
      </c>
      <c r="W1013" s="17" t="n">
        <v>0</v>
      </c>
      <c r="X1013" s="1" t="s">
        <v>1144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6" t="n">
        <v>3</v>
      </c>
      <c r="B1014" s="15" t="n">
        <v>46237</v>
      </c>
      <c r="C1014" s="15" t="n">
        <v>46252</v>
      </c>
      <c r="D1014" s="16" t="n">
        <v>1605</v>
      </c>
      <c r="E1014" s="1" t="s">
        <v>114</v>
      </c>
      <c r="F1014" s="16" t="n">
        <v>24</v>
      </c>
      <c r="G1014" s="1" t="s">
        <v>31</v>
      </c>
      <c r="H1014" s="16" t="n">
        <v>2110405</v>
      </c>
      <c r="I1014" s="1" t="s">
        <v>63</v>
      </c>
      <c r="J1014" s="16" t="n">
        <v>1500470</v>
      </c>
      <c r="L1014" s="16" t="n">
        <v>221498</v>
      </c>
      <c r="M1014" s="1" t="s">
        <v>33</v>
      </c>
      <c r="N1014" s="1" t="s">
        <v>34</v>
      </c>
      <c r="P1014" s="16" t="n">
        <v>167</v>
      </c>
      <c r="Q1014" s="1" t="s">
        <v>220</v>
      </c>
      <c r="R1014" s="1" t="s">
        <v>36</v>
      </c>
      <c r="S1014" s="16" t="n">
        <v>1130101</v>
      </c>
      <c r="T1014" s="1" t="s">
        <v>37</v>
      </c>
      <c r="U1014" s="17" t="n">
        <v>686.64</v>
      </c>
      <c r="W1014" s="17" t="n">
        <v>0</v>
      </c>
      <c r="X1014" s="1" t="s">
        <v>1145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6" t="n">
        <v>3</v>
      </c>
      <c r="B1015" s="15" t="n">
        <v>46238</v>
      </c>
      <c r="C1015" s="15" t="n">
        <v>46252</v>
      </c>
      <c r="D1015" s="16" t="n">
        <v>1723</v>
      </c>
      <c r="E1015" s="1" t="s">
        <v>54</v>
      </c>
      <c r="F1015" s="16" t="n">
        <v>24</v>
      </c>
      <c r="G1015" s="1" t="s">
        <v>31</v>
      </c>
      <c r="H1015" s="16" t="n">
        <v>2110405</v>
      </c>
      <c r="I1015" s="1" t="s">
        <v>63</v>
      </c>
      <c r="J1015" s="16" t="n">
        <v>1503332</v>
      </c>
      <c r="L1015" s="16" t="n">
        <v>233429</v>
      </c>
      <c r="M1015" s="1" t="s">
        <v>33</v>
      </c>
      <c r="N1015" s="1" t="s">
        <v>34</v>
      </c>
      <c r="P1015" s="16" t="n">
        <v>167</v>
      </c>
      <c r="Q1015" s="1" t="s">
        <v>220</v>
      </c>
      <c r="R1015" s="1" t="s">
        <v>36</v>
      </c>
      <c r="S1015" s="16" t="n">
        <v>1130101</v>
      </c>
      <c r="T1015" s="1" t="s">
        <v>37</v>
      </c>
      <c r="U1015" s="17" t="n">
        <v>3624</v>
      </c>
      <c r="W1015" s="17" t="n">
        <v>0</v>
      </c>
      <c r="X1015" s="1" t="s">
        <v>1146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6" t="n">
        <v>3</v>
      </c>
      <c r="B1016" s="15" t="n">
        <v>46238</v>
      </c>
      <c r="C1016" s="15" t="n">
        <v>46252</v>
      </c>
      <c r="D1016" s="16" t="n">
        <v>1745</v>
      </c>
      <c r="E1016" s="1" t="s">
        <v>184</v>
      </c>
      <c r="F1016" s="16" t="n">
        <v>24</v>
      </c>
      <c r="G1016" s="1" t="s">
        <v>31</v>
      </c>
      <c r="H1016" s="16" t="n">
        <v>2110405</v>
      </c>
      <c r="I1016" s="1" t="s">
        <v>63</v>
      </c>
      <c r="J1016" s="16" t="n">
        <v>1504228</v>
      </c>
      <c r="L1016" s="16" t="n">
        <v>3560051</v>
      </c>
      <c r="M1016" s="1" t="s">
        <v>33</v>
      </c>
      <c r="N1016" s="1" t="s">
        <v>34</v>
      </c>
      <c r="P1016" s="16" t="n">
        <v>167</v>
      </c>
      <c r="Q1016" s="1" t="s">
        <v>220</v>
      </c>
      <c r="R1016" s="1" t="s">
        <v>36</v>
      </c>
      <c r="S1016" s="16" t="n">
        <v>1130101</v>
      </c>
      <c r="T1016" s="1" t="s">
        <v>37</v>
      </c>
      <c r="U1016" s="17" t="n">
        <v>590.43</v>
      </c>
      <c r="W1016" s="17" t="n">
        <v>0</v>
      </c>
      <c r="X1016" s="1" t="s">
        <v>1147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6" t="n">
        <v>3</v>
      </c>
      <c r="B1017" s="15" t="n">
        <v>46238</v>
      </c>
      <c r="C1017" s="15" t="n">
        <v>46252</v>
      </c>
      <c r="D1017" s="16" t="n">
        <v>1668</v>
      </c>
      <c r="E1017" s="1" t="s">
        <v>276</v>
      </c>
      <c r="F1017" s="16" t="n">
        <v>24</v>
      </c>
      <c r="G1017" s="1" t="s">
        <v>31</v>
      </c>
      <c r="H1017" s="16" t="n">
        <v>1110204</v>
      </c>
      <c r="I1017" s="1" t="s">
        <v>177</v>
      </c>
      <c r="J1017" s="16" t="n">
        <v>1504237</v>
      </c>
      <c r="L1017" s="16" t="n">
        <v>7455921</v>
      </c>
      <c r="M1017" s="1" t="s">
        <v>33</v>
      </c>
      <c r="N1017" s="1" t="s">
        <v>34</v>
      </c>
      <c r="P1017" s="16" t="n">
        <v>167</v>
      </c>
      <c r="Q1017" s="1" t="s">
        <v>220</v>
      </c>
      <c r="R1017" s="1" t="s">
        <v>36</v>
      </c>
      <c r="S1017" s="16" t="n">
        <v>1130101</v>
      </c>
      <c r="T1017" s="1" t="s">
        <v>37</v>
      </c>
      <c r="U1017" s="17" t="n">
        <v>1242.27</v>
      </c>
      <c r="W1017" s="17" t="n">
        <v>0</v>
      </c>
      <c r="X1017" s="1" t="s">
        <v>1148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6" t="n">
        <v>3</v>
      </c>
      <c r="B1018" s="15" t="n">
        <v>46238</v>
      </c>
      <c r="C1018" s="15" t="n">
        <v>46252</v>
      </c>
      <c r="D1018" s="16" t="n">
        <v>1734</v>
      </c>
      <c r="E1018" s="1" t="s">
        <v>214</v>
      </c>
      <c r="F1018" s="16" t="n">
        <v>24</v>
      </c>
      <c r="G1018" s="1" t="s">
        <v>31</v>
      </c>
      <c r="H1018" s="16" t="n">
        <v>1110204</v>
      </c>
      <c r="I1018" s="1" t="s">
        <v>177</v>
      </c>
      <c r="J1018" s="16" t="n">
        <v>1504820</v>
      </c>
      <c r="L1018" s="16" t="n">
        <v>2570041</v>
      </c>
      <c r="M1018" s="1" t="s">
        <v>33</v>
      </c>
      <c r="N1018" s="1" t="s">
        <v>34</v>
      </c>
      <c r="P1018" s="16" t="n">
        <v>167</v>
      </c>
      <c r="Q1018" s="1" t="s">
        <v>220</v>
      </c>
      <c r="R1018" s="1" t="s">
        <v>36</v>
      </c>
      <c r="S1018" s="16" t="n">
        <v>1130101</v>
      </c>
      <c r="T1018" s="1" t="s">
        <v>37</v>
      </c>
      <c r="U1018" s="17" t="n">
        <v>496</v>
      </c>
      <c r="W1018" s="17" t="n">
        <v>0</v>
      </c>
      <c r="X1018" s="1" t="s">
        <v>1149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6" t="n">
        <v>3</v>
      </c>
      <c r="B1019" s="15" t="n">
        <v>46225</v>
      </c>
      <c r="C1019" s="15" t="n">
        <v>46253</v>
      </c>
      <c r="D1019" s="16" t="n">
        <v>1740</v>
      </c>
      <c r="E1019" s="1" t="s">
        <v>273</v>
      </c>
      <c r="F1019" s="16" t="n">
        <v>24</v>
      </c>
      <c r="G1019" s="1" t="s">
        <v>31</v>
      </c>
      <c r="H1019" s="16" t="n">
        <v>1110204</v>
      </c>
      <c r="I1019" s="1" t="s">
        <v>177</v>
      </c>
      <c r="J1019" s="16" t="n">
        <v>1435866</v>
      </c>
      <c r="L1019" s="16" t="n">
        <v>12504183</v>
      </c>
      <c r="M1019" s="1" t="s">
        <v>33</v>
      </c>
      <c r="N1019" s="1" t="s">
        <v>34</v>
      </c>
      <c r="P1019" s="16" t="n">
        <v>167</v>
      </c>
      <c r="Q1019" s="1" t="s">
        <v>220</v>
      </c>
      <c r="R1019" s="1" t="s">
        <v>36</v>
      </c>
      <c r="S1019" s="16" t="n">
        <v>1130101</v>
      </c>
      <c r="T1019" s="1" t="s">
        <v>37</v>
      </c>
      <c r="U1019" s="17" t="n">
        <v>867.31</v>
      </c>
      <c r="W1019" s="17" t="n">
        <v>0</v>
      </c>
      <c r="X1019" s="1" t="s">
        <v>1150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6" t="n">
        <v>3</v>
      </c>
      <c r="B1020" s="15" t="n">
        <v>46232</v>
      </c>
      <c r="C1020" s="15" t="n">
        <v>46253</v>
      </c>
      <c r="D1020" s="16" t="n">
        <v>1695</v>
      </c>
      <c r="E1020" s="1" t="s">
        <v>211</v>
      </c>
      <c r="F1020" s="16" t="n">
        <v>24</v>
      </c>
      <c r="G1020" s="1" t="s">
        <v>31</v>
      </c>
      <c r="H1020" s="16" t="n">
        <v>2110405</v>
      </c>
      <c r="I1020" s="1" t="s">
        <v>63</v>
      </c>
      <c r="J1020" s="16" t="n">
        <v>1469704</v>
      </c>
      <c r="L1020" s="16" t="n">
        <v>195093</v>
      </c>
      <c r="M1020" s="1" t="s">
        <v>33</v>
      </c>
      <c r="N1020" s="1" t="s">
        <v>34</v>
      </c>
      <c r="P1020" s="16" t="n">
        <v>167</v>
      </c>
      <c r="Q1020" s="1" t="s">
        <v>220</v>
      </c>
      <c r="R1020" s="1" t="s">
        <v>36</v>
      </c>
      <c r="S1020" s="16" t="n">
        <v>1130101</v>
      </c>
      <c r="T1020" s="1" t="s">
        <v>37</v>
      </c>
      <c r="U1020" s="17" t="n">
        <v>978.59</v>
      </c>
      <c r="W1020" s="17" t="n">
        <v>0</v>
      </c>
      <c r="X1020" s="1" t="s">
        <v>1151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6" t="n">
        <v>3</v>
      </c>
      <c r="B1021" s="15" t="n">
        <v>46232</v>
      </c>
      <c r="C1021" s="15" t="n">
        <v>46253</v>
      </c>
      <c r="D1021" s="16" t="n">
        <v>1695</v>
      </c>
      <c r="E1021" s="1" t="s">
        <v>211</v>
      </c>
      <c r="F1021" s="16" t="n">
        <v>34</v>
      </c>
      <c r="G1021" s="1" t="s">
        <v>58</v>
      </c>
      <c r="H1021" s="16" t="n">
        <v>2110405</v>
      </c>
      <c r="I1021" s="1" t="s">
        <v>63</v>
      </c>
      <c r="J1021" s="16" t="n">
        <v>1469739</v>
      </c>
      <c r="L1021" s="16" t="n">
        <v>228600</v>
      </c>
      <c r="M1021" s="1" t="s">
        <v>33</v>
      </c>
      <c r="N1021" s="1" t="s">
        <v>34</v>
      </c>
      <c r="P1021" s="16" t="n">
        <v>167</v>
      </c>
      <c r="Q1021" s="1" t="s">
        <v>220</v>
      </c>
      <c r="R1021" s="1" t="s">
        <v>36</v>
      </c>
      <c r="S1021" s="16" t="n">
        <v>1130101</v>
      </c>
      <c r="T1021" s="1" t="s">
        <v>37</v>
      </c>
      <c r="U1021" s="17" t="n">
        <v>512.4</v>
      </c>
      <c r="W1021" s="17" t="n">
        <v>0</v>
      </c>
      <c r="X1021" s="1" t="s">
        <v>1152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6" t="n">
        <v>3</v>
      </c>
      <c r="B1022" s="15" t="n">
        <v>46232</v>
      </c>
      <c r="C1022" s="15" t="n">
        <v>46253</v>
      </c>
      <c r="D1022" s="16" t="n">
        <v>794</v>
      </c>
      <c r="E1022" s="1" t="s">
        <v>74</v>
      </c>
      <c r="F1022" s="16" t="n">
        <v>24</v>
      </c>
      <c r="G1022" s="1" t="s">
        <v>31</v>
      </c>
      <c r="H1022" s="16" t="n">
        <v>2110405</v>
      </c>
      <c r="I1022" s="1" t="s">
        <v>63</v>
      </c>
      <c r="J1022" s="16" t="n">
        <v>1473079</v>
      </c>
      <c r="L1022" s="16" t="n">
        <v>55992</v>
      </c>
      <c r="M1022" s="1" t="s">
        <v>33</v>
      </c>
      <c r="N1022" s="1" t="s">
        <v>34</v>
      </c>
      <c r="P1022" s="16" t="n">
        <v>167</v>
      </c>
      <c r="Q1022" s="1" t="s">
        <v>220</v>
      </c>
      <c r="R1022" s="1" t="s">
        <v>64</v>
      </c>
      <c r="S1022" s="16" t="n">
        <v>4210299</v>
      </c>
      <c r="T1022" s="1" t="s">
        <v>615</v>
      </c>
      <c r="U1022" s="17" t="n">
        <v>648.13</v>
      </c>
      <c r="W1022" s="17" t="n">
        <v>0</v>
      </c>
      <c r="X1022" s="1" t="s">
        <v>1153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6" t="n">
        <v>3</v>
      </c>
      <c r="B1023" s="15" t="n">
        <v>46237</v>
      </c>
      <c r="C1023" s="15" t="n">
        <v>46253</v>
      </c>
      <c r="D1023" s="16" t="n">
        <v>1708</v>
      </c>
      <c r="E1023" s="1" t="s">
        <v>1154</v>
      </c>
      <c r="F1023" s="16" t="n">
        <v>24</v>
      </c>
      <c r="G1023" s="1" t="s">
        <v>31</v>
      </c>
      <c r="H1023" s="16" t="n">
        <v>1110204</v>
      </c>
      <c r="I1023" s="1" t="s">
        <v>177</v>
      </c>
      <c r="J1023" s="16" t="n">
        <v>1500065</v>
      </c>
      <c r="L1023" s="16" t="n">
        <v>2646961</v>
      </c>
      <c r="M1023" s="1" t="s">
        <v>33</v>
      </c>
      <c r="N1023" s="1" t="s">
        <v>34</v>
      </c>
      <c r="P1023" s="16" t="n">
        <v>167</v>
      </c>
      <c r="Q1023" s="1" t="s">
        <v>220</v>
      </c>
      <c r="R1023" s="1" t="s">
        <v>36</v>
      </c>
      <c r="S1023" s="16" t="n">
        <v>1130101</v>
      </c>
      <c r="T1023" s="1" t="s">
        <v>37</v>
      </c>
      <c r="U1023" s="17" t="n">
        <v>260.46</v>
      </c>
      <c r="W1023" s="17" t="n">
        <v>0</v>
      </c>
      <c r="X1023" s="1" t="s">
        <v>1155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6" t="n">
        <v>3</v>
      </c>
      <c r="B1024" s="15" t="n">
        <v>46238</v>
      </c>
      <c r="C1024" s="15" t="n">
        <v>46253</v>
      </c>
      <c r="D1024" s="16" t="n">
        <v>1024</v>
      </c>
      <c r="E1024" s="1" t="s">
        <v>278</v>
      </c>
      <c r="F1024" s="16" t="n">
        <v>24</v>
      </c>
      <c r="G1024" s="1" t="s">
        <v>31</v>
      </c>
      <c r="H1024" s="16" t="n">
        <v>2110405</v>
      </c>
      <c r="I1024" s="1" t="s">
        <v>63</v>
      </c>
      <c r="J1024" s="16" t="n">
        <v>1504205</v>
      </c>
      <c r="L1024" s="16" t="n">
        <v>6156082</v>
      </c>
      <c r="M1024" s="1" t="s">
        <v>33</v>
      </c>
      <c r="N1024" s="1" t="s">
        <v>34</v>
      </c>
      <c r="P1024" s="16" t="n">
        <v>167</v>
      </c>
      <c r="Q1024" s="1" t="s">
        <v>220</v>
      </c>
      <c r="R1024" s="1" t="s">
        <v>36</v>
      </c>
      <c r="S1024" s="16" t="n">
        <v>1130101</v>
      </c>
      <c r="T1024" s="1" t="s">
        <v>37</v>
      </c>
      <c r="U1024" s="17" t="n">
        <v>105</v>
      </c>
      <c r="W1024" s="17" t="n">
        <v>0</v>
      </c>
      <c r="X1024" s="1" t="s">
        <v>1156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6" t="n">
        <v>3</v>
      </c>
      <c r="B1025" s="15" t="n">
        <v>46238</v>
      </c>
      <c r="C1025" s="15" t="n">
        <v>46253</v>
      </c>
      <c r="D1025" s="16" t="n">
        <v>1608</v>
      </c>
      <c r="E1025" s="1" t="s">
        <v>69</v>
      </c>
      <c r="F1025" s="16" t="n">
        <v>24</v>
      </c>
      <c r="G1025" s="1" t="s">
        <v>31</v>
      </c>
      <c r="H1025" s="16" t="n">
        <v>1110204</v>
      </c>
      <c r="I1025" s="1" t="s">
        <v>177</v>
      </c>
      <c r="J1025" s="16" t="n">
        <v>1504643</v>
      </c>
      <c r="L1025" s="16" t="n">
        <v>17042421</v>
      </c>
      <c r="M1025" s="1" t="s">
        <v>33</v>
      </c>
      <c r="N1025" s="1" t="s">
        <v>34</v>
      </c>
      <c r="P1025" s="16" t="n">
        <v>167</v>
      </c>
      <c r="Q1025" s="1" t="s">
        <v>220</v>
      </c>
      <c r="R1025" s="1" t="s">
        <v>36</v>
      </c>
      <c r="S1025" s="16" t="n">
        <v>1130101</v>
      </c>
      <c r="T1025" s="1" t="s">
        <v>37</v>
      </c>
      <c r="U1025" s="17" t="n">
        <v>166.32</v>
      </c>
      <c r="W1025" s="17" t="n">
        <v>0</v>
      </c>
      <c r="X1025" s="1" t="s">
        <v>1157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6" t="n">
        <v>3</v>
      </c>
      <c r="B1026" s="15" t="n">
        <v>46239</v>
      </c>
      <c r="C1026" s="15" t="n">
        <v>46253</v>
      </c>
      <c r="D1026" s="16" t="n">
        <v>1740</v>
      </c>
      <c r="E1026" s="1" t="s">
        <v>273</v>
      </c>
      <c r="F1026" s="16" t="n">
        <v>24</v>
      </c>
      <c r="G1026" s="1" t="s">
        <v>31</v>
      </c>
      <c r="H1026" s="16" t="n">
        <v>2110405</v>
      </c>
      <c r="I1026" s="1" t="s">
        <v>63</v>
      </c>
      <c r="J1026" s="16" t="n">
        <v>1504722</v>
      </c>
      <c r="L1026" s="16" t="n">
        <v>12556071</v>
      </c>
      <c r="M1026" s="1" t="s">
        <v>33</v>
      </c>
      <c r="N1026" s="1" t="s">
        <v>34</v>
      </c>
      <c r="P1026" s="16" t="n">
        <v>167</v>
      </c>
      <c r="Q1026" s="1" t="s">
        <v>220</v>
      </c>
      <c r="R1026" s="1" t="s">
        <v>36</v>
      </c>
      <c r="S1026" s="16" t="n">
        <v>1130101</v>
      </c>
      <c r="T1026" s="1" t="s">
        <v>37</v>
      </c>
      <c r="U1026" s="17" t="n">
        <v>445.69</v>
      </c>
      <c r="W1026" s="17" t="n">
        <v>0</v>
      </c>
      <c r="X1026" s="1" t="s">
        <v>1158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6" t="n">
        <v>3</v>
      </c>
      <c r="B1027" s="15" t="n">
        <v>46239</v>
      </c>
      <c r="C1027" s="15" t="n">
        <v>46253</v>
      </c>
      <c r="D1027" s="16" t="n">
        <v>1740</v>
      </c>
      <c r="E1027" s="1" t="s">
        <v>273</v>
      </c>
      <c r="F1027" s="16" t="n">
        <v>24</v>
      </c>
      <c r="G1027" s="1" t="s">
        <v>31</v>
      </c>
      <c r="H1027" s="16" t="n">
        <v>2110405</v>
      </c>
      <c r="I1027" s="1" t="s">
        <v>63</v>
      </c>
      <c r="J1027" s="16" t="n">
        <v>1504738</v>
      </c>
      <c r="L1027" s="16" t="n">
        <v>12556061</v>
      </c>
      <c r="M1027" s="1" t="s">
        <v>33</v>
      </c>
      <c r="N1027" s="1" t="s">
        <v>34</v>
      </c>
      <c r="P1027" s="16" t="n">
        <v>167</v>
      </c>
      <c r="Q1027" s="1" t="s">
        <v>220</v>
      </c>
      <c r="R1027" s="1" t="s">
        <v>36</v>
      </c>
      <c r="S1027" s="16" t="n">
        <v>1130101</v>
      </c>
      <c r="T1027" s="1" t="s">
        <v>37</v>
      </c>
      <c r="U1027" s="17" t="n">
        <v>771.86</v>
      </c>
      <c r="W1027" s="17" t="n">
        <v>0</v>
      </c>
      <c r="X1027" s="1" t="s">
        <v>1159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6" t="n">
        <v>3</v>
      </c>
      <c r="B1028" s="15" t="n">
        <v>46239</v>
      </c>
      <c r="C1028" s="15" t="n">
        <v>46253</v>
      </c>
      <c r="D1028" s="16" t="n">
        <v>1723</v>
      </c>
      <c r="E1028" s="1" t="s">
        <v>54</v>
      </c>
      <c r="F1028" s="16" t="n">
        <v>24</v>
      </c>
      <c r="G1028" s="1" t="s">
        <v>31</v>
      </c>
      <c r="H1028" s="16" t="n">
        <v>1110204</v>
      </c>
      <c r="I1028" s="1" t="s">
        <v>177</v>
      </c>
      <c r="J1028" s="16" t="n">
        <v>1507885</v>
      </c>
      <c r="L1028" s="16" t="n">
        <v>586662</v>
      </c>
      <c r="M1028" s="1" t="s">
        <v>33</v>
      </c>
      <c r="N1028" s="1" t="s">
        <v>34</v>
      </c>
      <c r="P1028" s="16" t="n">
        <v>167</v>
      </c>
      <c r="Q1028" s="1" t="s">
        <v>220</v>
      </c>
      <c r="R1028" s="1" t="s">
        <v>36</v>
      </c>
      <c r="S1028" s="16" t="n">
        <v>1130101</v>
      </c>
      <c r="T1028" s="1" t="s">
        <v>37</v>
      </c>
      <c r="U1028" s="17" t="n">
        <v>1142.4</v>
      </c>
      <c r="W1028" s="17" t="n">
        <v>0</v>
      </c>
      <c r="X1028" s="1" t="s">
        <v>1160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6" t="n">
        <v>3</v>
      </c>
      <c r="B1029" s="15" t="n">
        <v>46011</v>
      </c>
      <c r="C1029" s="15" t="n">
        <v>46254</v>
      </c>
      <c r="D1029" s="16" t="n">
        <v>514</v>
      </c>
      <c r="E1029" s="1" t="s">
        <v>163</v>
      </c>
      <c r="F1029" s="16" t="n">
        <v>34</v>
      </c>
      <c r="G1029" s="1" t="s">
        <v>58</v>
      </c>
      <c r="H1029" s="16" t="n">
        <v>2110405</v>
      </c>
      <c r="I1029" s="1" t="s">
        <v>63</v>
      </c>
      <c r="J1029" s="16" t="n">
        <v>695960</v>
      </c>
      <c r="L1029" s="16" t="n">
        <v>3</v>
      </c>
      <c r="M1029" s="1" t="s">
        <v>675</v>
      </c>
      <c r="N1029" s="1" t="s">
        <v>34</v>
      </c>
      <c r="P1029" s="16" t="n">
        <v>101</v>
      </c>
      <c r="Q1029" s="1" t="s">
        <v>136</v>
      </c>
      <c r="R1029" s="1" t="s">
        <v>64</v>
      </c>
      <c r="S1029" s="16" t="n">
        <v>4210210</v>
      </c>
      <c r="T1029" s="1" t="s">
        <v>676</v>
      </c>
      <c r="U1029" s="17" t="n">
        <v>807.37</v>
      </c>
      <c r="W1029" s="17" t="n">
        <v>0</v>
      </c>
      <c r="X1029" s="1" t="s">
        <v>1161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6" t="n">
        <v>3</v>
      </c>
      <c r="B1030" s="15" t="n">
        <v>46223</v>
      </c>
      <c r="C1030" s="15" t="n">
        <v>46254</v>
      </c>
      <c r="D1030" s="16" t="n">
        <v>33</v>
      </c>
      <c r="E1030" s="1" t="s">
        <v>297</v>
      </c>
      <c r="F1030" s="16" t="n">
        <v>34</v>
      </c>
      <c r="G1030" s="1" t="s">
        <v>58</v>
      </c>
      <c r="H1030" s="16" t="n">
        <v>2110405</v>
      </c>
      <c r="I1030" s="1" t="s">
        <v>63</v>
      </c>
      <c r="J1030" s="16" t="n">
        <v>1424252</v>
      </c>
      <c r="L1030" s="16" t="n">
        <v>222229</v>
      </c>
      <c r="M1030" s="1" t="s">
        <v>559</v>
      </c>
      <c r="N1030" s="1" t="s">
        <v>34</v>
      </c>
      <c r="P1030" s="16" t="n">
        <v>101</v>
      </c>
      <c r="Q1030" s="1" t="s">
        <v>136</v>
      </c>
      <c r="R1030" s="1" t="s">
        <v>206</v>
      </c>
      <c r="S1030" s="16" t="n">
        <v>4210107</v>
      </c>
      <c r="T1030" s="1" t="s">
        <v>709</v>
      </c>
      <c r="U1030" s="17" t="n">
        <v>224.99</v>
      </c>
      <c r="W1030" s="17" t="n">
        <v>0</v>
      </c>
      <c r="X1030" s="1" t="s">
        <v>1162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6" t="n">
        <v>3</v>
      </c>
      <c r="B1031" s="15" t="n">
        <v>46223</v>
      </c>
      <c r="C1031" s="15" t="n">
        <v>46254</v>
      </c>
      <c r="D1031" s="16" t="n">
        <v>17</v>
      </c>
      <c r="E1031" s="1" t="s">
        <v>859</v>
      </c>
      <c r="F1031" s="16" t="n">
        <v>34</v>
      </c>
      <c r="G1031" s="1" t="s">
        <v>58</v>
      </c>
      <c r="H1031" s="16" t="n">
        <v>2110405</v>
      </c>
      <c r="I1031" s="1" t="s">
        <v>63</v>
      </c>
      <c r="J1031" s="16" t="n">
        <v>1464473</v>
      </c>
      <c r="L1031" s="16" t="n">
        <v>227845</v>
      </c>
      <c r="M1031" s="1" t="s">
        <v>559</v>
      </c>
      <c r="N1031" s="1" t="s">
        <v>34</v>
      </c>
      <c r="P1031" s="16" t="n">
        <v>101</v>
      </c>
      <c r="Q1031" s="1" t="s">
        <v>136</v>
      </c>
      <c r="R1031" s="1" t="s">
        <v>222</v>
      </c>
      <c r="S1031" s="16" t="n">
        <v>4220199</v>
      </c>
      <c r="T1031" s="1" t="s">
        <v>223</v>
      </c>
      <c r="U1031" s="17" t="n">
        <v>2600</v>
      </c>
      <c r="W1031" s="17" t="n">
        <v>0</v>
      </c>
      <c r="X1031" s="1" t="s">
        <v>860</v>
      </c>
      <c r="Z1031" s="1" t="str">
        <f aca="false">IF($T1031="","",IFERROR(INDEX('Resumo Grupos'!$AC$3:$AC$200,MATCH($T1031,'Resumo Grupos'!$AB$3:$AB$200,0)),"n/d"))</f>
        <v>Pagamentos outros não operacionais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6" t="n">
        <v>3</v>
      </c>
      <c r="B1032" s="15" t="n">
        <v>46231</v>
      </c>
      <c r="C1032" s="15" t="n">
        <v>46254</v>
      </c>
      <c r="D1032" s="16" t="n">
        <v>10028</v>
      </c>
      <c r="E1032" s="1" t="s">
        <v>695</v>
      </c>
      <c r="F1032" s="16" t="n">
        <v>24</v>
      </c>
      <c r="G1032" s="1" t="s">
        <v>31</v>
      </c>
      <c r="H1032" s="16" t="n">
        <v>2110405</v>
      </c>
      <c r="I1032" s="1" t="s">
        <v>63</v>
      </c>
      <c r="J1032" s="16" t="n">
        <v>1464619</v>
      </c>
      <c r="L1032" s="16" t="n">
        <v>227869</v>
      </c>
      <c r="M1032" s="1" t="s">
        <v>33</v>
      </c>
      <c r="N1032" s="1" t="s">
        <v>34</v>
      </c>
      <c r="P1032" s="16" t="n">
        <v>101</v>
      </c>
      <c r="Q1032" s="1" t="s">
        <v>136</v>
      </c>
      <c r="R1032" s="1" t="s">
        <v>137</v>
      </c>
      <c r="S1032" s="16" t="n">
        <v>4210315</v>
      </c>
      <c r="T1032" s="1" t="s">
        <v>182</v>
      </c>
      <c r="U1032" s="17" t="n">
        <v>595.9</v>
      </c>
      <c r="W1032" s="17" t="n">
        <v>0</v>
      </c>
      <c r="X1032" s="1" t="s">
        <v>696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6" t="n">
        <v>3</v>
      </c>
      <c r="B1033" s="15" t="n">
        <v>46232</v>
      </c>
      <c r="C1033" s="15" t="n">
        <v>46254</v>
      </c>
      <c r="D1033" s="16" t="n">
        <v>1718</v>
      </c>
      <c r="E1033" s="1" t="s">
        <v>67</v>
      </c>
      <c r="F1033" s="16" t="n">
        <v>24</v>
      </c>
      <c r="G1033" s="1" t="s">
        <v>31</v>
      </c>
      <c r="H1033" s="16" t="n">
        <v>1110204</v>
      </c>
      <c r="I1033" s="1" t="s">
        <v>177</v>
      </c>
      <c r="J1033" s="16" t="n">
        <v>1473785</v>
      </c>
      <c r="L1033" s="16" t="n">
        <v>8101042</v>
      </c>
      <c r="M1033" s="1" t="s">
        <v>33</v>
      </c>
      <c r="N1033" s="1" t="s">
        <v>34</v>
      </c>
      <c r="P1033" s="16" t="n">
        <v>167</v>
      </c>
      <c r="Q1033" s="1" t="s">
        <v>220</v>
      </c>
      <c r="R1033" s="1" t="s">
        <v>36</v>
      </c>
      <c r="S1033" s="16" t="n">
        <v>1130101</v>
      </c>
      <c r="T1033" s="1" t="s">
        <v>37</v>
      </c>
      <c r="U1033" s="17" t="n">
        <v>1000.47</v>
      </c>
      <c r="W1033" s="17" t="n">
        <v>0</v>
      </c>
      <c r="X1033" s="1" t="s">
        <v>1163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6" t="n">
        <v>3</v>
      </c>
      <c r="B1034" s="15" t="n">
        <v>46233</v>
      </c>
      <c r="C1034" s="15" t="n">
        <v>46254</v>
      </c>
      <c r="D1034" s="16" t="n">
        <v>10009</v>
      </c>
      <c r="E1034" s="1" t="s">
        <v>99</v>
      </c>
      <c r="F1034" s="16" t="n">
        <v>24</v>
      </c>
      <c r="G1034" s="1" t="s">
        <v>31</v>
      </c>
      <c r="H1034" s="16" t="n">
        <v>2110405</v>
      </c>
      <c r="I1034" s="1" t="s">
        <v>63</v>
      </c>
      <c r="J1034" s="16" t="n">
        <v>1495568</v>
      </c>
      <c r="L1034" s="16" t="n">
        <v>1434035</v>
      </c>
      <c r="M1034" s="1" t="s">
        <v>33</v>
      </c>
      <c r="N1034" s="1" t="s">
        <v>34</v>
      </c>
      <c r="P1034" s="16" t="n">
        <v>167</v>
      </c>
      <c r="Q1034" s="1" t="s">
        <v>220</v>
      </c>
      <c r="R1034" s="1" t="s">
        <v>36</v>
      </c>
      <c r="S1034" s="16" t="n">
        <v>1130101</v>
      </c>
      <c r="T1034" s="1" t="s">
        <v>37</v>
      </c>
      <c r="U1034" s="17" t="n">
        <v>228.24</v>
      </c>
      <c r="W1034" s="17" t="n">
        <v>0</v>
      </c>
      <c r="X1034" s="1" t="s">
        <v>1164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6" t="n">
        <v>3</v>
      </c>
      <c r="B1035" s="15" t="n">
        <v>46239</v>
      </c>
      <c r="C1035" s="15" t="n">
        <v>46254</v>
      </c>
      <c r="D1035" s="16" t="n">
        <v>1612</v>
      </c>
      <c r="E1035" s="1" t="s">
        <v>192</v>
      </c>
      <c r="F1035" s="16" t="n">
        <v>24</v>
      </c>
      <c r="G1035" s="1" t="s">
        <v>31</v>
      </c>
      <c r="H1035" s="16" t="n">
        <v>1110204</v>
      </c>
      <c r="I1035" s="1" t="s">
        <v>177</v>
      </c>
      <c r="J1035" s="16" t="n">
        <v>1504101</v>
      </c>
      <c r="L1035" s="16" t="n">
        <v>23076071</v>
      </c>
      <c r="M1035" s="1" t="s">
        <v>33</v>
      </c>
      <c r="N1035" s="1" t="s">
        <v>34</v>
      </c>
      <c r="P1035" s="16" t="n">
        <v>167</v>
      </c>
      <c r="Q1035" s="1" t="s">
        <v>220</v>
      </c>
      <c r="R1035" s="1" t="s">
        <v>36</v>
      </c>
      <c r="S1035" s="16" t="n">
        <v>1130101</v>
      </c>
      <c r="T1035" s="1" t="s">
        <v>37</v>
      </c>
      <c r="U1035" s="17" t="n">
        <v>496.59</v>
      </c>
      <c r="W1035" s="17" t="n">
        <v>0</v>
      </c>
      <c r="X1035" s="1" t="s">
        <v>1165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6" t="n">
        <v>3</v>
      </c>
      <c r="B1036" s="15" t="n">
        <v>46239</v>
      </c>
      <c r="C1036" s="15" t="n">
        <v>46254</v>
      </c>
      <c r="D1036" s="16" t="n">
        <v>1612</v>
      </c>
      <c r="E1036" s="1" t="s">
        <v>192</v>
      </c>
      <c r="F1036" s="16" t="n">
        <v>24</v>
      </c>
      <c r="G1036" s="1" t="s">
        <v>31</v>
      </c>
      <c r="H1036" s="16" t="n">
        <v>2110405</v>
      </c>
      <c r="I1036" s="1" t="s">
        <v>63</v>
      </c>
      <c r="J1036" s="16" t="n">
        <v>1504128</v>
      </c>
      <c r="L1036" s="16" t="n">
        <v>23076081</v>
      </c>
      <c r="M1036" s="1" t="s">
        <v>33</v>
      </c>
      <c r="N1036" s="1" t="s">
        <v>34</v>
      </c>
      <c r="P1036" s="16" t="n">
        <v>167</v>
      </c>
      <c r="Q1036" s="1" t="s">
        <v>220</v>
      </c>
      <c r="R1036" s="1" t="s">
        <v>36</v>
      </c>
      <c r="S1036" s="16" t="n">
        <v>1130101</v>
      </c>
      <c r="T1036" s="1" t="s">
        <v>37</v>
      </c>
      <c r="U1036" s="17" t="n">
        <v>368.38</v>
      </c>
      <c r="W1036" s="17" t="n">
        <v>0</v>
      </c>
      <c r="X1036" s="1" t="s">
        <v>1166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6" t="n">
        <v>3</v>
      </c>
      <c r="B1037" s="15" t="n">
        <v>46234</v>
      </c>
      <c r="C1037" s="15" t="n">
        <v>46254</v>
      </c>
      <c r="D1037" s="16" t="n">
        <v>1672</v>
      </c>
      <c r="E1037" s="1" t="s">
        <v>93</v>
      </c>
      <c r="F1037" s="16" t="n">
        <v>24</v>
      </c>
      <c r="G1037" s="1" t="s">
        <v>31</v>
      </c>
      <c r="H1037" s="16" t="n">
        <v>1110204</v>
      </c>
      <c r="I1037" s="1" t="s">
        <v>177</v>
      </c>
      <c r="J1037" s="16" t="n">
        <v>1504748</v>
      </c>
      <c r="L1037" s="16" t="n">
        <v>14118642</v>
      </c>
      <c r="M1037" s="1" t="s">
        <v>33</v>
      </c>
      <c r="N1037" s="1" t="s">
        <v>34</v>
      </c>
      <c r="P1037" s="16" t="n">
        <v>167</v>
      </c>
      <c r="Q1037" s="1" t="s">
        <v>220</v>
      </c>
      <c r="R1037" s="1" t="s">
        <v>36</v>
      </c>
      <c r="S1037" s="16" t="n">
        <v>1130101</v>
      </c>
      <c r="T1037" s="1" t="s">
        <v>37</v>
      </c>
      <c r="U1037" s="17" t="n">
        <v>245</v>
      </c>
      <c r="W1037" s="17" t="n">
        <v>0</v>
      </c>
      <c r="X1037" s="1" t="s">
        <v>1167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6" t="n">
        <v>3</v>
      </c>
      <c r="B1038" s="15" t="n">
        <v>46239</v>
      </c>
      <c r="C1038" s="15" t="n">
        <v>46254</v>
      </c>
      <c r="D1038" s="16" t="n">
        <v>1601</v>
      </c>
      <c r="E1038" s="1" t="s">
        <v>50</v>
      </c>
      <c r="F1038" s="16" t="n">
        <v>24</v>
      </c>
      <c r="G1038" s="1" t="s">
        <v>31</v>
      </c>
      <c r="H1038" s="16" t="n">
        <v>1110204</v>
      </c>
      <c r="I1038" s="1" t="s">
        <v>177</v>
      </c>
      <c r="J1038" s="16" t="n">
        <v>1508046</v>
      </c>
      <c r="L1038" s="16" t="n">
        <v>9610981</v>
      </c>
      <c r="M1038" s="1" t="s">
        <v>33</v>
      </c>
      <c r="N1038" s="1" t="s">
        <v>34</v>
      </c>
      <c r="P1038" s="16" t="n">
        <v>167</v>
      </c>
      <c r="Q1038" s="1" t="s">
        <v>220</v>
      </c>
      <c r="R1038" s="1" t="s">
        <v>36</v>
      </c>
      <c r="S1038" s="16" t="n">
        <v>1130101</v>
      </c>
      <c r="T1038" s="1" t="s">
        <v>37</v>
      </c>
      <c r="U1038" s="17" t="n">
        <v>477.88</v>
      </c>
      <c r="W1038" s="17" t="n">
        <v>0</v>
      </c>
      <c r="X1038" s="1" t="s">
        <v>1168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6" t="n">
        <v>3</v>
      </c>
      <c r="B1039" s="15" t="n">
        <v>46240</v>
      </c>
      <c r="C1039" s="15" t="n">
        <v>46254</v>
      </c>
      <c r="D1039" s="16" t="n">
        <v>1643</v>
      </c>
      <c r="E1039" s="1" t="s">
        <v>462</v>
      </c>
      <c r="F1039" s="16" t="n">
        <v>24</v>
      </c>
      <c r="G1039" s="1" t="s">
        <v>31</v>
      </c>
      <c r="H1039" s="16" t="n">
        <v>2110405</v>
      </c>
      <c r="I1039" s="1" t="s">
        <v>63</v>
      </c>
      <c r="J1039" s="16" t="n">
        <v>1509613</v>
      </c>
      <c r="L1039" s="16" t="n">
        <v>108091</v>
      </c>
      <c r="M1039" s="1" t="s">
        <v>33</v>
      </c>
      <c r="N1039" s="1" t="s">
        <v>34</v>
      </c>
      <c r="P1039" s="16" t="n">
        <v>167</v>
      </c>
      <c r="Q1039" s="1" t="s">
        <v>220</v>
      </c>
      <c r="R1039" s="1" t="s">
        <v>36</v>
      </c>
      <c r="S1039" s="16" t="n">
        <v>1130101</v>
      </c>
      <c r="T1039" s="1" t="s">
        <v>37</v>
      </c>
      <c r="U1039" s="17" t="n">
        <v>228</v>
      </c>
      <c r="W1039" s="17" t="n">
        <v>0</v>
      </c>
      <c r="X1039" s="1" t="s">
        <v>1169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6" t="n">
        <v>3</v>
      </c>
      <c r="B1040" s="15" t="n">
        <v>46239</v>
      </c>
      <c r="C1040" s="15" t="n">
        <v>46254</v>
      </c>
      <c r="D1040" s="16" t="n">
        <v>1107</v>
      </c>
      <c r="E1040" s="1" t="s">
        <v>103</v>
      </c>
      <c r="F1040" s="16" t="n">
        <v>24</v>
      </c>
      <c r="G1040" s="1" t="s">
        <v>31</v>
      </c>
      <c r="H1040" s="16" t="n">
        <v>2110405</v>
      </c>
      <c r="I1040" s="1" t="s">
        <v>63</v>
      </c>
      <c r="J1040" s="16" t="n">
        <v>1509618</v>
      </c>
      <c r="L1040" s="16" t="n">
        <v>4383351</v>
      </c>
      <c r="M1040" s="1" t="s">
        <v>33</v>
      </c>
      <c r="N1040" s="1" t="s">
        <v>34</v>
      </c>
      <c r="P1040" s="16" t="n">
        <v>167</v>
      </c>
      <c r="Q1040" s="1" t="s">
        <v>220</v>
      </c>
      <c r="R1040" s="1" t="s">
        <v>36</v>
      </c>
      <c r="S1040" s="16" t="n">
        <v>1130101</v>
      </c>
      <c r="T1040" s="1" t="s">
        <v>37</v>
      </c>
      <c r="U1040" s="17" t="n">
        <v>984.44</v>
      </c>
      <c r="W1040" s="17" t="n">
        <v>0</v>
      </c>
      <c r="X1040" s="1" t="s">
        <v>1170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6" t="n">
        <v>3</v>
      </c>
      <c r="B1041" s="15" t="n">
        <v>46239</v>
      </c>
      <c r="C1041" s="15" t="n">
        <v>46254</v>
      </c>
      <c r="D1041" s="16" t="n">
        <v>1667</v>
      </c>
      <c r="E1041" s="1" t="s">
        <v>286</v>
      </c>
      <c r="F1041" s="16" t="n">
        <v>24</v>
      </c>
      <c r="G1041" s="1" t="s">
        <v>31</v>
      </c>
      <c r="H1041" s="16" t="n">
        <v>2110405</v>
      </c>
      <c r="I1041" s="1" t="s">
        <v>63</v>
      </c>
      <c r="J1041" s="16" t="n">
        <v>1509699</v>
      </c>
      <c r="L1041" s="16" t="n">
        <v>3978882</v>
      </c>
      <c r="M1041" s="1" t="s">
        <v>33</v>
      </c>
      <c r="N1041" s="1" t="s">
        <v>34</v>
      </c>
      <c r="P1041" s="16" t="n">
        <v>167</v>
      </c>
      <c r="Q1041" s="1" t="s">
        <v>220</v>
      </c>
      <c r="R1041" s="1" t="s">
        <v>36</v>
      </c>
      <c r="S1041" s="16" t="n">
        <v>1130101</v>
      </c>
      <c r="T1041" s="1" t="s">
        <v>37</v>
      </c>
      <c r="U1041" s="17" t="n">
        <v>610.15</v>
      </c>
      <c r="W1041" s="17" t="n">
        <v>0</v>
      </c>
      <c r="X1041" s="1" t="s">
        <v>1171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6" t="n">
        <v>3</v>
      </c>
      <c r="B1042" s="15" t="n">
        <v>46240</v>
      </c>
      <c r="C1042" s="15" t="n">
        <v>46254</v>
      </c>
      <c r="D1042" s="16" t="n">
        <v>1723</v>
      </c>
      <c r="E1042" s="1" t="s">
        <v>54</v>
      </c>
      <c r="F1042" s="16" t="n">
        <v>24</v>
      </c>
      <c r="G1042" s="1" t="s">
        <v>31</v>
      </c>
      <c r="H1042" s="16" t="n">
        <v>2110405</v>
      </c>
      <c r="I1042" s="1" t="s">
        <v>63</v>
      </c>
      <c r="J1042" s="16" t="n">
        <v>1512771</v>
      </c>
      <c r="L1042" s="16" t="n">
        <v>58795</v>
      </c>
      <c r="M1042" s="1" t="s">
        <v>33</v>
      </c>
      <c r="N1042" s="1" t="s">
        <v>34</v>
      </c>
      <c r="P1042" s="16" t="n">
        <v>167</v>
      </c>
      <c r="Q1042" s="1" t="s">
        <v>220</v>
      </c>
      <c r="R1042" s="1" t="s">
        <v>36</v>
      </c>
      <c r="S1042" s="16" t="n">
        <v>1130101</v>
      </c>
      <c r="T1042" s="1" t="s">
        <v>37</v>
      </c>
      <c r="U1042" s="17" t="n">
        <v>1194.6</v>
      </c>
      <c r="W1042" s="17" t="n">
        <v>0</v>
      </c>
      <c r="X1042" s="1" t="s">
        <v>1172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6" t="n">
        <v>3</v>
      </c>
      <c r="B1043" s="15" t="n">
        <v>46212</v>
      </c>
      <c r="C1043" s="15" t="n">
        <v>46255</v>
      </c>
      <c r="D1043" s="16" t="n">
        <v>10037</v>
      </c>
      <c r="E1043" s="1" t="s">
        <v>81</v>
      </c>
      <c r="F1043" s="16" t="n">
        <v>24</v>
      </c>
      <c r="G1043" s="1" t="s">
        <v>31</v>
      </c>
      <c r="H1043" s="16" t="n">
        <v>2110405</v>
      </c>
      <c r="I1043" s="1" t="s">
        <v>63</v>
      </c>
      <c r="J1043" s="16" t="n">
        <v>1392538</v>
      </c>
      <c r="L1043" s="16" t="n">
        <v>27514</v>
      </c>
      <c r="M1043" s="1" t="s">
        <v>33</v>
      </c>
      <c r="N1043" s="1" t="s">
        <v>34</v>
      </c>
      <c r="P1043" s="16" t="n">
        <v>167</v>
      </c>
      <c r="Q1043" s="1" t="s">
        <v>220</v>
      </c>
      <c r="R1043" s="1" t="s">
        <v>36</v>
      </c>
      <c r="S1043" s="16" t="n">
        <v>1130101</v>
      </c>
      <c r="T1043" s="1" t="s">
        <v>37</v>
      </c>
      <c r="U1043" s="17" t="n">
        <v>565.02</v>
      </c>
      <c r="W1043" s="17" t="n">
        <v>0</v>
      </c>
      <c r="X1043" s="1" t="s">
        <v>1173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6" t="n">
        <v>3</v>
      </c>
      <c r="B1044" s="15" t="n">
        <v>46225</v>
      </c>
      <c r="C1044" s="15" t="n">
        <v>46255</v>
      </c>
      <c r="D1044" s="16" t="n">
        <v>1699</v>
      </c>
      <c r="E1044" s="1" t="s">
        <v>87</v>
      </c>
      <c r="F1044" s="16" t="n">
        <v>24</v>
      </c>
      <c r="G1044" s="1" t="s">
        <v>31</v>
      </c>
      <c r="H1044" s="16" t="n">
        <v>1110204</v>
      </c>
      <c r="I1044" s="1" t="s">
        <v>177</v>
      </c>
      <c r="J1044" s="16" t="n">
        <v>1439143</v>
      </c>
      <c r="L1044" s="16" t="n">
        <v>3087373</v>
      </c>
      <c r="M1044" s="1" t="s">
        <v>33</v>
      </c>
      <c r="N1044" s="1" t="s">
        <v>34</v>
      </c>
      <c r="P1044" s="16" t="n">
        <v>167</v>
      </c>
      <c r="Q1044" s="1" t="s">
        <v>220</v>
      </c>
      <c r="R1044" s="1" t="s">
        <v>36</v>
      </c>
      <c r="S1044" s="16" t="n">
        <v>1130101</v>
      </c>
      <c r="T1044" s="1" t="s">
        <v>37</v>
      </c>
      <c r="U1044" s="17" t="n">
        <v>894.34</v>
      </c>
      <c r="W1044" s="17" t="n">
        <v>0</v>
      </c>
      <c r="X1044" s="1" t="s">
        <v>1174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6" t="n">
        <v>3</v>
      </c>
      <c r="B1045" s="15" t="n">
        <v>46232</v>
      </c>
      <c r="C1045" s="15" t="n">
        <v>46255</v>
      </c>
      <c r="D1045" s="16" t="n">
        <v>1699</v>
      </c>
      <c r="E1045" s="1" t="s">
        <v>87</v>
      </c>
      <c r="F1045" s="16" t="n">
        <v>24</v>
      </c>
      <c r="G1045" s="1" t="s">
        <v>31</v>
      </c>
      <c r="H1045" s="16" t="n">
        <v>1110204</v>
      </c>
      <c r="I1045" s="1" t="s">
        <v>177</v>
      </c>
      <c r="J1045" s="16" t="n">
        <v>1474070</v>
      </c>
      <c r="L1045" s="16" t="n">
        <v>3095422</v>
      </c>
      <c r="M1045" s="1" t="s">
        <v>33</v>
      </c>
      <c r="N1045" s="1" t="s">
        <v>34</v>
      </c>
      <c r="P1045" s="16" t="n">
        <v>167</v>
      </c>
      <c r="Q1045" s="1" t="s">
        <v>220</v>
      </c>
      <c r="R1045" s="1" t="s">
        <v>36</v>
      </c>
      <c r="S1045" s="16" t="n">
        <v>1130101</v>
      </c>
      <c r="T1045" s="1" t="s">
        <v>37</v>
      </c>
      <c r="U1045" s="17" t="n">
        <v>983.7</v>
      </c>
      <c r="W1045" s="17" t="n">
        <v>0</v>
      </c>
      <c r="X1045" s="1" t="s">
        <v>1175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6" t="n">
        <v>3</v>
      </c>
      <c r="B1046" s="15" t="n">
        <v>46232</v>
      </c>
      <c r="C1046" s="15" t="n">
        <v>46255</v>
      </c>
      <c r="D1046" s="16" t="n">
        <v>10017</v>
      </c>
      <c r="E1046" s="1" t="s">
        <v>693</v>
      </c>
      <c r="F1046" s="16" t="n">
        <v>24</v>
      </c>
      <c r="G1046" s="1" t="s">
        <v>31</v>
      </c>
      <c r="H1046" s="16" t="n">
        <v>2110405</v>
      </c>
      <c r="I1046" s="1" t="s">
        <v>63</v>
      </c>
      <c r="J1046" s="16" t="n">
        <v>1474081</v>
      </c>
      <c r="L1046" s="16" t="n">
        <v>1950892</v>
      </c>
      <c r="M1046" s="1" t="s">
        <v>33</v>
      </c>
      <c r="N1046" s="1" t="s">
        <v>34</v>
      </c>
      <c r="P1046" s="16" t="n">
        <v>167</v>
      </c>
      <c r="Q1046" s="1" t="s">
        <v>220</v>
      </c>
      <c r="R1046" s="1" t="s">
        <v>36</v>
      </c>
      <c r="S1046" s="16" t="n">
        <v>1130101</v>
      </c>
      <c r="T1046" s="1" t="s">
        <v>37</v>
      </c>
      <c r="U1046" s="17" t="n">
        <v>1191.81</v>
      </c>
      <c r="W1046" s="17" t="n">
        <v>0</v>
      </c>
      <c r="X1046" s="1" t="s">
        <v>1176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6" t="n">
        <v>3</v>
      </c>
      <c r="B1047" s="15" t="n">
        <v>46232</v>
      </c>
      <c r="C1047" s="15" t="n">
        <v>46255</v>
      </c>
      <c r="D1047" s="16" t="n">
        <v>1196</v>
      </c>
      <c r="E1047" s="1" t="s">
        <v>293</v>
      </c>
      <c r="F1047" s="16" t="n">
        <v>24</v>
      </c>
      <c r="G1047" s="1" t="s">
        <v>31</v>
      </c>
      <c r="H1047" s="16" t="n">
        <v>2110405</v>
      </c>
      <c r="I1047" s="1" t="s">
        <v>63</v>
      </c>
      <c r="J1047" s="16" t="n">
        <v>1478193</v>
      </c>
      <c r="L1047" s="16" t="n">
        <v>131712</v>
      </c>
      <c r="M1047" s="1" t="s">
        <v>33</v>
      </c>
      <c r="N1047" s="1" t="s">
        <v>34</v>
      </c>
      <c r="P1047" s="16" t="n">
        <v>167</v>
      </c>
      <c r="Q1047" s="1" t="s">
        <v>220</v>
      </c>
      <c r="R1047" s="1" t="s">
        <v>36</v>
      </c>
      <c r="S1047" s="16" t="n">
        <v>1130101</v>
      </c>
      <c r="T1047" s="1" t="s">
        <v>37</v>
      </c>
      <c r="U1047" s="17" t="n">
        <v>481.15</v>
      </c>
      <c r="W1047" s="17" t="n">
        <v>0</v>
      </c>
      <c r="X1047" s="1" t="s">
        <v>1177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6" t="n">
        <v>3</v>
      </c>
      <c r="B1048" s="15" t="n">
        <v>46233</v>
      </c>
      <c r="C1048" s="15" t="n">
        <v>46255</v>
      </c>
      <c r="D1048" s="16" t="n">
        <v>1608</v>
      </c>
      <c r="E1048" s="1" t="s">
        <v>69</v>
      </c>
      <c r="F1048" s="16" t="n">
        <v>24</v>
      </c>
      <c r="G1048" s="1" t="s">
        <v>31</v>
      </c>
      <c r="H1048" s="16" t="n">
        <v>1110204</v>
      </c>
      <c r="I1048" s="1" t="s">
        <v>177</v>
      </c>
      <c r="J1048" s="16" t="n">
        <v>1482397</v>
      </c>
      <c r="L1048" s="16" t="n">
        <v>17031522</v>
      </c>
      <c r="M1048" s="1" t="s">
        <v>33</v>
      </c>
      <c r="N1048" s="1" t="s">
        <v>34</v>
      </c>
      <c r="P1048" s="16" t="n">
        <v>167</v>
      </c>
      <c r="Q1048" s="1" t="s">
        <v>220</v>
      </c>
      <c r="R1048" s="1" t="s">
        <v>36</v>
      </c>
      <c r="S1048" s="16" t="n">
        <v>1130101</v>
      </c>
      <c r="T1048" s="1" t="s">
        <v>37</v>
      </c>
      <c r="U1048" s="17" t="n">
        <v>362.68</v>
      </c>
      <c r="W1048" s="17" t="n">
        <v>0</v>
      </c>
      <c r="X1048" s="1" t="s">
        <v>1178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6" t="n">
        <v>3</v>
      </c>
      <c r="B1049" s="15" t="n">
        <v>46239</v>
      </c>
      <c r="C1049" s="15" t="n">
        <v>46255</v>
      </c>
      <c r="D1049" s="16" t="n">
        <v>1699</v>
      </c>
      <c r="E1049" s="1" t="s">
        <v>87</v>
      </c>
      <c r="F1049" s="16" t="n">
        <v>24</v>
      </c>
      <c r="G1049" s="1" t="s">
        <v>31</v>
      </c>
      <c r="H1049" s="16" t="n">
        <v>2110405</v>
      </c>
      <c r="I1049" s="1" t="s">
        <v>63</v>
      </c>
      <c r="J1049" s="16" t="n">
        <v>1512612</v>
      </c>
      <c r="L1049" s="16" t="n">
        <v>3101541</v>
      </c>
      <c r="M1049" s="1" t="s">
        <v>33</v>
      </c>
      <c r="N1049" s="1" t="s">
        <v>34</v>
      </c>
      <c r="P1049" s="16" t="n">
        <v>167</v>
      </c>
      <c r="Q1049" s="1" t="s">
        <v>220</v>
      </c>
      <c r="R1049" s="1" t="s">
        <v>36</v>
      </c>
      <c r="S1049" s="16" t="n">
        <v>1130101</v>
      </c>
      <c r="T1049" s="1" t="s">
        <v>37</v>
      </c>
      <c r="U1049" s="17" t="n">
        <v>986.03</v>
      </c>
      <c r="W1049" s="17" t="n">
        <v>0</v>
      </c>
      <c r="X1049" s="1" t="s">
        <v>1179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6" t="n">
        <v>3</v>
      </c>
      <c r="B1050" s="15" t="n">
        <v>46240</v>
      </c>
      <c r="C1050" s="15" t="n">
        <v>46255</v>
      </c>
      <c r="D1050" s="16" t="n">
        <v>1136</v>
      </c>
      <c r="E1050" s="1" t="s">
        <v>123</v>
      </c>
      <c r="F1050" s="16" t="n">
        <v>24</v>
      </c>
      <c r="G1050" s="1" t="s">
        <v>31</v>
      </c>
      <c r="H1050" s="16" t="n">
        <v>2110405</v>
      </c>
      <c r="I1050" s="1" t="s">
        <v>63</v>
      </c>
      <c r="J1050" s="16" t="n">
        <v>1513131</v>
      </c>
      <c r="L1050" s="16" t="n">
        <v>53541</v>
      </c>
      <c r="M1050" s="1" t="s">
        <v>33</v>
      </c>
      <c r="N1050" s="1" t="s">
        <v>34</v>
      </c>
      <c r="P1050" s="16" t="n">
        <v>167</v>
      </c>
      <c r="Q1050" s="1" t="s">
        <v>220</v>
      </c>
      <c r="R1050" s="1" t="s">
        <v>36</v>
      </c>
      <c r="S1050" s="16" t="n">
        <v>1130101</v>
      </c>
      <c r="T1050" s="1" t="s">
        <v>37</v>
      </c>
      <c r="U1050" s="17" t="n">
        <v>500.78</v>
      </c>
      <c r="W1050" s="17" t="n">
        <v>0</v>
      </c>
      <c r="X1050" s="1" t="s">
        <v>1180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6" t="n">
        <v>3</v>
      </c>
      <c r="B1051" s="15" t="n">
        <v>46241</v>
      </c>
      <c r="C1051" s="15" t="n">
        <v>46255</v>
      </c>
      <c r="D1051" s="16" t="n">
        <v>1723</v>
      </c>
      <c r="E1051" s="1" t="s">
        <v>54</v>
      </c>
      <c r="F1051" s="16" t="n">
        <v>24</v>
      </c>
      <c r="G1051" s="1" t="s">
        <v>31</v>
      </c>
      <c r="H1051" s="16" t="n">
        <v>2110405</v>
      </c>
      <c r="I1051" s="1" t="s">
        <v>63</v>
      </c>
      <c r="J1051" s="16" t="n">
        <v>1514500</v>
      </c>
      <c r="L1051" s="16" t="n">
        <v>589282</v>
      </c>
      <c r="M1051" s="1" t="s">
        <v>33</v>
      </c>
      <c r="N1051" s="1" t="s">
        <v>34</v>
      </c>
      <c r="P1051" s="16" t="n">
        <v>167</v>
      </c>
      <c r="Q1051" s="1" t="s">
        <v>220</v>
      </c>
      <c r="R1051" s="1" t="s">
        <v>36</v>
      </c>
      <c r="S1051" s="16" t="n">
        <v>1130101</v>
      </c>
      <c r="T1051" s="1" t="s">
        <v>37</v>
      </c>
      <c r="U1051" s="17" t="n">
        <v>1847.6</v>
      </c>
      <c r="W1051" s="17" t="n">
        <v>0</v>
      </c>
      <c r="X1051" s="1" t="s">
        <v>1181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6" t="n">
        <v>3</v>
      </c>
      <c r="B1052" s="15" t="n">
        <v>46044</v>
      </c>
      <c r="C1052" s="15" t="n">
        <v>46256</v>
      </c>
      <c r="D1052" s="16" t="n">
        <v>514</v>
      </c>
      <c r="E1052" s="1" t="s">
        <v>163</v>
      </c>
      <c r="F1052" s="16" t="n">
        <v>34</v>
      </c>
      <c r="G1052" s="1" t="s">
        <v>58</v>
      </c>
      <c r="H1052" s="16" t="n">
        <v>2110405</v>
      </c>
      <c r="I1052" s="1" t="s">
        <v>63</v>
      </c>
      <c r="J1052" s="16" t="n">
        <v>1306220</v>
      </c>
      <c r="L1052" s="16" t="n">
        <v>203991</v>
      </c>
      <c r="M1052" s="1" t="s">
        <v>688</v>
      </c>
      <c r="N1052" s="1" t="s">
        <v>34</v>
      </c>
      <c r="P1052" s="16" t="n">
        <v>101</v>
      </c>
      <c r="Q1052" s="1" t="s">
        <v>136</v>
      </c>
      <c r="R1052" s="1" t="s">
        <v>411</v>
      </c>
      <c r="S1052" s="16" t="n">
        <v>2110901</v>
      </c>
      <c r="T1052" s="1" t="s">
        <v>412</v>
      </c>
      <c r="U1052" s="17" t="n">
        <v>6601.19</v>
      </c>
      <c r="W1052" s="17" t="n">
        <v>0</v>
      </c>
      <c r="X1052" s="1" t="s">
        <v>1182</v>
      </c>
      <c r="Z1052" s="1" t="str">
        <f aca="false">IF($T1052="","",IFERROR(INDEX('Resumo Grupos'!$AC$3:$AC$200,MATCH($T1052,'Resumo Grupos'!$AB$3:$AB$200,0)),"n/d"))</f>
        <v>Empréstimo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false" outlineLevel="0" collapsed="false">
      <c r="A1053" s="22" t="n">
        <v>3</v>
      </c>
      <c r="B1053" s="23" t="n">
        <v>46224</v>
      </c>
      <c r="C1053" s="23" t="n">
        <v>46256</v>
      </c>
      <c r="D1053" s="22" t="n">
        <v>1929</v>
      </c>
      <c r="E1053" s="1" t="s">
        <v>1183</v>
      </c>
      <c r="F1053" s="22" t="n">
        <v>34</v>
      </c>
      <c r="G1053" s="1" t="s">
        <v>58</v>
      </c>
      <c r="H1053" s="22" t="n">
        <v>2110405</v>
      </c>
      <c r="I1053" s="1" t="s">
        <v>63</v>
      </c>
      <c r="J1053" s="22" t="n">
        <v>1428714</v>
      </c>
      <c r="L1053" s="22" t="n">
        <v>222992</v>
      </c>
      <c r="M1053" s="1" t="s">
        <v>33</v>
      </c>
      <c r="N1053" s="1" t="s">
        <v>34</v>
      </c>
      <c r="P1053" s="22" t="n">
        <v>101</v>
      </c>
      <c r="Q1053" s="1" t="s">
        <v>136</v>
      </c>
      <c r="R1053" s="1" t="s">
        <v>64</v>
      </c>
      <c r="S1053" s="22" t="n">
        <v>4210299</v>
      </c>
      <c r="T1053" s="1" t="s">
        <v>615</v>
      </c>
      <c r="U1053" s="24" t="n">
        <v>95.43</v>
      </c>
      <c r="W1053" s="24" t="n">
        <v>0</v>
      </c>
      <c r="X1053" s="1" t="s">
        <v>1184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false" outlineLevel="0" collapsed="false">
      <c r="A1054" s="22" t="n">
        <v>3</v>
      </c>
      <c r="B1054" s="23" t="n">
        <v>46224</v>
      </c>
      <c r="C1054" s="23" t="n">
        <v>46256</v>
      </c>
      <c r="D1054" s="22" t="n">
        <v>1929</v>
      </c>
      <c r="E1054" s="1" t="s">
        <v>1183</v>
      </c>
      <c r="F1054" s="22" t="n">
        <v>34</v>
      </c>
      <c r="G1054" s="1" t="s">
        <v>58</v>
      </c>
      <c r="H1054" s="22" t="n">
        <v>2110405</v>
      </c>
      <c r="I1054" s="1" t="s">
        <v>63</v>
      </c>
      <c r="J1054" s="22" t="n">
        <v>1428721</v>
      </c>
      <c r="L1054" s="22" t="n">
        <v>222993</v>
      </c>
      <c r="M1054" s="1" t="s">
        <v>33</v>
      </c>
      <c r="N1054" s="1" t="s">
        <v>34</v>
      </c>
      <c r="P1054" s="22" t="n">
        <v>101</v>
      </c>
      <c r="Q1054" s="1" t="s">
        <v>136</v>
      </c>
      <c r="R1054" s="1" t="s">
        <v>64</v>
      </c>
      <c r="S1054" s="22" t="n">
        <v>4210299</v>
      </c>
      <c r="T1054" s="1" t="s">
        <v>615</v>
      </c>
      <c r="U1054" s="24" t="n">
        <v>102.37</v>
      </c>
      <c r="W1054" s="24" t="n">
        <v>0</v>
      </c>
      <c r="X1054" s="1" t="s">
        <v>1185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false" outlineLevel="0" collapsed="false">
      <c r="A1055" s="22" t="n">
        <v>3</v>
      </c>
      <c r="B1055" s="23" t="n">
        <v>46224</v>
      </c>
      <c r="C1055" s="23" t="n">
        <v>46256</v>
      </c>
      <c r="D1055" s="22" t="n">
        <v>514</v>
      </c>
      <c r="E1055" s="1" t="s">
        <v>163</v>
      </c>
      <c r="F1055" s="22" t="n">
        <v>34</v>
      </c>
      <c r="G1055" s="1" t="s">
        <v>58</v>
      </c>
      <c r="H1055" s="22" t="n">
        <v>2110405</v>
      </c>
      <c r="I1055" s="1" t="s">
        <v>63</v>
      </c>
      <c r="J1055" s="22" t="n">
        <v>1428727</v>
      </c>
      <c r="L1055" s="22" t="n">
        <v>222994</v>
      </c>
      <c r="M1055" s="1" t="s">
        <v>33</v>
      </c>
      <c r="N1055" s="1" t="s">
        <v>34</v>
      </c>
      <c r="P1055" s="22" t="n">
        <v>101</v>
      </c>
      <c r="Q1055" s="1" t="s">
        <v>136</v>
      </c>
      <c r="R1055" s="1" t="s">
        <v>165</v>
      </c>
      <c r="S1055" s="22" t="n">
        <v>4210504</v>
      </c>
      <c r="T1055" s="1" t="s">
        <v>166</v>
      </c>
      <c r="U1055" s="24" t="n">
        <v>240</v>
      </c>
      <c r="W1055" s="24" t="n">
        <v>0</v>
      </c>
      <c r="X1055" s="1" t="s">
        <v>1186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false" outlineLevel="0" collapsed="false">
      <c r="A1056" s="22" t="n">
        <v>3</v>
      </c>
      <c r="B1056" s="23" t="n">
        <v>46224</v>
      </c>
      <c r="C1056" s="23" t="n">
        <v>46256</v>
      </c>
      <c r="D1056" s="22" t="n">
        <v>1000036</v>
      </c>
      <c r="E1056" s="1" t="s">
        <v>1187</v>
      </c>
      <c r="F1056" s="22" t="n">
        <v>34</v>
      </c>
      <c r="G1056" s="1" t="s">
        <v>58</v>
      </c>
      <c r="H1056" s="22" t="n">
        <v>2110405</v>
      </c>
      <c r="I1056" s="1" t="s">
        <v>63</v>
      </c>
      <c r="J1056" s="22" t="n">
        <v>1428747</v>
      </c>
      <c r="L1056" s="22" t="n">
        <v>222995</v>
      </c>
      <c r="M1056" s="1" t="s">
        <v>33</v>
      </c>
      <c r="N1056" s="1" t="s">
        <v>34</v>
      </c>
      <c r="P1056" s="22" t="n">
        <v>101</v>
      </c>
      <c r="Q1056" s="1" t="s">
        <v>136</v>
      </c>
      <c r="R1056" s="1" t="s">
        <v>64</v>
      </c>
      <c r="S1056" s="22" t="n">
        <v>4210299</v>
      </c>
      <c r="T1056" s="1" t="s">
        <v>615</v>
      </c>
      <c r="U1056" s="24" t="n">
        <v>2929.65</v>
      </c>
      <c r="W1056" s="24" t="n">
        <v>0</v>
      </c>
      <c r="X1056" s="1" t="s">
        <v>1188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false" outlineLevel="0" collapsed="false">
      <c r="A1057" s="22" t="n">
        <v>3</v>
      </c>
      <c r="B1057" s="23" t="n">
        <v>46224</v>
      </c>
      <c r="C1057" s="23" t="n">
        <v>46256</v>
      </c>
      <c r="D1057" s="22" t="n">
        <v>1929</v>
      </c>
      <c r="E1057" s="1" t="s">
        <v>1183</v>
      </c>
      <c r="F1057" s="22" t="n">
        <v>34</v>
      </c>
      <c r="G1057" s="1" t="s">
        <v>58</v>
      </c>
      <c r="H1057" s="22" t="n">
        <v>1110204</v>
      </c>
      <c r="I1057" s="1" t="s">
        <v>177</v>
      </c>
      <c r="J1057" s="22" t="n">
        <v>1428753</v>
      </c>
      <c r="L1057" s="22" t="n">
        <v>222996</v>
      </c>
      <c r="M1057" s="1" t="s">
        <v>33</v>
      </c>
      <c r="N1057" s="1" t="s">
        <v>34</v>
      </c>
      <c r="P1057" s="22" t="n">
        <v>101</v>
      </c>
      <c r="Q1057" s="1" t="s">
        <v>136</v>
      </c>
      <c r="R1057" s="1" t="s">
        <v>165</v>
      </c>
      <c r="S1057" s="22" t="n">
        <v>4210504</v>
      </c>
      <c r="T1057" s="1" t="s">
        <v>166</v>
      </c>
      <c r="U1057" s="24" t="n">
        <v>420</v>
      </c>
      <c r="W1057" s="24" t="n">
        <v>0</v>
      </c>
      <c r="X1057" s="1" t="s">
        <v>1189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false" outlineLevel="0" collapsed="false">
      <c r="A1058" s="22" t="n">
        <v>3</v>
      </c>
      <c r="B1058" s="23" t="n">
        <v>46227</v>
      </c>
      <c r="C1058" s="23" t="n">
        <v>46256</v>
      </c>
      <c r="D1058" s="22" t="n">
        <v>1608</v>
      </c>
      <c r="E1058" s="1" t="s">
        <v>69</v>
      </c>
      <c r="F1058" s="22" t="n">
        <v>24</v>
      </c>
      <c r="G1058" s="1" t="s">
        <v>31</v>
      </c>
      <c r="H1058" s="22" t="n">
        <v>2110405</v>
      </c>
      <c r="I1058" s="1" t="s">
        <v>63</v>
      </c>
      <c r="J1058" s="22" t="n">
        <v>1443910</v>
      </c>
      <c r="L1058" s="22" t="n">
        <v>16991333</v>
      </c>
      <c r="M1058" s="1" t="s">
        <v>33</v>
      </c>
      <c r="N1058" s="1" t="s">
        <v>34</v>
      </c>
      <c r="P1058" s="22" t="n">
        <v>167</v>
      </c>
      <c r="Q1058" s="1" t="s">
        <v>220</v>
      </c>
      <c r="R1058" s="1" t="s">
        <v>36</v>
      </c>
      <c r="S1058" s="22" t="n">
        <v>1130101</v>
      </c>
      <c r="T1058" s="1" t="s">
        <v>37</v>
      </c>
      <c r="U1058" s="24" t="n">
        <v>832.25</v>
      </c>
      <c r="W1058" s="24" t="n">
        <v>0</v>
      </c>
      <c r="X1058" s="1" t="s">
        <v>1190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false" outlineLevel="0" collapsed="false">
      <c r="A1059" s="22" t="n">
        <v>3</v>
      </c>
      <c r="B1059" s="23" t="n">
        <v>46231</v>
      </c>
      <c r="C1059" s="23" t="n">
        <v>46256</v>
      </c>
      <c r="D1059" s="22" t="n">
        <v>33</v>
      </c>
      <c r="E1059" s="1" t="s">
        <v>297</v>
      </c>
      <c r="F1059" s="22" t="n">
        <v>34</v>
      </c>
      <c r="G1059" s="1" t="s">
        <v>58</v>
      </c>
      <c r="H1059" s="22" t="n">
        <v>2110405</v>
      </c>
      <c r="I1059" s="1" t="s">
        <v>63</v>
      </c>
      <c r="J1059" s="22" t="n">
        <v>1465032</v>
      </c>
      <c r="L1059" s="22" t="n">
        <v>227918</v>
      </c>
      <c r="M1059" s="1" t="s">
        <v>33</v>
      </c>
      <c r="N1059" s="1" t="s">
        <v>34</v>
      </c>
      <c r="P1059" s="22" t="n">
        <v>101</v>
      </c>
      <c r="Q1059" s="1" t="s">
        <v>136</v>
      </c>
      <c r="R1059" s="1" t="s">
        <v>337</v>
      </c>
      <c r="S1059" s="22" t="n">
        <v>1240203</v>
      </c>
      <c r="T1059" s="1" t="s">
        <v>338</v>
      </c>
      <c r="U1059" s="24" t="n">
        <v>2320.33</v>
      </c>
      <c r="W1059" s="24" t="n">
        <v>0</v>
      </c>
      <c r="X1059" s="1" t="s">
        <v>782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false" outlineLevel="0" collapsed="false">
      <c r="A1060" s="22" t="n">
        <v>3</v>
      </c>
      <c r="B1060" s="23" t="n">
        <v>46237</v>
      </c>
      <c r="C1060" s="23" t="n">
        <v>46256</v>
      </c>
      <c r="D1060" s="22" t="n">
        <v>1672</v>
      </c>
      <c r="E1060" s="1" t="s">
        <v>93</v>
      </c>
      <c r="F1060" s="22" t="n">
        <v>24</v>
      </c>
      <c r="G1060" s="1" t="s">
        <v>31</v>
      </c>
      <c r="H1060" s="22" t="n">
        <v>1110204</v>
      </c>
      <c r="I1060" s="1" t="s">
        <v>177</v>
      </c>
      <c r="J1060" s="22" t="n">
        <v>1504156</v>
      </c>
      <c r="L1060" s="22" t="n">
        <v>14134012</v>
      </c>
      <c r="M1060" s="1" t="s">
        <v>33</v>
      </c>
      <c r="N1060" s="1" t="s">
        <v>34</v>
      </c>
      <c r="P1060" s="22" t="n">
        <v>167</v>
      </c>
      <c r="Q1060" s="1" t="s">
        <v>220</v>
      </c>
      <c r="R1060" s="1" t="s">
        <v>36</v>
      </c>
      <c r="S1060" s="22" t="n">
        <v>1130101</v>
      </c>
      <c r="T1060" s="1" t="s">
        <v>37</v>
      </c>
      <c r="U1060" s="24" t="n">
        <v>725.05</v>
      </c>
      <c r="W1060" s="24" t="n">
        <v>0</v>
      </c>
      <c r="X1060" s="1" t="s">
        <v>1191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false" outlineLevel="0" collapsed="false">
      <c r="A1061" s="22" t="n">
        <v>3</v>
      </c>
      <c r="B1061" s="23" t="n">
        <v>46211</v>
      </c>
      <c r="C1061" s="23" t="n">
        <v>46258</v>
      </c>
      <c r="D1061" s="22" t="n">
        <v>1398</v>
      </c>
      <c r="E1061" s="1" t="s">
        <v>808</v>
      </c>
      <c r="F1061" s="22" t="n">
        <v>24</v>
      </c>
      <c r="G1061" s="1" t="s">
        <v>31</v>
      </c>
      <c r="H1061" s="22" t="n">
        <v>1110204</v>
      </c>
      <c r="I1061" s="1" t="s">
        <v>177</v>
      </c>
      <c r="J1061" s="22" t="n">
        <v>1397033</v>
      </c>
      <c r="L1061" s="22" t="n">
        <v>33333</v>
      </c>
      <c r="M1061" s="1" t="s">
        <v>33</v>
      </c>
      <c r="N1061" s="1" t="s">
        <v>34</v>
      </c>
      <c r="P1061" s="22" t="n">
        <v>167</v>
      </c>
      <c r="Q1061" s="1" t="s">
        <v>220</v>
      </c>
      <c r="R1061" s="1" t="s">
        <v>36</v>
      </c>
      <c r="S1061" s="22" t="n">
        <v>1130101</v>
      </c>
      <c r="T1061" s="1" t="s">
        <v>37</v>
      </c>
      <c r="U1061" s="24" t="n">
        <v>592.05</v>
      </c>
      <c r="W1061" s="24" t="n">
        <v>0</v>
      </c>
      <c r="X1061" s="1" t="s">
        <v>1192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false" outlineLevel="0" collapsed="false">
      <c r="A1062" s="22" t="n">
        <v>3</v>
      </c>
      <c r="B1062" s="23" t="n">
        <v>46211</v>
      </c>
      <c r="C1062" s="23" t="n">
        <v>46258</v>
      </c>
      <c r="D1062" s="22" t="n">
        <v>1122</v>
      </c>
      <c r="E1062" s="1" t="s">
        <v>810</v>
      </c>
      <c r="F1062" s="22" t="n">
        <v>24</v>
      </c>
      <c r="G1062" s="1" t="s">
        <v>31</v>
      </c>
      <c r="H1062" s="22" t="n">
        <v>2110405</v>
      </c>
      <c r="I1062" s="1" t="s">
        <v>63</v>
      </c>
      <c r="J1062" s="22" t="n">
        <v>1397080</v>
      </c>
      <c r="L1062" s="22" t="n">
        <v>66413</v>
      </c>
      <c r="M1062" s="1" t="s">
        <v>33</v>
      </c>
      <c r="N1062" s="1" t="s">
        <v>34</v>
      </c>
      <c r="P1062" s="22" t="n">
        <v>167</v>
      </c>
      <c r="Q1062" s="1" t="s">
        <v>220</v>
      </c>
      <c r="R1062" s="1" t="s">
        <v>36</v>
      </c>
      <c r="S1062" s="22" t="n">
        <v>1130101</v>
      </c>
      <c r="T1062" s="1" t="s">
        <v>37</v>
      </c>
      <c r="U1062" s="24" t="n">
        <v>614.98</v>
      </c>
      <c r="W1062" s="24" t="n">
        <v>0</v>
      </c>
      <c r="X1062" s="1" t="s">
        <v>1193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false" outlineLevel="0" collapsed="false">
      <c r="A1063" s="22" t="n">
        <v>3</v>
      </c>
      <c r="B1063" s="23" t="n">
        <v>46228</v>
      </c>
      <c r="C1063" s="23" t="n">
        <v>46258</v>
      </c>
      <c r="D1063" s="22" t="n">
        <v>1608</v>
      </c>
      <c r="E1063" s="1" t="s">
        <v>69</v>
      </c>
      <c r="F1063" s="22" t="n">
        <v>24</v>
      </c>
      <c r="G1063" s="1" t="s">
        <v>31</v>
      </c>
      <c r="H1063" s="22" t="n">
        <v>2110405</v>
      </c>
      <c r="I1063" s="1" t="s">
        <v>63</v>
      </c>
      <c r="J1063" s="22" t="n">
        <v>1458595</v>
      </c>
      <c r="L1063" s="22" t="n">
        <v>16998853</v>
      </c>
      <c r="M1063" s="1" t="s">
        <v>33</v>
      </c>
      <c r="N1063" s="1" t="s">
        <v>34</v>
      </c>
      <c r="P1063" s="22" t="n">
        <v>167</v>
      </c>
      <c r="Q1063" s="1" t="s">
        <v>220</v>
      </c>
      <c r="R1063" s="1" t="s">
        <v>36</v>
      </c>
      <c r="S1063" s="22" t="n">
        <v>1130101</v>
      </c>
      <c r="T1063" s="1" t="s">
        <v>37</v>
      </c>
      <c r="U1063" s="24" t="n">
        <v>418.68</v>
      </c>
      <c r="W1063" s="24" t="n">
        <v>0</v>
      </c>
      <c r="X1063" s="1" t="s">
        <v>1194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false" outlineLevel="0" collapsed="false">
      <c r="A1064" s="22" t="n">
        <v>3</v>
      </c>
      <c r="B1064" s="23" t="n">
        <v>46228</v>
      </c>
      <c r="C1064" s="23" t="n">
        <v>46258</v>
      </c>
      <c r="D1064" s="22" t="n">
        <v>1608</v>
      </c>
      <c r="E1064" s="1" t="s">
        <v>69</v>
      </c>
      <c r="F1064" s="22" t="n">
        <v>24</v>
      </c>
      <c r="G1064" s="1" t="s">
        <v>31</v>
      </c>
      <c r="H1064" s="22" t="n">
        <v>2110405</v>
      </c>
      <c r="I1064" s="1" t="s">
        <v>63</v>
      </c>
      <c r="J1064" s="22" t="n">
        <v>1468587</v>
      </c>
      <c r="L1064" s="22" t="n">
        <v>16995933</v>
      </c>
      <c r="M1064" s="1" t="s">
        <v>33</v>
      </c>
      <c r="N1064" s="1" t="s">
        <v>34</v>
      </c>
      <c r="P1064" s="22" t="n">
        <v>167</v>
      </c>
      <c r="Q1064" s="1" t="s">
        <v>220</v>
      </c>
      <c r="R1064" s="1" t="s">
        <v>36</v>
      </c>
      <c r="S1064" s="22" t="n">
        <v>1130101</v>
      </c>
      <c r="T1064" s="1" t="s">
        <v>37</v>
      </c>
      <c r="U1064" s="24" t="n">
        <v>903.47</v>
      </c>
      <c r="W1064" s="24" t="n">
        <v>0</v>
      </c>
      <c r="X1064" s="1" t="s">
        <v>1195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false" outlineLevel="0" collapsed="false">
      <c r="A1065" s="22" t="n">
        <v>3</v>
      </c>
      <c r="B1065" s="23" t="n">
        <v>46233</v>
      </c>
      <c r="C1065" s="23" t="n">
        <v>46258</v>
      </c>
      <c r="D1065" s="22" t="n">
        <v>1636</v>
      </c>
      <c r="E1065" s="1" t="s">
        <v>195</v>
      </c>
      <c r="F1065" s="22" t="n">
        <v>24</v>
      </c>
      <c r="G1065" s="1" t="s">
        <v>31</v>
      </c>
      <c r="H1065" s="22" t="n">
        <v>1110204</v>
      </c>
      <c r="I1065" s="1" t="s">
        <v>177</v>
      </c>
      <c r="J1065" s="22" t="n">
        <v>1495391</v>
      </c>
      <c r="L1065" s="22" t="n">
        <v>32292542</v>
      </c>
      <c r="M1065" s="1" t="s">
        <v>33</v>
      </c>
      <c r="N1065" s="1" t="s">
        <v>34</v>
      </c>
      <c r="P1065" s="22" t="n">
        <v>167</v>
      </c>
      <c r="Q1065" s="1" t="s">
        <v>220</v>
      </c>
      <c r="R1065" s="1" t="s">
        <v>36</v>
      </c>
      <c r="S1065" s="22" t="n">
        <v>1130101</v>
      </c>
      <c r="T1065" s="1" t="s">
        <v>37</v>
      </c>
      <c r="U1065" s="24" t="n">
        <v>949.63</v>
      </c>
      <c r="W1065" s="24" t="n">
        <v>0</v>
      </c>
      <c r="X1065" s="1" t="s">
        <v>1196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false" outlineLevel="0" collapsed="false">
      <c r="A1066" s="22" t="n">
        <v>3</v>
      </c>
      <c r="B1066" s="23" t="n">
        <v>46237</v>
      </c>
      <c r="C1066" s="23" t="n">
        <v>46258</v>
      </c>
      <c r="D1066" s="22" t="n">
        <v>846</v>
      </c>
      <c r="E1066" s="1" t="s">
        <v>1132</v>
      </c>
      <c r="F1066" s="22" t="n">
        <v>24</v>
      </c>
      <c r="G1066" s="1" t="s">
        <v>31</v>
      </c>
      <c r="H1066" s="22" t="n">
        <v>1110204</v>
      </c>
      <c r="I1066" s="1" t="s">
        <v>177</v>
      </c>
      <c r="J1066" s="22" t="n">
        <v>1498618</v>
      </c>
      <c r="L1066" s="22" t="n">
        <v>8462</v>
      </c>
      <c r="M1066" s="1" t="s">
        <v>33</v>
      </c>
      <c r="N1066" s="1" t="s">
        <v>34</v>
      </c>
      <c r="P1066" s="22" t="n">
        <v>167</v>
      </c>
      <c r="Q1066" s="1" t="s">
        <v>220</v>
      </c>
      <c r="R1066" s="1" t="s">
        <v>36</v>
      </c>
      <c r="S1066" s="22" t="n">
        <v>1130101</v>
      </c>
      <c r="T1066" s="1" t="s">
        <v>37</v>
      </c>
      <c r="U1066" s="24" t="n">
        <v>538.18</v>
      </c>
      <c r="W1066" s="24" t="n">
        <v>0</v>
      </c>
      <c r="X1066" s="1" t="s">
        <v>1197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false" outlineLevel="0" collapsed="false">
      <c r="A1067" s="22" t="n">
        <v>3</v>
      </c>
      <c r="B1067" s="23" t="n">
        <v>46239</v>
      </c>
      <c r="C1067" s="23" t="n">
        <v>46258</v>
      </c>
      <c r="D1067" s="22" t="n">
        <v>1613</v>
      </c>
      <c r="E1067" s="1" t="s">
        <v>209</v>
      </c>
      <c r="F1067" s="22" t="n">
        <v>24</v>
      </c>
      <c r="G1067" s="1" t="s">
        <v>31</v>
      </c>
      <c r="H1067" s="22" t="n">
        <v>2110405</v>
      </c>
      <c r="I1067" s="1" t="s">
        <v>63</v>
      </c>
      <c r="J1067" s="22" t="n">
        <v>1504637</v>
      </c>
      <c r="L1067" s="22" t="n">
        <v>16155703</v>
      </c>
      <c r="M1067" s="1" t="s">
        <v>33</v>
      </c>
      <c r="N1067" s="1" t="s">
        <v>34</v>
      </c>
      <c r="P1067" s="22" t="n">
        <v>167</v>
      </c>
      <c r="Q1067" s="1" t="s">
        <v>220</v>
      </c>
      <c r="R1067" s="1" t="s">
        <v>36</v>
      </c>
      <c r="S1067" s="22" t="n">
        <v>1130101</v>
      </c>
      <c r="T1067" s="1" t="s">
        <v>37</v>
      </c>
      <c r="U1067" s="24" t="n">
        <v>1173.86</v>
      </c>
      <c r="W1067" s="24" t="n">
        <v>0</v>
      </c>
      <c r="X1067" s="1" t="s">
        <v>1198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false" outlineLevel="0" collapsed="false">
      <c r="A1068" s="22" t="n">
        <v>3</v>
      </c>
      <c r="B1068" s="23" t="n">
        <v>46001</v>
      </c>
      <c r="C1068" s="23" t="n">
        <v>46259</v>
      </c>
      <c r="D1068" s="22" t="n">
        <v>1839</v>
      </c>
      <c r="E1068" s="1" t="s">
        <v>789</v>
      </c>
      <c r="F1068" s="22" t="n">
        <v>24</v>
      </c>
      <c r="G1068" s="1" t="s">
        <v>31</v>
      </c>
      <c r="H1068" s="22" t="n">
        <v>2110102</v>
      </c>
      <c r="I1068" s="1" t="s">
        <v>790</v>
      </c>
      <c r="J1068" s="22" t="n">
        <v>315650</v>
      </c>
      <c r="L1068" s="22" t="n">
        <v>86749</v>
      </c>
      <c r="M1068" s="1" t="s">
        <v>675</v>
      </c>
      <c r="N1068" s="1" t="s">
        <v>40</v>
      </c>
      <c r="P1068" s="22" t="n">
        <v>163</v>
      </c>
      <c r="Q1068" s="1" t="s">
        <v>60</v>
      </c>
      <c r="R1068" s="1" t="s">
        <v>64</v>
      </c>
      <c r="S1068" s="22" t="n">
        <v>4210204</v>
      </c>
      <c r="T1068" s="1" t="s">
        <v>791</v>
      </c>
      <c r="U1068" s="24" t="n">
        <v>47.99</v>
      </c>
      <c r="W1068" s="24" t="n">
        <v>0</v>
      </c>
      <c r="X1068" s="1" t="s">
        <v>1199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false" outlineLevel="0" collapsed="false">
      <c r="A1069" s="22" t="n">
        <v>3</v>
      </c>
      <c r="B1069" s="23" t="n">
        <v>45991</v>
      </c>
      <c r="C1069" s="23" t="n">
        <v>46259</v>
      </c>
      <c r="D1069" s="22" t="n">
        <v>10054</v>
      </c>
      <c r="E1069" s="1" t="s">
        <v>793</v>
      </c>
      <c r="F1069" s="22" t="n">
        <v>2</v>
      </c>
      <c r="G1069" s="1" t="s">
        <v>573</v>
      </c>
      <c r="H1069" s="22" t="n">
        <v>2110405</v>
      </c>
      <c r="I1069" s="1" t="s">
        <v>63</v>
      </c>
      <c r="J1069" s="22" t="n">
        <v>777941</v>
      </c>
      <c r="L1069" s="22" t="n">
        <v>123778</v>
      </c>
      <c r="M1069" s="1" t="s">
        <v>675</v>
      </c>
      <c r="N1069" s="1" t="s">
        <v>34</v>
      </c>
      <c r="P1069" s="22" t="n">
        <v>129</v>
      </c>
      <c r="Q1069" s="1" t="s">
        <v>60</v>
      </c>
      <c r="R1069" s="1" t="s">
        <v>64</v>
      </c>
      <c r="S1069" s="22" t="n">
        <v>4210227</v>
      </c>
      <c r="T1069" s="1" t="s">
        <v>65</v>
      </c>
      <c r="U1069" s="24" t="n">
        <v>55.2</v>
      </c>
      <c r="W1069" s="24" t="n">
        <v>0</v>
      </c>
      <c r="X1069" s="1" t="s">
        <v>794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false" outlineLevel="0" collapsed="false">
      <c r="A1070" s="22" t="n">
        <v>3</v>
      </c>
      <c r="B1070" s="23" t="n">
        <v>46157</v>
      </c>
      <c r="C1070" s="23" t="n">
        <v>46259</v>
      </c>
      <c r="D1070" s="22" t="n">
        <v>663</v>
      </c>
      <c r="E1070" s="1" t="s">
        <v>795</v>
      </c>
      <c r="F1070" s="22" t="n">
        <v>2</v>
      </c>
      <c r="G1070" s="1" t="s">
        <v>573</v>
      </c>
      <c r="H1070" s="22" t="n">
        <v>2110405</v>
      </c>
      <c r="I1070" s="1" t="s">
        <v>63</v>
      </c>
      <c r="J1070" s="22" t="n">
        <v>1107240</v>
      </c>
      <c r="L1070" s="22" t="n">
        <v>174074</v>
      </c>
      <c r="M1070" s="1" t="s">
        <v>33</v>
      </c>
      <c r="N1070" s="1" t="s">
        <v>34</v>
      </c>
      <c r="P1070" s="22" t="n">
        <v>128</v>
      </c>
      <c r="Q1070" s="1" t="s">
        <v>35</v>
      </c>
      <c r="R1070" s="1" t="s">
        <v>64</v>
      </c>
      <c r="S1070" s="22" t="n">
        <v>4210227</v>
      </c>
      <c r="T1070" s="1" t="s">
        <v>65</v>
      </c>
      <c r="U1070" s="24" t="n">
        <v>711.75</v>
      </c>
      <c r="W1070" s="24" t="n">
        <v>0</v>
      </c>
      <c r="X1070" s="1" t="s">
        <v>796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false" outlineLevel="0" collapsed="false">
      <c r="A1071" s="22" t="n">
        <v>3</v>
      </c>
      <c r="B1071" s="23" t="n">
        <v>46167</v>
      </c>
      <c r="C1071" s="23" t="n">
        <v>46259</v>
      </c>
      <c r="D1071" s="22" t="n">
        <v>974</v>
      </c>
      <c r="E1071" s="1" t="s">
        <v>797</v>
      </c>
      <c r="F1071" s="22" t="n">
        <v>2</v>
      </c>
      <c r="G1071" s="1" t="s">
        <v>573</v>
      </c>
      <c r="H1071" s="22" t="n">
        <v>2110405</v>
      </c>
      <c r="I1071" s="1" t="s">
        <v>63</v>
      </c>
      <c r="J1071" s="22" t="n">
        <v>1155863</v>
      </c>
      <c r="L1071" s="22" t="n">
        <v>181376</v>
      </c>
      <c r="M1071" s="1" t="s">
        <v>33</v>
      </c>
      <c r="N1071" s="1" t="s">
        <v>34</v>
      </c>
      <c r="P1071" s="22" t="n">
        <v>128</v>
      </c>
      <c r="Q1071" s="1" t="s">
        <v>35</v>
      </c>
      <c r="R1071" s="1" t="s">
        <v>36</v>
      </c>
      <c r="S1071" s="22" t="n">
        <v>1130101</v>
      </c>
      <c r="T1071" s="1" t="s">
        <v>37</v>
      </c>
      <c r="U1071" s="24" t="n">
        <v>309.75</v>
      </c>
      <c r="W1071" s="24" t="n">
        <v>0</v>
      </c>
      <c r="X1071" s="1" t="s">
        <v>1200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false" outlineLevel="0" collapsed="false">
      <c r="A1072" s="22" t="n">
        <v>3</v>
      </c>
      <c r="B1072" s="23" t="n">
        <v>46168</v>
      </c>
      <c r="C1072" s="23" t="n">
        <v>46259</v>
      </c>
      <c r="D1072" s="22" t="n">
        <v>875</v>
      </c>
      <c r="E1072" s="1" t="s">
        <v>799</v>
      </c>
      <c r="F1072" s="22" t="n">
        <v>2</v>
      </c>
      <c r="G1072" s="1" t="s">
        <v>573</v>
      </c>
      <c r="H1072" s="22" t="n">
        <v>2110405</v>
      </c>
      <c r="I1072" s="1" t="s">
        <v>63</v>
      </c>
      <c r="J1072" s="22" t="n">
        <v>1166142</v>
      </c>
      <c r="L1072" s="22" t="n">
        <v>182793</v>
      </c>
      <c r="M1072" s="1" t="s">
        <v>33</v>
      </c>
      <c r="N1072" s="1" t="s">
        <v>34</v>
      </c>
      <c r="P1072" s="22" t="n">
        <v>128</v>
      </c>
      <c r="Q1072" s="1" t="s">
        <v>35</v>
      </c>
      <c r="R1072" s="1" t="s">
        <v>36</v>
      </c>
      <c r="S1072" s="22" t="n">
        <v>1130101</v>
      </c>
      <c r="T1072" s="1" t="s">
        <v>37</v>
      </c>
      <c r="U1072" s="24" t="n">
        <v>1633.2</v>
      </c>
      <c r="W1072" s="24" t="n">
        <v>0</v>
      </c>
      <c r="X1072" s="1" t="s">
        <v>1201</v>
      </c>
      <c r="Z1072" s="1" t="str">
        <f aca="false">IF($T1072="","",IFERROR(INDEX('Resumo Grupos'!$AC$3:$AC$200,MATCH($T1072,'Resumo Grupos'!$AB$3:$AB$200,0)),"n/d"))</f>
        <v>Mercadoria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false" outlineLevel="0" collapsed="false">
      <c r="A1073" s="22" t="n">
        <v>3</v>
      </c>
      <c r="B1073" s="23" t="n">
        <v>46203</v>
      </c>
      <c r="C1073" s="23" t="n">
        <v>46259</v>
      </c>
      <c r="D1073" s="22" t="n">
        <v>489</v>
      </c>
      <c r="E1073" s="1" t="s">
        <v>393</v>
      </c>
      <c r="F1073" s="22" t="n">
        <v>2</v>
      </c>
      <c r="G1073" s="1" t="s">
        <v>573</v>
      </c>
      <c r="H1073" s="22" t="n">
        <v>2110405</v>
      </c>
      <c r="I1073" s="1" t="s">
        <v>63</v>
      </c>
      <c r="J1073" s="22" t="n">
        <v>1334126</v>
      </c>
      <c r="L1073" s="22" t="n">
        <v>208374</v>
      </c>
      <c r="M1073" s="1" t="s">
        <v>33</v>
      </c>
      <c r="N1073" s="1" t="s">
        <v>34</v>
      </c>
      <c r="P1073" s="22" t="n">
        <v>167</v>
      </c>
      <c r="Q1073" s="1" t="s">
        <v>220</v>
      </c>
      <c r="R1073" s="1" t="s">
        <v>36</v>
      </c>
      <c r="S1073" s="22" t="n">
        <v>1130101</v>
      </c>
      <c r="T1073" s="1" t="s">
        <v>37</v>
      </c>
      <c r="U1073" s="24" t="n">
        <v>101.12</v>
      </c>
      <c r="W1073" s="24" t="n">
        <v>0</v>
      </c>
      <c r="X1073" s="1" t="s">
        <v>1202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false" outlineLevel="0" collapsed="false">
      <c r="A1074" s="22" t="n">
        <v>3</v>
      </c>
      <c r="B1074" s="23" t="n">
        <v>46227</v>
      </c>
      <c r="C1074" s="23" t="n">
        <v>46259</v>
      </c>
      <c r="D1074" s="22" t="n">
        <v>1713</v>
      </c>
      <c r="E1074" s="1" t="s">
        <v>1203</v>
      </c>
      <c r="F1074" s="22" t="n">
        <v>59</v>
      </c>
      <c r="G1074" s="1" t="s">
        <v>817</v>
      </c>
      <c r="H1074" s="22" t="n">
        <v>2110405</v>
      </c>
      <c r="I1074" s="1" t="s">
        <v>63</v>
      </c>
      <c r="J1074" s="22" t="n">
        <v>1448483</v>
      </c>
      <c r="L1074" s="22" t="n">
        <v>13720</v>
      </c>
      <c r="M1074" s="1" t="s">
        <v>33</v>
      </c>
      <c r="N1074" s="1" t="s">
        <v>34</v>
      </c>
      <c r="P1074" s="22" t="n">
        <v>167</v>
      </c>
      <c r="Q1074" s="1" t="s">
        <v>220</v>
      </c>
      <c r="R1074" s="1" t="s">
        <v>64</v>
      </c>
      <c r="S1074" s="22" t="n">
        <v>4210227</v>
      </c>
      <c r="T1074" s="1" t="s">
        <v>65</v>
      </c>
      <c r="U1074" s="24" t="n">
        <v>51</v>
      </c>
      <c r="W1074" s="24" t="n">
        <v>0</v>
      </c>
      <c r="X1074" s="1" t="s">
        <v>1204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false" outlineLevel="0" collapsed="false">
      <c r="A1075" s="22" t="n">
        <v>3</v>
      </c>
      <c r="B1075" s="23" t="n">
        <v>46226</v>
      </c>
      <c r="C1075" s="23" t="n">
        <v>46259</v>
      </c>
      <c r="D1075" s="22" t="n">
        <v>1713</v>
      </c>
      <c r="E1075" s="1" t="s">
        <v>1203</v>
      </c>
      <c r="F1075" s="22" t="n">
        <v>59</v>
      </c>
      <c r="G1075" s="1" t="s">
        <v>817</v>
      </c>
      <c r="H1075" s="22" t="n">
        <v>2110405</v>
      </c>
      <c r="I1075" s="1" t="s">
        <v>63</v>
      </c>
      <c r="J1075" s="22" t="n">
        <v>1448520</v>
      </c>
      <c r="L1075" s="22" t="n">
        <v>225450</v>
      </c>
      <c r="M1075" s="1" t="s">
        <v>33</v>
      </c>
      <c r="N1075" s="1" t="s">
        <v>34</v>
      </c>
      <c r="P1075" s="22" t="n">
        <v>167</v>
      </c>
      <c r="Q1075" s="1" t="s">
        <v>220</v>
      </c>
      <c r="R1075" s="1" t="s">
        <v>64</v>
      </c>
      <c r="S1075" s="22" t="n">
        <v>4210227</v>
      </c>
      <c r="T1075" s="1" t="s">
        <v>65</v>
      </c>
      <c r="U1075" s="24" t="n">
        <v>66</v>
      </c>
      <c r="W1075" s="24" t="n">
        <v>0</v>
      </c>
      <c r="X1075" s="1" t="s">
        <v>1205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false" outlineLevel="0" collapsed="false">
      <c r="A1076" s="22" t="n">
        <v>3</v>
      </c>
      <c r="B1076" s="23" t="n">
        <v>46231</v>
      </c>
      <c r="C1076" s="23" t="n">
        <v>46259</v>
      </c>
      <c r="D1076" s="22" t="n">
        <v>928</v>
      </c>
      <c r="E1076" s="1" t="s">
        <v>822</v>
      </c>
      <c r="F1076" s="22" t="n">
        <v>24</v>
      </c>
      <c r="G1076" s="1" t="s">
        <v>31</v>
      </c>
      <c r="H1076" s="22" t="n">
        <v>1110204</v>
      </c>
      <c r="I1076" s="1" t="s">
        <v>177</v>
      </c>
      <c r="J1076" s="22" t="n">
        <v>1464994</v>
      </c>
      <c r="L1076" s="22" t="n">
        <v>227912</v>
      </c>
      <c r="M1076" s="1" t="s">
        <v>33</v>
      </c>
      <c r="N1076" s="1" t="s">
        <v>34</v>
      </c>
      <c r="P1076" s="22" t="n">
        <v>101</v>
      </c>
      <c r="Q1076" s="1" t="s">
        <v>136</v>
      </c>
      <c r="R1076" s="1" t="s">
        <v>137</v>
      </c>
      <c r="S1076" s="22" t="n">
        <v>421033</v>
      </c>
      <c r="T1076" s="1" t="s">
        <v>823</v>
      </c>
      <c r="U1076" s="24" t="n">
        <v>299.9</v>
      </c>
      <c r="W1076" s="24" t="n">
        <v>0</v>
      </c>
      <c r="X1076" s="1" t="s">
        <v>1206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false" outlineLevel="0" collapsed="false">
      <c r="A1077" s="22" t="n">
        <v>3</v>
      </c>
      <c r="B1077" s="23" t="n">
        <v>46205</v>
      </c>
      <c r="C1077" s="23" t="n">
        <v>46259</v>
      </c>
      <c r="D1077" s="22" t="n">
        <v>663</v>
      </c>
      <c r="E1077" s="1" t="s">
        <v>795</v>
      </c>
      <c r="F1077" s="22" t="n">
        <v>59</v>
      </c>
      <c r="G1077" s="1" t="s">
        <v>817</v>
      </c>
      <c r="H1077" s="22" t="n">
        <v>1110204</v>
      </c>
      <c r="I1077" s="1" t="s">
        <v>177</v>
      </c>
      <c r="J1077" s="22" t="n">
        <v>1465232</v>
      </c>
      <c r="L1077" s="22" t="n">
        <v>227948</v>
      </c>
      <c r="M1077" s="1" t="s">
        <v>33</v>
      </c>
      <c r="N1077" s="1" t="s">
        <v>34</v>
      </c>
      <c r="P1077" s="22" t="n">
        <v>167</v>
      </c>
      <c r="Q1077" s="1" t="s">
        <v>220</v>
      </c>
      <c r="R1077" s="1" t="s">
        <v>64</v>
      </c>
      <c r="S1077" s="22" t="n">
        <v>4210227</v>
      </c>
      <c r="T1077" s="1" t="s">
        <v>65</v>
      </c>
      <c r="U1077" s="24" t="n">
        <v>93.33</v>
      </c>
      <c r="W1077" s="24" t="n">
        <v>0</v>
      </c>
      <c r="X1077" s="1" t="s">
        <v>1207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false" outlineLevel="0" collapsed="false">
      <c r="A1078" s="22" t="n">
        <v>3</v>
      </c>
      <c r="B1078" s="23" t="n">
        <v>46231</v>
      </c>
      <c r="C1078" s="23" t="n">
        <v>46259</v>
      </c>
      <c r="D1078" s="22" t="n">
        <v>1740</v>
      </c>
      <c r="E1078" s="1" t="s">
        <v>273</v>
      </c>
      <c r="F1078" s="22" t="n">
        <v>24</v>
      </c>
      <c r="G1078" s="1" t="s">
        <v>31</v>
      </c>
      <c r="H1078" s="22" t="n">
        <v>1110204</v>
      </c>
      <c r="I1078" s="1" t="s">
        <v>177</v>
      </c>
      <c r="J1078" s="22" t="n">
        <v>1468609</v>
      </c>
      <c r="L1078" s="22" t="n">
        <v>12522443</v>
      </c>
      <c r="M1078" s="1" t="s">
        <v>33</v>
      </c>
      <c r="N1078" s="1" t="s">
        <v>34</v>
      </c>
      <c r="P1078" s="22" t="n">
        <v>167</v>
      </c>
      <c r="Q1078" s="1" t="s">
        <v>220</v>
      </c>
      <c r="R1078" s="1" t="s">
        <v>36</v>
      </c>
      <c r="S1078" s="22" t="n">
        <v>1130101</v>
      </c>
      <c r="T1078" s="1" t="s">
        <v>37</v>
      </c>
      <c r="U1078" s="24" t="n">
        <v>676.45</v>
      </c>
      <c r="W1078" s="24" t="n">
        <v>0</v>
      </c>
      <c r="X1078" s="1" t="s">
        <v>1208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false" outlineLevel="0" collapsed="false">
      <c r="A1079" s="22" t="n">
        <v>3</v>
      </c>
      <c r="B1079" s="23" t="n">
        <v>46231</v>
      </c>
      <c r="C1079" s="23" t="n">
        <v>46259</v>
      </c>
      <c r="D1079" s="22" t="n">
        <v>875</v>
      </c>
      <c r="E1079" s="1" t="s">
        <v>799</v>
      </c>
      <c r="F1079" s="22" t="n">
        <v>59</v>
      </c>
      <c r="G1079" s="1" t="s">
        <v>817</v>
      </c>
      <c r="H1079" s="22" t="n">
        <v>1110204</v>
      </c>
      <c r="I1079" s="1" t="s">
        <v>177</v>
      </c>
      <c r="J1079" s="22" t="n">
        <v>1472834</v>
      </c>
      <c r="L1079" s="22" t="n">
        <v>18871</v>
      </c>
      <c r="M1079" s="1" t="s">
        <v>33</v>
      </c>
      <c r="N1079" s="1" t="s">
        <v>34</v>
      </c>
      <c r="P1079" s="22" t="n">
        <v>167</v>
      </c>
      <c r="Q1079" s="1" t="s">
        <v>220</v>
      </c>
      <c r="R1079" s="1" t="s">
        <v>36</v>
      </c>
      <c r="S1079" s="22" t="n">
        <v>1130101</v>
      </c>
      <c r="T1079" s="1" t="s">
        <v>37</v>
      </c>
      <c r="U1079" s="24" t="n">
        <v>1615.17</v>
      </c>
      <c r="W1079" s="24" t="n">
        <v>0</v>
      </c>
      <c r="X1079" s="1" t="s">
        <v>1209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false" outlineLevel="0" collapsed="false">
      <c r="A1080" s="22" t="n">
        <v>3</v>
      </c>
      <c r="B1080" s="23" t="n">
        <v>46233</v>
      </c>
      <c r="C1080" s="23" t="n">
        <v>46259</v>
      </c>
      <c r="D1080" s="22" t="n">
        <v>1895</v>
      </c>
      <c r="E1080" s="1" t="s">
        <v>276</v>
      </c>
      <c r="F1080" s="22" t="n">
        <v>59</v>
      </c>
      <c r="G1080" s="1" t="s">
        <v>817</v>
      </c>
      <c r="H1080" s="22" t="n">
        <v>1110204</v>
      </c>
      <c r="I1080" s="1" t="s">
        <v>177</v>
      </c>
      <c r="J1080" s="22" t="n">
        <v>1474066</v>
      </c>
      <c r="L1080" s="22" t="n">
        <v>229268</v>
      </c>
      <c r="M1080" s="1" t="s">
        <v>33</v>
      </c>
      <c r="N1080" s="1" t="s">
        <v>34</v>
      </c>
      <c r="P1080" s="22" t="n">
        <v>167</v>
      </c>
      <c r="Q1080" s="1" t="s">
        <v>220</v>
      </c>
      <c r="R1080" s="1" t="s">
        <v>64</v>
      </c>
      <c r="S1080" s="22" t="n">
        <v>4210299</v>
      </c>
      <c r="T1080" s="1" t="s">
        <v>615</v>
      </c>
      <c r="U1080" s="24" t="n">
        <v>271.84</v>
      </c>
      <c r="W1080" s="24" t="n">
        <v>0</v>
      </c>
      <c r="X1080" s="1" t="s">
        <v>1210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false" outlineLevel="0" collapsed="false">
      <c r="A1081" s="22" t="n">
        <v>3</v>
      </c>
      <c r="B1081" s="23" t="n">
        <v>46237</v>
      </c>
      <c r="C1081" s="23" t="n">
        <v>46259</v>
      </c>
      <c r="D1081" s="22" t="n">
        <v>10101</v>
      </c>
      <c r="E1081" s="1" t="s">
        <v>1211</v>
      </c>
      <c r="F1081" s="22" t="n">
        <v>59</v>
      </c>
      <c r="G1081" s="1" t="s">
        <v>817</v>
      </c>
      <c r="H1081" s="22" t="n">
        <v>1110204</v>
      </c>
      <c r="I1081" s="1" t="s">
        <v>177</v>
      </c>
      <c r="J1081" s="22" t="n">
        <v>1498488</v>
      </c>
      <c r="L1081" s="22" t="n">
        <v>232737</v>
      </c>
      <c r="M1081" s="1" t="s">
        <v>33</v>
      </c>
      <c r="N1081" s="1" t="s">
        <v>34</v>
      </c>
      <c r="P1081" s="22" t="n">
        <v>167</v>
      </c>
      <c r="Q1081" s="1" t="s">
        <v>220</v>
      </c>
      <c r="R1081" s="1" t="s">
        <v>64</v>
      </c>
      <c r="S1081" s="22" t="n">
        <v>4210227</v>
      </c>
      <c r="T1081" s="1" t="s">
        <v>65</v>
      </c>
      <c r="U1081" s="24" t="n">
        <v>256.8</v>
      </c>
      <c r="W1081" s="24" t="n">
        <v>0</v>
      </c>
      <c r="X1081" s="1" t="s">
        <v>1212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false" outlineLevel="0" collapsed="false">
      <c r="A1082" s="22" t="n">
        <v>3</v>
      </c>
      <c r="B1082" s="23" t="n">
        <v>46238</v>
      </c>
      <c r="C1082" s="23" t="n">
        <v>46259</v>
      </c>
      <c r="D1082" s="22" t="n">
        <v>1656</v>
      </c>
      <c r="E1082" s="1" t="s">
        <v>330</v>
      </c>
      <c r="F1082" s="22" t="n">
        <v>24</v>
      </c>
      <c r="G1082" s="1" t="s">
        <v>31</v>
      </c>
      <c r="H1082" s="22" t="n">
        <v>1110204</v>
      </c>
      <c r="I1082" s="1" t="s">
        <v>177</v>
      </c>
      <c r="J1082" s="22" t="n">
        <v>1499223</v>
      </c>
      <c r="L1082" s="22" t="n">
        <v>2245512</v>
      </c>
      <c r="M1082" s="1" t="s">
        <v>33</v>
      </c>
      <c r="N1082" s="1" t="s">
        <v>34</v>
      </c>
      <c r="P1082" s="22" t="n">
        <v>167</v>
      </c>
      <c r="Q1082" s="1" t="s">
        <v>220</v>
      </c>
      <c r="R1082" s="1" t="s">
        <v>36</v>
      </c>
      <c r="S1082" s="22" t="n">
        <v>1130101</v>
      </c>
      <c r="T1082" s="1" t="s">
        <v>37</v>
      </c>
      <c r="U1082" s="24" t="n">
        <v>358.74</v>
      </c>
      <c r="W1082" s="24" t="n">
        <v>0</v>
      </c>
      <c r="X1082" s="1" t="s">
        <v>1213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false" outlineLevel="0" collapsed="false">
      <c r="A1083" s="22" t="n">
        <v>3</v>
      </c>
      <c r="B1083" s="23" t="n">
        <v>46238</v>
      </c>
      <c r="C1083" s="23" t="n">
        <v>46259</v>
      </c>
      <c r="D1083" s="22" t="n">
        <v>1185</v>
      </c>
      <c r="E1083" s="1" t="s">
        <v>527</v>
      </c>
      <c r="F1083" s="22" t="n">
        <v>24</v>
      </c>
      <c r="G1083" s="1" t="s">
        <v>31</v>
      </c>
      <c r="H1083" s="22" t="n">
        <v>1110204</v>
      </c>
      <c r="I1083" s="1" t="s">
        <v>177</v>
      </c>
      <c r="J1083" s="22" t="n">
        <v>1500196</v>
      </c>
      <c r="L1083" s="22" t="n">
        <v>3932</v>
      </c>
      <c r="M1083" s="1" t="s">
        <v>33</v>
      </c>
      <c r="N1083" s="1" t="s">
        <v>34</v>
      </c>
      <c r="P1083" s="22" t="n">
        <v>167</v>
      </c>
      <c r="Q1083" s="1" t="s">
        <v>220</v>
      </c>
      <c r="R1083" s="1" t="s">
        <v>36</v>
      </c>
      <c r="S1083" s="22" t="n">
        <v>1130101</v>
      </c>
      <c r="T1083" s="1" t="s">
        <v>37</v>
      </c>
      <c r="U1083" s="24" t="n">
        <v>768</v>
      </c>
      <c r="W1083" s="24" t="n">
        <v>0</v>
      </c>
      <c r="X1083" s="1" t="s">
        <v>1214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false" outlineLevel="0" collapsed="false">
      <c r="A1084" s="22" t="n">
        <v>3</v>
      </c>
      <c r="B1084" s="23" t="n">
        <v>46238</v>
      </c>
      <c r="C1084" s="23" t="n">
        <v>46259</v>
      </c>
      <c r="D1084" s="22" t="n">
        <v>1701</v>
      </c>
      <c r="E1084" s="1" t="s">
        <v>831</v>
      </c>
      <c r="F1084" s="22" t="n">
        <v>24</v>
      </c>
      <c r="G1084" s="1" t="s">
        <v>31</v>
      </c>
      <c r="H1084" s="22" t="n">
        <v>1110204</v>
      </c>
      <c r="I1084" s="1" t="s">
        <v>177</v>
      </c>
      <c r="J1084" s="22" t="n">
        <v>1504092</v>
      </c>
      <c r="L1084" s="22" t="n">
        <v>143793</v>
      </c>
      <c r="M1084" s="1" t="s">
        <v>33</v>
      </c>
      <c r="N1084" s="1" t="s">
        <v>34</v>
      </c>
      <c r="P1084" s="22" t="n">
        <v>167</v>
      </c>
      <c r="Q1084" s="1" t="s">
        <v>220</v>
      </c>
      <c r="R1084" s="1" t="s">
        <v>36</v>
      </c>
      <c r="S1084" s="22" t="n">
        <v>1130101</v>
      </c>
      <c r="T1084" s="1" t="s">
        <v>37</v>
      </c>
      <c r="U1084" s="24" t="n">
        <v>432.97</v>
      </c>
      <c r="W1084" s="24" t="n">
        <v>0</v>
      </c>
      <c r="X1084" s="1" t="s">
        <v>1215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false" outlineLevel="0" collapsed="false">
      <c r="A1085" s="22" t="n">
        <v>3</v>
      </c>
      <c r="B1085" s="23" t="n">
        <v>46238</v>
      </c>
      <c r="C1085" s="23" t="n">
        <v>46259</v>
      </c>
      <c r="D1085" s="22" t="n">
        <v>1745</v>
      </c>
      <c r="E1085" s="1" t="s">
        <v>184</v>
      </c>
      <c r="F1085" s="22" t="n">
        <v>24</v>
      </c>
      <c r="G1085" s="1" t="s">
        <v>31</v>
      </c>
      <c r="H1085" s="22" t="n">
        <v>2110405</v>
      </c>
      <c r="I1085" s="1" t="s">
        <v>63</v>
      </c>
      <c r="J1085" s="22" t="n">
        <v>1504231</v>
      </c>
      <c r="L1085" s="22" t="n">
        <v>3560052</v>
      </c>
      <c r="M1085" s="1" t="s">
        <v>33</v>
      </c>
      <c r="N1085" s="1" t="s">
        <v>34</v>
      </c>
      <c r="P1085" s="22" t="n">
        <v>167</v>
      </c>
      <c r="Q1085" s="1" t="s">
        <v>220</v>
      </c>
      <c r="R1085" s="1" t="s">
        <v>36</v>
      </c>
      <c r="S1085" s="22" t="n">
        <v>1130101</v>
      </c>
      <c r="T1085" s="1" t="s">
        <v>37</v>
      </c>
      <c r="U1085" s="24" t="n">
        <v>590.43</v>
      </c>
      <c r="W1085" s="24" t="n">
        <v>0</v>
      </c>
      <c r="X1085" s="1" t="s">
        <v>1216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false" outlineLevel="0" collapsed="false">
      <c r="A1086" s="22" t="n">
        <v>3</v>
      </c>
      <c r="B1086" s="23" t="n">
        <v>46238</v>
      </c>
      <c r="C1086" s="23" t="n">
        <v>46259</v>
      </c>
      <c r="D1086" s="22" t="n">
        <v>1668</v>
      </c>
      <c r="E1086" s="1" t="s">
        <v>276</v>
      </c>
      <c r="F1086" s="22" t="n">
        <v>24</v>
      </c>
      <c r="G1086" s="1" t="s">
        <v>31</v>
      </c>
      <c r="H1086" s="22" t="n">
        <v>1110204</v>
      </c>
      <c r="I1086" s="1" t="s">
        <v>177</v>
      </c>
      <c r="J1086" s="22" t="n">
        <v>1504245</v>
      </c>
      <c r="L1086" s="22" t="n">
        <v>7455922</v>
      </c>
      <c r="M1086" s="1" t="s">
        <v>33</v>
      </c>
      <c r="N1086" s="1" t="s">
        <v>34</v>
      </c>
      <c r="P1086" s="22" t="n">
        <v>167</v>
      </c>
      <c r="Q1086" s="1" t="s">
        <v>220</v>
      </c>
      <c r="R1086" s="1" t="s">
        <v>36</v>
      </c>
      <c r="S1086" s="22" t="n">
        <v>1130101</v>
      </c>
      <c r="T1086" s="1" t="s">
        <v>37</v>
      </c>
      <c r="U1086" s="24" t="n">
        <v>1242.27</v>
      </c>
      <c r="W1086" s="24" t="n">
        <v>0</v>
      </c>
      <c r="X1086" s="1" t="s">
        <v>1217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false" outlineLevel="0" collapsed="false">
      <c r="A1087" s="22" t="n">
        <v>3</v>
      </c>
      <c r="B1087" s="23" t="n">
        <v>46238</v>
      </c>
      <c r="C1087" s="23" t="n">
        <v>46259</v>
      </c>
      <c r="D1087" s="22" t="n">
        <v>1734</v>
      </c>
      <c r="E1087" s="1" t="s">
        <v>214</v>
      </c>
      <c r="F1087" s="22" t="n">
        <v>24</v>
      </c>
      <c r="G1087" s="1" t="s">
        <v>31</v>
      </c>
      <c r="H1087" s="22" t="n">
        <v>2110405</v>
      </c>
      <c r="I1087" s="1" t="s">
        <v>63</v>
      </c>
      <c r="J1087" s="22" t="n">
        <v>1504823</v>
      </c>
      <c r="L1087" s="22" t="n">
        <v>2570042</v>
      </c>
      <c r="M1087" s="1" t="s">
        <v>33</v>
      </c>
      <c r="N1087" s="1" t="s">
        <v>34</v>
      </c>
      <c r="P1087" s="22" t="n">
        <v>167</v>
      </c>
      <c r="Q1087" s="1" t="s">
        <v>220</v>
      </c>
      <c r="R1087" s="1" t="s">
        <v>36</v>
      </c>
      <c r="S1087" s="22" t="n">
        <v>1130101</v>
      </c>
      <c r="T1087" s="1" t="s">
        <v>37</v>
      </c>
      <c r="U1087" s="24" t="n">
        <v>497.23</v>
      </c>
      <c r="W1087" s="24" t="n">
        <v>0</v>
      </c>
      <c r="X1087" s="1" t="s">
        <v>1218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false" outlineLevel="0" collapsed="false">
      <c r="A1088" s="22" t="n">
        <v>3</v>
      </c>
      <c r="B1088" s="23" t="n">
        <v>46232</v>
      </c>
      <c r="C1088" s="23" t="n">
        <v>46260</v>
      </c>
      <c r="D1088" s="22" t="n">
        <v>794</v>
      </c>
      <c r="E1088" s="1" t="s">
        <v>74</v>
      </c>
      <c r="F1088" s="22" t="n">
        <v>24</v>
      </c>
      <c r="G1088" s="1" t="s">
        <v>31</v>
      </c>
      <c r="H1088" s="22" t="n">
        <v>1110204</v>
      </c>
      <c r="I1088" s="1" t="s">
        <v>177</v>
      </c>
      <c r="J1088" s="22" t="n">
        <v>1473092</v>
      </c>
      <c r="L1088" s="22" t="n">
        <v>55993</v>
      </c>
      <c r="M1088" s="1" t="s">
        <v>33</v>
      </c>
      <c r="N1088" s="1" t="s">
        <v>34</v>
      </c>
      <c r="P1088" s="22" t="n">
        <v>167</v>
      </c>
      <c r="Q1088" s="1" t="s">
        <v>220</v>
      </c>
      <c r="R1088" s="1" t="s">
        <v>64</v>
      </c>
      <c r="S1088" s="22" t="n">
        <v>4210299</v>
      </c>
      <c r="T1088" s="1" t="s">
        <v>615</v>
      </c>
      <c r="U1088" s="24" t="n">
        <v>648.14</v>
      </c>
      <c r="W1088" s="24" t="n">
        <v>0</v>
      </c>
      <c r="X1088" s="1" t="s">
        <v>1219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false" outlineLevel="0" collapsed="false">
      <c r="A1089" s="22" t="n">
        <v>3</v>
      </c>
      <c r="B1089" s="23" t="n">
        <v>46237</v>
      </c>
      <c r="C1089" s="23" t="n">
        <v>46260</v>
      </c>
      <c r="D1089" s="22" t="n">
        <v>1708</v>
      </c>
      <c r="E1089" s="1" t="s">
        <v>1154</v>
      </c>
      <c r="F1089" s="22" t="n">
        <v>24</v>
      </c>
      <c r="G1089" s="1" t="s">
        <v>31</v>
      </c>
      <c r="H1089" s="22" t="n">
        <v>1110204</v>
      </c>
      <c r="I1089" s="1" t="s">
        <v>177</v>
      </c>
      <c r="J1089" s="22" t="n">
        <v>1500068</v>
      </c>
      <c r="L1089" s="22" t="n">
        <v>2646962</v>
      </c>
      <c r="M1089" s="1" t="s">
        <v>33</v>
      </c>
      <c r="N1089" s="1" t="s">
        <v>34</v>
      </c>
      <c r="P1089" s="22" t="n">
        <v>167</v>
      </c>
      <c r="Q1089" s="1" t="s">
        <v>220</v>
      </c>
      <c r="R1089" s="1" t="s">
        <v>36</v>
      </c>
      <c r="S1089" s="22" t="n">
        <v>1130101</v>
      </c>
      <c r="T1089" s="1" t="s">
        <v>37</v>
      </c>
      <c r="U1089" s="24" t="n">
        <v>260.45</v>
      </c>
      <c r="W1089" s="24" t="n">
        <v>0</v>
      </c>
      <c r="X1089" s="1" t="s">
        <v>1220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false" outlineLevel="0" collapsed="false">
      <c r="A1090" s="22" t="n">
        <v>3</v>
      </c>
      <c r="B1090" s="23" t="n">
        <v>46239</v>
      </c>
      <c r="C1090" s="23" t="n">
        <v>46260</v>
      </c>
      <c r="D1090" s="22" t="n">
        <v>1740</v>
      </c>
      <c r="E1090" s="1" t="s">
        <v>273</v>
      </c>
      <c r="F1090" s="22" t="n">
        <v>24</v>
      </c>
      <c r="G1090" s="1" t="s">
        <v>31</v>
      </c>
      <c r="H1090" s="22" t="n">
        <v>2110405</v>
      </c>
      <c r="I1090" s="1" t="s">
        <v>63</v>
      </c>
      <c r="J1090" s="22" t="n">
        <v>1504741</v>
      </c>
      <c r="L1090" s="22" t="n">
        <v>12556062</v>
      </c>
      <c r="M1090" s="1" t="s">
        <v>33</v>
      </c>
      <c r="N1090" s="1" t="s">
        <v>34</v>
      </c>
      <c r="P1090" s="22" t="n">
        <v>167</v>
      </c>
      <c r="Q1090" s="1" t="s">
        <v>220</v>
      </c>
      <c r="R1090" s="1" t="s">
        <v>36</v>
      </c>
      <c r="S1090" s="22" t="n">
        <v>1130101</v>
      </c>
      <c r="T1090" s="1" t="s">
        <v>37</v>
      </c>
      <c r="U1090" s="24" t="n">
        <v>771.86</v>
      </c>
      <c r="W1090" s="24" t="n">
        <v>0</v>
      </c>
      <c r="X1090" s="1" t="s">
        <v>1221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false" outlineLevel="0" collapsed="false">
      <c r="A1091" s="22" t="n">
        <v>3</v>
      </c>
      <c r="B1091" s="23" t="n">
        <v>46230</v>
      </c>
      <c r="C1091" s="23" t="n">
        <v>46261</v>
      </c>
      <c r="D1091" s="22" t="n">
        <v>1715</v>
      </c>
      <c r="E1091" s="1" t="s">
        <v>78</v>
      </c>
      <c r="F1091" s="22" t="n">
        <v>24</v>
      </c>
      <c r="G1091" s="1" t="s">
        <v>31</v>
      </c>
      <c r="H1091" s="22" t="n">
        <v>1110204</v>
      </c>
      <c r="I1091" s="1" t="s">
        <v>177</v>
      </c>
      <c r="J1091" s="22" t="n">
        <v>1458654</v>
      </c>
      <c r="L1091" s="22" t="n">
        <v>1934022</v>
      </c>
      <c r="M1091" s="1" t="s">
        <v>33</v>
      </c>
      <c r="N1091" s="1" t="s">
        <v>34</v>
      </c>
      <c r="P1091" s="22" t="n">
        <v>167</v>
      </c>
      <c r="Q1091" s="1" t="s">
        <v>220</v>
      </c>
      <c r="R1091" s="1" t="s">
        <v>36</v>
      </c>
      <c r="S1091" s="22" t="n">
        <v>1130101</v>
      </c>
      <c r="T1091" s="1" t="s">
        <v>37</v>
      </c>
      <c r="U1091" s="24" t="n">
        <v>172.25</v>
      </c>
      <c r="W1091" s="24" t="n">
        <v>0</v>
      </c>
      <c r="X1091" s="1" t="s">
        <v>1222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false" outlineLevel="0" collapsed="false">
      <c r="A1092" s="22" t="n">
        <v>3</v>
      </c>
      <c r="B1092" s="23" t="n">
        <v>46232</v>
      </c>
      <c r="C1092" s="23" t="n">
        <v>46261</v>
      </c>
      <c r="D1092" s="22" t="n">
        <v>1718</v>
      </c>
      <c r="E1092" s="1" t="s">
        <v>67</v>
      </c>
      <c r="F1092" s="22" t="n">
        <v>24</v>
      </c>
      <c r="G1092" s="1" t="s">
        <v>31</v>
      </c>
      <c r="H1092" s="22" t="n">
        <v>1110204</v>
      </c>
      <c r="I1092" s="1" t="s">
        <v>177</v>
      </c>
      <c r="J1092" s="22" t="n">
        <v>1473787</v>
      </c>
      <c r="L1092" s="22" t="n">
        <v>8101043</v>
      </c>
      <c r="M1092" s="1" t="s">
        <v>33</v>
      </c>
      <c r="N1092" s="1" t="s">
        <v>34</v>
      </c>
      <c r="P1092" s="22" t="n">
        <v>167</v>
      </c>
      <c r="Q1092" s="1" t="s">
        <v>220</v>
      </c>
      <c r="R1092" s="1" t="s">
        <v>36</v>
      </c>
      <c r="S1092" s="22" t="n">
        <v>1130101</v>
      </c>
      <c r="T1092" s="1" t="s">
        <v>37</v>
      </c>
      <c r="U1092" s="24" t="n">
        <v>1000.46</v>
      </c>
      <c r="W1092" s="24" t="n">
        <v>0</v>
      </c>
      <c r="X1092" s="1" t="s">
        <v>1223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false" outlineLevel="0" collapsed="false">
      <c r="A1093" s="22" t="n">
        <v>3</v>
      </c>
      <c r="B1093" s="23" t="n">
        <v>46239</v>
      </c>
      <c r="C1093" s="23" t="n">
        <v>46261</v>
      </c>
      <c r="D1093" s="22" t="n">
        <v>1612</v>
      </c>
      <c r="E1093" s="1" t="s">
        <v>192</v>
      </c>
      <c r="F1093" s="22" t="n">
        <v>24</v>
      </c>
      <c r="G1093" s="1" t="s">
        <v>31</v>
      </c>
      <c r="H1093" s="22" t="n">
        <v>1110204</v>
      </c>
      <c r="I1093" s="1" t="s">
        <v>177</v>
      </c>
      <c r="J1093" s="22" t="n">
        <v>1504111</v>
      </c>
      <c r="L1093" s="22" t="n">
        <v>23076072</v>
      </c>
      <c r="M1093" s="1" t="s">
        <v>33</v>
      </c>
      <c r="N1093" s="1" t="s">
        <v>34</v>
      </c>
      <c r="P1093" s="22" t="n">
        <v>167</v>
      </c>
      <c r="Q1093" s="1" t="s">
        <v>220</v>
      </c>
      <c r="R1093" s="1" t="s">
        <v>36</v>
      </c>
      <c r="S1093" s="22" t="n">
        <v>1130101</v>
      </c>
      <c r="T1093" s="1" t="s">
        <v>37</v>
      </c>
      <c r="U1093" s="24" t="n">
        <v>496.59</v>
      </c>
      <c r="W1093" s="24" t="n">
        <v>0</v>
      </c>
      <c r="X1093" s="1" t="s">
        <v>1224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false" outlineLevel="0" collapsed="false">
      <c r="A1094" s="22" t="n">
        <v>3</v>
      </c>
      <c r="B1094" s="23" t="n">
        <v>46239</v>
      </c>
      <c r="C1094" s="23" t="n">
        <v>46261</v>
      </c>
      <c r="D1094" s="22" t="n">
        <v>1612</v>
      </c>
      <c r="E1094" s="1" t="s">
        <v>192</v>
      </c>
      <c r="F1094" s="22" t="n">
        <v>24</v>
      </c>
      <c r="G1094" s="1" t="s">
        <v>31</v>
      </c>
      <c r="H1094" s="22" t="n">
        <v>2110405</v>
      </c>
      <c r="I1094" s="1" t="s">
        <v>63</v>
      </c>
      <c r="J1094" s="22" t="n">
        <v>1504132</v>
      </c>
      <c r="L1094" s="22" t="n">
        <v>23076082</v>
      </c>
      <c r="M1094" s="1" t="s">
        <v>33</v>
      </c>
      <c r="N1094" s="1" t="s">
        <v>34</v>
      </c>
      <c r="P1094" s="22" t="n">
        <v>167</v>
      </c>
      <c r="Q1094" s="1" t="s">
        <v>220</v>
      </c>
      <c r="R1094" s="1" t="s">
        <v>36</v>
      </c>
      <c r="S1094" s="22" t="n">
        <v>1130101</v>
      </c>
      <c r="T1094" s="1" t="s">
        <v>37</v>
      </c>
      <c r="U1094" s="24" t="n">
        <v>368.38</v>
      </c>
      <c r="W1094" s="24" t="n">
        <v>0</v>
      </c>
      <c r="X1094" s="1" t="s">
        <v>1225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false" outlineLevel="0" collapsed="false">
      <c r="A1095" s="22" t="n">
        <v>3</v>
      </c>
      <c r="B1095" s="23" t="n">
        <v>46239</v>
      </c>
      <c r="C1095" s="23" t="n">
        <v>46261</v>
      </c>
      <c r="D1095" s="22" t="n">
        <v>1601</v>
      </c>
      <c r="E1095" s="1" t="s">
        <v>50</v>
      </c>
      <c r="F1095" s="22" t="n">
        <v>24</v>
      </c>
      <c r="G1095" s="1" t="s">
        <v>31</v>
      </c>
      <c r="H1095" s="22" t="n">
        <v>1110204</v>
      </c>
      <c r="I1095" s="1" t="s">
        <v>177</v>
      </c>
      <c r="J1095" s="22" t="n">
        <v>1508055</v>
      </c>
      <c r="L1095" s="22" t="n">
        <v>9610982</v>
      </c>
      <c r="M1095" s="1" t="s">
        <v>33</v>
      </c>
      <c r="N1095" s="1" t="s">
        <v>34</v>
      </c>
      <c r="P1095" s="22" t="n">
        <v>167</v>
      </c>
      <c r="Q1095" s="1" t="s">
        <v>220</v>
      </c>
      <c r="R1095" s="1" t="s">
        <v>36</v>
      </c>
      <c r="S1095" s="22" t="n">
        <v>1130101</v>
      </c>
      <c r="T1095" s="1" t="s">
        <v>37</v>
      </c>
      <c r="U1095" s="24" t="n">
        <v>477.88</v>
      </c>
      <c r="W1095" s="24" t="n">
        <v>0</v>
      </c>
      <c r="X1095" s="1" t="s">
        <v>1226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false" outlineLevel="0" collapsed="false">
      <c r="A1096" s="22" t="n">
        <v>3</v>
      </c>
      <c r="B1096" s="23" t="n">
        <v>46240</v>
      </c>
      <c r="C1096" s="23" t="n">
        <v>46261</v>
      </c>
      <c r="D1096" s="22" t="n">
        <v>1107</v>
      </c>
      <c r="E1096" s="1" t="s">
        <v>103</v>
      </c>
      <c r="F1096" s="22" t="n">
        <v>24</v>
      </c>
      <c r="G1096" s="1" t="s">
        <v>31</v>
      </c>
      <c r="H1096" s="22" t="n">
        <v>2110405</v>
      </c>
      <c r="I1096" s="1" t="s">
        <v>63</v>
      </c>
      <c r="J1096" s="22" t="n">
        <v>1509631</v>
      </c>
      <c r="L1096" s="22" t="n">
        <v>4383352</v>
      </c>
      <c r="M1096" s="1" t="s">
        <v>33</v>
      </c>
      <c r="N1096" s="1" t="s">
        <v>34</v>
      </c>
      <c r="P1096" s="22" t="n">
        <v>167</v>
      </c>
      <c r="Q1096" s="1" t="s">
        <v>220</v>
      </c>
      <c r="R1096" s="1" t="s">
        <v>36</v>
      </c>
      <c r="S1096" s="22" t="n">
        <v>1130101</v>
      </c>
      <c r="T1096" s="1" t="s">
        <v>37</v>
      </c>
      <c r="U1096" s="24" t="n">
        <v>984.44</v>
      </c>
      <c r="W1096" s="24" t="n">
        <v>0</v>
      </c>
      <c r="X1096" s="1" t="s">
        <v>1227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false" outlineLevel="0" collapsed="false">
      <c r="A1097" s="22" t="n">
        <v>3</v>
      </c>
      <c r="B1097" s="23" t="n">
        <v>46239</v>
      </c>
      <c r="C1097" s="23" t="n">
        <v>46261</v>
      </c>
      <c r="D1097" s="22" t="n">
        <v>1667</v>
      </c>
      <c r="E1097" s="1" t="s">
        <v>286</v>
      </c>
      <c r="F1097" s="22" t="n">
        <v>24</v>
      </c>
      <c r="G1097" s="1" t="s">
        <v>31</v>
      </c>
      <c r="H1097" s="22" t="n">
        <v>2110405</v>
      </c>
      <c r="I1097" s="1" t="s">
        <v>63</v>
      </c>
      <c r="J1097" s="22" t="n">
        <v>1509702</v>
      </c>
      <c r="L1097" s="22" t="n">
        <v>3978883</v>
      </c>
      <c r="M1097" s="1" t="s">
        <v>33</v>
      </c>
      <c r="N1097" s="1" t="s">
        <v>34</v>
      </c>
      <c r="P1097" s="22" t="n">
        <v>167</v>
      </c>
      <c r="Q1097" s="1" t="s">
        <v>220</v>
      </c>
      <c r="R1097" s="1" t="s">
        <v>36</v>
      </c>
      <c r="S1097" s="22" t="n">
        <v>1130101</v>
      </c>
      <c r="T1097" s="1" t="s">
        <v>37</v>
      </c>
      <c r="U1097" s="24" t="n">
        <v>610.15</v>
      </c>
      <c r="W1097" s="24" t="n">
        <v>0</v>
      </c>
      <c r="X1097" s="1" t="s">
        <v>1228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false" outlineLevel="0" collapsed="false">
      <c r="A1098" s="22" t="n">
        <v>3</v>
      </c>
      <c r="B1098" s="23" t="n">
        <v>46232</v>
      </c>
      <c r="C1098" s="23" t="n">
        <v>46262</v>
      </c>
      <c r="D1098" s="22" t="n">
        <v>1196</v>
      </c>
      <c r="E1098" s="1" t="s">
        <v>293</v>
      </c>
      <c r="F1098" s="22" t="n">
        <v>24</v>
      </c>
      <c r="G1098" s="1" t="s">
        <v>31</v>
      </c>
      <c r="H1098" s="22" t="n">
        <v>2110405</v>
      </c>
      <c r="I1098" s="1" t="s">
        <v>63</v>
      </c>
      <c r="J1098" s="22" t="n">
        <v>1478195</v>
      </c>
      <c r="L1098" s="22" t="n">
        <v>131713</v>
      </c>
      <c r="M1098" s="1" t="s">
        <v>33</v>
      </c>
      <c r="N1098" s="1" t="s">
        <v>34</v>
      </c>
      <c r="P1098" s="22" t="n">
        <v>167</v>
      </c>
      <c r="Q1098" s="1" t="s">
        <v>220</v>
      </c>
      <c r="R1098" s="1" t="s">
        <v>36</v>
      </c>
      <c r="S1098" s="22" t="n">
        <v>1130101</v>
      </c>
      <c r="T1098" s="1" t="s">
        <v>37</v>
      </c>
      <c r="U1098" s="24" t="n">
        <v>481.16</v>
      </c>
      <c r="W1098" s="24" t="n">
        <v>0</v>
      </c>
      <c r="X1098" s="1" t="s">
        <v>1229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false" outlineLevel="0" collapsed="false">
      <c r="A1099" s="22" t="n">
        <v>3</v>
      </c>
      <c r="B1099" s="23" t="n">
        <v>46231</v>
      </c>
      <c r="C1099" s="23" t="n">
        <v>46262</v>
      </c>
      <c r="D1099" s="22" t="n">
        <v>33</v>
      </c>
      <c r="E1099" s="1" t="s">
        <v>297</v>
      </c>
      <c r="F1099" s="22" t="n">
        <v>34</v>
      </c>
      <c r="G1099" s="1" t="s">
        <v>58</v>
      </c>
      <c r="H1099" s="22" t="n">
        <v>2110405</v>
      </c>
      <c r="I1099" s="1" t="s">
        <v>63</v>
      </c>
      <c r="J1099" s="22" t="n">
        <v>1465032</v>
      </c>
      <c r="L1099" s="22" t="n">
        <v>227918</v>
      </c>
      <c r="M1099" s="1" t="s">
        <v>559</v>
      </c>
      <c r="N1099" s="1" t="s">
        <v>34</v>
      </c>
      <c r="P1099" s="22" t="n">
        <v>101</v>
      </c>
      <c r="Q1099" s="1" t="s">
        <v>136</v>
      </c>
      <c r="R1099" s="1" t="s">
        <v>337</v>
      </c>
      <c r="S1099" s="22" t="n">
        <v>1240203</v>
      </c>
      <c r="T1099" s="1" t="s">
        <v>338</v>
      </c>
      <c r="U1099" s="24" t="n">
        <v>2320.33</v>
      </c>
      <c r="W1099" s="24" t="n">
        <v>0</v>
      </c>
      <c r="X1099" s="1" t="s">
        <v>1230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false" outlineLevel="0" collapsed="false">
      <c r="A1100" s="22" t="n">
        <v>3</v>
      </c>
      <c r="B1100" s="23" t="n">
        <v>46232</v>
      </c>
      <c r="C1100" s="23" t="n">
        <v>46262</v>
      </c>
      <c r="D1100" s="22" t="n">
        <v>1699</v>
      </c>
      <c r="E1100" s="1" t="s">
        <v>87</v>
      </c>
      <c r="F1100" s="22" t="n">
        <v>24</v>
      </c>
      <c r="G1100" s="1" t="s">
        <v>31</v>
      </c>
      <c r="H1100" s="22" t="n">
        <v>1110204</v>
      </c>
      <c r="I1100" s="1" t="s">
        <v>177</v>
      </c>
      <c r="J1100" s="22" t="n">
        <v>1474071</v>
      </c>
      <c r="L1100" s="22" t="n">
        <v>3095423</v>
      </c>
      <c r="M1100" s="1" t="s">
        <v>33</v>
      </c>
      <c r="N1100" s="1" t="s">
        <v>34</v>
      </c>
      <c r="P1100" s="22" t="n">
        <v>167</v>
      </c>
      <c r="Q1100" s="1" t="s">
        <v>220</v>
      </c>
      <c r="R1100" s="1" t="s">
        <v>36</v>
      </c>
      <c r="S1100" s="22" t="n">
        <v>1130101</v>
      </c>
      <c r="T1100" s="1" t="s">
        <v>37</v>
      </c>
      <c r="U1100" s="24" t="n">
        <v>983.7</v>
      </c>
      <c r="W1100" s="24" t="n">
        <v>0</v>
      </c>
      <c r="X1100" s="1" t="s">
        <v>1231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false" outlineLevel="0" collapsed="false">
      <c r="A1101" s="22" t="n">
        <v>3</v>
      </c>
      <c r="B1101" s="23" t="n">
        <v>46232</v>
      </c>
      <c r="C1101" s="23" t="n">
        <v>46262</v>
      </c>
      <c r="D1101" s="22" t="n">
        <v>10017</v>
      </c>
      <c r="E1101" s="1" t="s">
        <v>693</v>
      </c>
      <c r="F1101" s="22" t="n">
        <v>24</v>
      </c>
      <c r="G1101" s="1" t="s">
        <v>31</v>
      </c>
      <c r="H1101" s="22" t="n">
        <v>1110204</v>
      </c>
      <c r="I1101" s="1" t="s">
        <v>177</v>
      </c>
      <c r="J1101" s="22" t="n">
        <v>1474082</v>
      </c>
      <c r="L1101" s="22" t="n">
        <v>1950893</v>
      </c>
      <c r="M1101" s="1" t="s">
        <v>33</v>
      </c>
      <c r="N1101" s="1" t="s">
        <v>34</v>
      </c>
      <c r="P1101" s="22" t="n">
        <v>167</v>
      </c>
      <c r="Q1101" s="1" t="s">
        <v>220</v>
      </c>
      <c r="R1101" s="1" t="s">
        <v>36</v>
      </c>
      <c r="S1101" s="22" t="n">
        <v>1130101</v>
      </c>
      <c r="T1101" s="1" t="s">
        <v>37</v>
      </c>
      <c r="U1101" s="24" t="n">
        <v>1191.81</v>
      </c>
      <c r="W1101" s="24" t="n">
        <v>0</v>
      </c>
      <c r="X1101" s="1" t="s">
        <v>1232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false" outlineLevel="0" collapsed="false">
      <c r="A1102" s="22" t="n">
        <v>3</v>
      </c>
      <c r="B1102" s="23" t="n">
        <v>46233</v>
      </c>
      <c r="C1102" s="23" t="n">
        <v>46262</v>
      </c>
      <c r="D1102" s="22" t="n">
        <v>1608</v>
      </c>
      <c r="E1102" s="1" t="s">
        <v>69</v>
      </c>
      <c r="F1102" s="22" t="n">
        <v>24</v>
      </c>
      <c r="G1102" s="1" t="s">
        <v>31</v>
      </c>
      <c r="H1102" s="22" t="n">
        <v>2110405</v>
      </c>
      <c r="I1102" s="1" t="s">
        <v>63</v>
      </c>
      <c r="J1102" s="22" t="n">
        <v>1482411</v>
      </c>
      <c r="L1102" s="22" t="n">
        <v>17031523</v>
      </c>
      <c r="M1102" s="1" t="s">
        <v>33</v>
      </c>
      <c r="N1102" s="1" t="s">
        <v>34</v>
      </c>
      <c r="P1102" s="22" t="n">
        <v>167</v>
      </c>
      <c r="Q1102" s="1" t="s">
        <v>220</v>
      </c>
      <c r="R1102" s="1" t="s">
        <v>36</v>
      </c>
      <c r="S1102" s="22" t="n">
        <v>1130101</v>
      </c>
      <c r="T1102" s="1" t="s">
        <v>37</v>
      </c>
      <c r="U1102" s="24" t="n">
        <v>362.68</v>
      </c>
      <c r="W1102" s="24" t="n">
        <v>0</v>
      </c>
      <c r="X1102" s="1" t="s">
        <v>1233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false" outlineLevel="0" collapsed="false">
      <c r="A1103" s="22" t="n">
        <v>3</v>
      </c>
      <c r="B1103" s="23" t="n">
        <v>46239</v>
      </c>
      <c r="C1103" s="23" t="n">
        <v>46262</v>
      </c>
      <c r="D1103" s="22" t="n">
        <v>1699</v>
      </c>
      <c r="E1103" s="1" t="s">
        <v>87</v>
      </c>
      <c r="F1103" s="22" t="n">
        <v>24</v>
      </c>
      <c r="G1103" s="1" t="s">
        <v>31</v>
      </c>
      <c r="H1103" s="22" t="n">
        <v>2110405</v>
      </c>
      <c r="I1103" s="1" t="s">
        <v>63</v>
      </c>
      <c r="J1103" s="22" t="n">
        <v>1512617</v>
      </c>
      <c r="L1103" s="22" t="n">
        <v>3101542</v>
      </c>
      <c r="M1103" s="1" t="s">
        <v>33</v>
      </c>
      <c r="N1103" s="1" t="s">
        <v>34</v>
      </c>
      <c r="P1103" s="22" t="n">
        <v>167</v>
      </c>
      <c r="Q1103" s="1" t="s">
        <v>220</v>
      </c>
      <c r="R1103" s="1" t="s">
        <v>36</v>
      </c>
      <c r="S1103" s="22" t="n">
        <v>1130101</v>
      </c>
      <c r="T1103" s="1" t="s">
        <v>37</v>
      </c>
      <c r="U1103" s="24" t="n">
        <v>986.03</v>
      </c>
      <c r="W1103" s="24" t="n">
        <v>0</v>
      </c>
      <c r="X1103" s="1" t="s">
        <v>1234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false" outlineLevel="0" collapsed="false">
      <c r="A1104" s="22" t="n">
        <v>3</v>
      </c>
      <c r="B1104" s="23" t="n">
        <v>46240</v>
      </c>
      <c r="C1104" s="23" t="n">
        <v>46262</v>
      </c>
      <c r="D1104" s="22" t="n">
        <v>1136</v>
      </c>
      <c r="E1104" s="1" t="s">
        <v>123</v>
      </c>
      <c r="F1104" s="22" t="n">
        <v>24</v>
      </c>
      <c r="G1104" s="1" t="s">
        <v>31</v>
      </c>
      <c r="H1104" s="22" t="n">
        <v>2110405</v>
      </c>
      <c r="I1104" s="1" t="s">
        <v>63</v>
      </c>
      <c r="J1104" s="22" t="n">
        <v>1513138</v>
      </c>
      <c r="L1104" s="22" t="n">
        <v>535482</v>
      </c>
      <c r="M1104" s="1" t="s">
        <v>33</v>
      </c>
      <c r="N1104" s="1" t="s">
        <v>34</v>
      </c>
      <c r="P1104" s="22" t="n">
        <v>167</v>
      </c>
      <c r="Q1104" s="1" t="s">
        <v>220</v>
      </c>
      <c r="R1104" s="1" t="s">
        <v>36</v>
      </c>
      <c r="S1104" s="22" t="n">
        <v>1130101</v>
      </c>
      <c r="T1104" s="1" t="s">
        <v>37</v>
      </c>
      <c r="U1104" s="24" t="n">
        <v>500.78</v>
      </c>
      <c r="W1104" s="24" t="n">
        <v>0</v>
      </c>
      <c r="X1104" s="1" t="s">
        <v>1235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false" outlineLevel="0" collapsed="false">
      <c r="A1105" s="22" t="n">
        <v>3</v>
      </c>
      <c r="B1105" s="23" t="n">
        <v>46233</v>
      </c>
      <c r="C1105" s="23" t="n">
        <v>46265</v>
      </c>
      <c r="D1105" s="22" t="n">
        <v>1636</v>
      </c>
      <c r="E1105" s="1" t="s">
        <v>195</v>
      </c>
      <c r="F1105" s="22" t="n">
        <v>24</v>
      </c>
      <c r="G1105" s="1" t="s">
        <v>31</v>
      </c>
      <c r="H1105" s="22" t="n">
        <v>1110204</v>
      </c>
      <c r="I1105" s="1" t="s">
        <v>177</v>
      </c>
      <c r="J1105" s="22" t="n">
        <v>1495402</v>
      </c>
      <c r="L1105" s="22" t="n">
        <v>32292543</v>
      </c>
      <c r="M1105" s="1" t="s">
        <v>33</v>
      </c>
      <c r="N1105" s="1" t="s">
        <v>34</v>
      </c>
      <c r="P1105" s="22" t="n">
        <v>167</v>
      </c>
      <c r="Q1105" s="1" t="s">
        <v>220</v>
      </c>
      <c r="R1105" s="1" t="s">
        <v>36</v>
      </c>
      <c r="S1105" s="22" t="n">
        <v>1130101</v>
      </c>
      <c r="T1105" s="1" t="s">
        <v>37</v>
      </c>
      <c r="U1105" s="24" t="n">
        <v>949.63</v>
      </c>
      <c r="W1105" s="24" t="n">
        <v>0</v>
      </c>
      <c r="X1105" s="1" t="s">
        <v>1236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false" outlineLevel="0" collapsed="false">
      <c r="A1106" s="22" t="n">
        <v>3</v>
      </c>
      <c r="B1106" s="23" t="n">
        <v>46237</v>
      </c>
      <c r="C1106" s="23" t="n">
        <v>46265</v>
      </c>
      <c r="D1106" s="22" t="n">
        <v>846</v>
      </c>
      <c r="E1106" s="1" t="s">
        <v>1132</v>
      </c>
      <c r="F1106" s="22" t="n">
        <v>24</v>
      </c>
      <c r="G1106" s="1" t="s">
        <v>31</v>
      </c>
      <c r="H1106" s="22" t="n">
        <v>4210227</v>
      </c>
      <c r="I1106" s="1" t="s">
        <v>65</v>
      </c>
      <c r="J1106" s="22" t="n">
        <v>1498623</v>
      </c>
      <c r="L1106" s="22" t="n">
        <v>8463</v>
      </c>
      <c r="M1106" s="1" t="s">
        <v>33</v>
      </c>
      <c r="N1106" s="1" t="s">
        <v>34</v>
      </c>
      <c r="P1106" s="22" t="n">
        <v>167</v>
      </c>
      <c r="Q1106" s="1" t="s">
        <v>220</v>
      </c>
      <c r="R1106" s="1" t="s">
        <v>36</v>
      </c>
      <c r="S1106" s="22" t="n">
        <v>1130101</v>
      </c>
      <c r="T1106" s="1" t="s">
        <v>37</v>
      </c>
      <c r="U1106" s="24" t="n">
        <v>538.18</v>
      </c>
      <c r="W1106" s="24" t="n">
        <v>0</v>
      </c>
      <c r="X1106" s="1" t="s">
        <v>1237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false" outlineLevel="0" collapsed="false">
      <c r="A1107" s="22" t="n">
        <v>3</v>
      </c>
      <c r="B1107" s="23" t="n">
        <v>46235</v>
      </c>
      <c r="C1107" s="23" t="n">
        <v>46266</v>
      </c>
      <c r="D1107" s="22" t="n">
        <v>42</v>
      </c>
      <c r="E1107" s="1" t="s">
        <v>106</v>
      </c>
      <c r="F1107" s="22" t="n">
        <v>13</v>
      </c>
      <c r="G1107" s="1" t="s">
        <v>91</v>
      </c>
      <c r="H1107" s="22" t="n">
        <v>2110101</v>
      </c>
      <c r="I1107" s="1" t="s">
        <v>32</v>
      </c>
      <c r="J1107" s="22" t="n">
        <v>1482195</v>
      </c>
      <c r="L1107" s="22" t="n">
        <v>4449</v>
      </c>
      <c r="M1107" s="1" t="s">
        <v>33</v>
      </c>
      <c r="N1107" s="1" t="s">
        <v>40</v>
      </c>
      <c r="P1107" s="22" t="n">
        <v>167</v>
      </c>
      <c r="Q1107" s="1" t="s">
        <v>220</v>
      </c>
      <c r="R1107" s="1" t="s">
        <v>36</v>
      </c>
      <c r="S1107" s="22" t="n">
        <v>1130101</v>
      </c>
      <c r="T1107" s="1" t="s">
        <v>37</v>
      </c>
      <c r="U1107" s="24" t="n">
        <v>250</v>
      </c>
      <c r="W1107" s="24" t="n">
        <v>250</v>
      </c>
      <c r="X1107" s="1" t="s">
        <v>861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false" outlineLevel="0" collapsed="false">
      <c r="A1108" s="22" t="n">
        <v>3</v>
      </c>
      <c r="B1108" s="23" t="n">
        <v>46238</v>
      </c>
      <c r="C1108" s="23" t="n">
        <v>46266</v>
      </c>
      <c r="D1108" s="22" t="n">
        <v>1656</v>
      </c>
      <c r="E1108" s="1" t="s">
        <v>330</v>
      </c>
      <c r="F1108" s="22" t="n">
        <v>24</v>
      </c>
      <c r="G1108" s="1" t="s">
        <v>31</v>
      </c>
      <c r="H1108" s="22" t="n">
        <v>1110204</v>
      </c>
      <c r="I1108" s="1" t="s">
        <v>177</v>
      </c>
      <c r="J1108" s="22" t="n">
        <v>1499232</v>
      </c>
      <c r="L1108" s="22" t="n">
        <v>2245513</v>
      </c>
      <c r="M1108" s="1" t="s">
        <v>33</v>
      </c>
      <c r="N1108" s="1" t="s">
        <v>34</v>
      </c>
      <c r="P1108" s="22" t="n">
        <v>167</v>
      </c>
      <c r="Q1108" s="1" t="s">
        <v>220</v>
      </c>
      <c r="R1108" s="1" t="s">
        <v>36</v>
      </c>
      <c r="S1108" s="22" t="n">
        <v>1130101</v>
      </c>
      <c r="T1108" s="1" t="s">
        <v>37</v>
      </c>
      <c r="U1108" s="24" t="n">
        <v>358.74</v>
      </c>
      <c r="W1108" s="24" t="n">
        <v>0</v>
      </c>
      <c r="X1108" s="1" t="s">
        <v>1238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false" outlineLevel="0" collapsed="false">
      <c r="A1109" s="22" t="n">
        <v>3</v>
      </c>
      <c r="B1109" s="23" t="n">
        <v>46238</v>
      </c>
      <c r="C1109" s="23" t="n">
        <v>46266</v>
      </c>
      <c r="D1109" s="22" t="n">
        <v>1745</v>
      </c>
      <c r="E1109" s="1" t="s">
        <v>184</v>
      </c>
      <c r="F1109" s="22" t="n">
        <v>24</v>
      </c>
      <c r="G1109" s="1" t="s">
        <v>31</v>
      </c>
      <c r="H1109" s="22" t="n">
        <v>1110204</v>
      </c>
      <c r="I1109" s="1" t="s">
        <v>177</v>
      </c>
      <c r="J1109" s="22" t="n">
        <v>1504235</v>
      </c>
      <c r="L1109" s="22" t="n">
        <v>3560053</v>
      </c>
      <c r="M1109" s="1" t="s">
        <v>33</v>
      </c>
      <c r="N1109" s="1" t="s">
        <v>34</v>
      </c>
      <c r="P1109" s="22" t="n">
        <v>167</v>
      </c>
      <c r="Q1109" s="1" t="s">
        <v>220</v>
      </c>
      <c r="R1109" s="1" t="s">
        <v>36</v>
      </c>
      <c r="S1109" s="22" t="n">
        <v>1130101</v>
      </c>
      <c r="T1109" s="1" t="s">
        <v>37</v>
      </c>
      <c r="U1109" s="24" t="n">
        <v>590.45</v>
      </c>
      <c r="W1109" s="24" t="n">
        <v>0</v>
      </c>
      <c r="X1109" s="1" t="s">
        <v>1239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false" outlineLevel="0" collapsed="false">
      <c r="A1110" s="22" t="n">
        <v>3</v>
      </c>
      <c r="B1110" s="23" t="n">
        <v>46238</v>
      </c>
      <c r="C1110" s="23" t="n">
        <v>46266</v>
      </c>
      <c r="D1110" s="22" t="n">
        <v>1668</v>
      </c>
      <c r="E1110" s="1" t="s">
        <v>276</v>
      </c>
      <c r="F1110" s="22" t="n">
        <v>24</v>
      </c>
      <c r="G1110" s="1" t="s">
        <v>31</v>
      </c>
      <c r="H1110" s="22" t="n">
        <v>2110405</v>
      </c>
      <c r="I1110" s="1" t="s">
        <v>63</v>
      </c>
      <c r="J1110" s="22" t="n">
        <v>1504249</v>
      </c>
      <c r="L1110" s="22" t="n">
        <v>7455923</v>
      </c>
      <c r="M1110" s="1" t="s">
        <v>33</v>
      </c>
      <c r="N1110" s="1" t="s">
        <v>34</v>
      </c>
      <c r="P1110" s="22" t="n">
        <v>167</v>
      </c>
      <c r="Q1110" s="1" t="s">
        <v>220</v>
      </c>
      <c r="R1110" s="1" t="s">
        <v>36</v>
      </c>
      <c r="S1110" s="22" t="n">
        <v>1130101</v>
      </c>
      <c r="T1110" s="1" t="s">
        <v>37</v>
      </c>
      <c r="U1110" s="24" t="n">
        <v>2242.26</v>
      </c>
      <c r="W1110" s="24" t="n">
        <v>0</v>
      </c>
      <c r="X1110" s="1" t="s">
        <v>1240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false" outlineLevel="0" collapsed="false">
      <c r="A1111" s="22" t="n">
        <v>3</v>
      </c>
      <c r="B1111" s="23" t="n">
        <v>46231</v>
      </c>
      <c r="C1111" s="23" t="n">
        <v>46267</v>
      </c>
      <c r="D1111" s="22" t="n">
        <v>1778</v>
      </c>
      <c r="E1111" s="1" t="s">
        <v>248</v>
      </c>
      <c r="F1111" s="22" t="n">
        <v>24</v>
      </c>
      <c r="G1111" s="1" t="s">
        <v>31</v>
      </c>
      <c r="H1111" s="22" t="n">
        <v>1110204</v>
      </c>
      <c r="I1111" s="1" t="s">
        <v>177</v>
      </c>
      <c r="J1111" s="22" t="n">
        <v>1464589</v>
      </c>
      <c r="L1111" s="22" t="n">
        <v>227862</v>
      </c>
      <c r="M1111" s="1" t="s">
        <v>33</v>
      </c>
      <c r="N1111" s="1" t="s">
        <v>34</v>
      </c>
      <c r="P1111" s="22" t="n">
        <v>101</v>
      </c>
      <c r="Q1111" s="1" t="s">
        <v>136</v>
      </c>
      <c r="R1111" s="1" t="s">
        <v>64</v>
      </c>
      <c r="S1111" s="22" t="n">
        <v>4210207</v>
      </c>
      <c r="T1111" s="1" t="s">
        <v>249</v>
      </c>
      <c r="U1111" s="24" t="n">
        <v>337.29</v>
      </c>
      <c r="W1111" s="24" t="n">
        <v>0</v>
      </c>
      <c r="X1111" s="1" t="s">
        <v>1241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false" outlineLevel="0" collapsed="false">
      <c r="A1112" s="22" t="n">
        <v>3</v>
      </c>
      <c r="B1112" s="23" t="n">
        <v>46205</v>
      </c>
      <c r="C1112" s="23" t="n">
        <v>46267</v>
      </c>
      <c r="D1112" s="22" t="n">
        <v>1789</v>
      </c>
      <c r="E1112" s="1" t="s">
        <v>205</v>
      </c>
      <c r="F1112" s="22" t="n">
        <v>24</v>
      </c>
      <c r="G1112" s="1" t="s">
        <v>31</v>
      </c>
      <c r="H1112" s="22" t="n">
        <v>2110405</v>
      </c>
      <c r="I1112" s="1" t="s">
        <v>63</v>
      </c>
      <c r="J1112" s="22" t="n">
        <v>1464602</v>
      </c>
      <c r="L1112" s="22" t="n">
        <v>227866</v>
      </c>
      <c r="M1112" s="1" t="s">
        <v>33</v>
      </c>
      <c r="N1112" s="1" t="s">
        <v>34</v>
      </c>
      <c r="P1112" s="22" t="n">
        <v>101</v>
      </c>
      <c r="Q1112" s="1" t="s">
        <v>136</v>
      </c>
      <c r="R1112" s="1" t="s">
        <v>206</v>
      </c>
      <c r="S1112" s="22" t="n">
        <v>4210112</v>
      </c>
      <c r="T1112" s="1" t="s">
        <v>207</v>
      </c>
      <c r="U1112" s="24" t="n">
        <v>5500</v>
      </c>
      <c r="W1112" s="24" t="n">
        <v>0</v>
      </c>
      <c r="X1112" s="1" t="s">
        <v>1242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false" outlineLevel="0" collapsed="false">
      <c r="A1113" s="22" t="n">
        <v>3</v>
      </c>
      <c r="B1113" s="23" t="n">
        <v>46231</v>
      </c>
      <c r="C1113" s="23" t="n">
        <v>46267</v>
      </c>
      <c r="D1113" s="22" t="n">
        <v>49</v>
      </c>
      <c r="E1113" s="1" t="s">
        <v>610</v>
      </c>
      <c r="F1113" s="22" t="n">
        <v>34</v>
      </c>
      <c r="G1113" s="1" t="s">
        <v>58</v>
      </c>
      <c r="H1113" s="22" t="n">
        <v>2110405</v>
      </c>
      <c r="I1113" s="1" t="s">
        <v>63</v>
      </c>
      <c r="J1113" s="22" t="n">
        <v>1464754</v>
      </c>
      <c r="L1113" s="22" t="n">
        <v>227889</v>
      </c>
      <c r="M1113" s="1" t="s">
        <v>559</v>
      </c>
      <c r="N1113" s="1" t="s">
        <v>34</v>
      </c>
      <c r="P1113" s="22" t="n">
        <v>101</v>
      </c>
      <c r="Q1113" s="1" t="s">
        <v>136</v>
      </c>
      <c r="R1113" s="1" t="s">
        <v>411</v>
      </c>
      <c r="S1113" s="22" t="n">
        <v>2110901</v>
      </c>
      <c r="T1113" s="1" t="s">
        <v>412</v>
      </c>
      <c r="U1113" s="24" t="n">
        <v>4000</v>
      </c>
      <c r="W1113" s="24" t="n">
        <v>0</v>
      </c>
      <c r="X1113" s="1" t="s">
        <v>1243</v>
      </c>
      <c r="Z1113" s="1" t="str">
        <f aca="false">IF($T1113="","",IFERROR(INDEX('Resumo Grupos'!$AC$3:$AC$200,MATCH($T1113,'Resumo Grupos'!$AB$3:$AB$200,0)),"n/d"))</f>
        <v>Empréstimo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false" outlineLevel="0" collapsed="false">
      <c r="A1114" s="22" t="n">
        <v>3</v>
      </c>
      <c r="B1114" s="23" t="n">
        <v>46237</v>
      </c>
      <c r="C1114" s="23" t="n">
        <v>46267</v>
      </c>
      <c r="D1114" s="22" t="n">
        <v>1708</v>
      </c>
      <c r="E1114" s="1" t="s">
        <v>1154</v>
      </c>
      <c r="F1114" s="22" t="n">
        <v>24</v>
      </c>
      <c r="G1114" s="1" t="s">
        <v>31</v>
      </c>
      <c r="H1114" s="22" t="n">
        <v>2110405</v>
      </c>
      <c r="I1114" s="1" t="s">
        <v>63</v>
      </c>
      <c r="J1114" s="22" t="n">
        <v>1500073</v>
      </c>
      <c r="L1114" s="22" t="n">
        <v>2646963</v>
      </c>
      <c r="M1114" s="1" t="s">
        <v>33</v>
      </c>
      <c r="N1114" s="1" t="s">
        <v>34</v>
      </c>
      <c r="P1114" s="22" t="n">
        <v>167</v>
      </c>
      <c r="Q1114" s="1" t="s">
        <v>220</v>
      </c>
      <c r="R1114" s="1" t="s">
        <v>36</v>
      </c>
      <c r="S1114" s="22" t="n">
        <v>1130101</v>
      </c>
      <c r="T1114" s="1" t="s">
        <v>37</v>
      </c>
      <c r="U1114" s="24" t="n">
        <v>260.45</v>
      </c>
      <c r="W1114" s="24" t="n">
        <v>0</v>
      </c>
      <c r="X1114" s="1" t="s">
        <v>1244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false" outlineLevel="0" collapsed="false">
      <c r="A1115" s="22" t="n">
        <v>3</v>
      </c>
      <c r="B1115" s="23" t="n">
        <v>46239</v>
      </c>
      <c r="C1115" s="23" t="n">
        <v>46267</v>
      </c>
      <c r="D1115" s="22" t="n">
        <v>1740</v>
      </c>
      <c r="E1115" s="1" t="s">
        <v>273</v>
      </c>
      <c r="F1115" s="22" t="n">
        <v>24</v>
      </c>
      <c r="G1115" s="1" t="s">
        <v>31</v>
      </c>
      <c r="H1115" s="22" t="n">
        <v>2110405</v>
      </c>
      <c r="I1115" s="1" t="s">
        <v>63</v>
      </c>
      <c r="J1115" s="22" t="n">
        <v>1504743</v>
      </c>
      <c r="L1115" s="22" t="n">
        <v>12556063</v>
      </c>
      <c r="M1115" s="1" t="s">
        <v>33</v>
      </c>
      <c r="N1115" s="1" t="s">
        <v>34</v>
      </c>
      <c r="P1115" s="22" t="n">
        <v>167</v>
      </c>
      <c r="Q1115" s="1" t="s">
        <v>220</v>
      </c>
      <c r="R1115" s="1" t="s">
        <v>36</v>
      </c>
      <c r="S1115" s="22" t="n">
        <v>1130101</v>
      </c>
      <c r="T1115" s="1" t="s">
        <v>37</v>
      </c>
      <c r="U1115" s="24" t="n">
        <v>771.86</v>
      </c>
      <c r="W1115" s="24" t="n">
        <v>0</v>
      </c>
      <c r="X1115" s="1" t="s">
        <v>1245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false" outlineLevel="0" collapsed="false">
      <c r="A1116" s="22" t="n">
        <v>3</v>
      </c>
      <c r="B1116" s="23" t="n">
        <v>46239</v>
      </c>
      <c r="C1116" s="23" t="n">
        <v>46267</v>
      </c>
      <c r="D1116" s="22" t="n">
        <v>1668</v>
      </c>
      <c r="E1116" s="1" t="s">
        <v>276</v>
      </c>
      <c r="F1116" s="22" t="n">
        <v>24</v>
      </c>
      <c r="G1116" s="1" t="s">
        <v>31</v>
      </c>
      <c r="H1116" s="22" t="n">
        <v>1110204</v>
      </c>
      <c r="I1116" s="1" t="s">
        <v>177</v>
      </c>
      <c r="J1116" s="22" t="n">
        <v>1508023</v>
      </c>
      <c r="L1116" s="22" t="n">
        <v>746264</v>
      </c>
      <c r="M1116" s="1" t="s">
        <v>33</v>
      </c>
      <c r="N1116" s="1" t="s">
        <v>34</v>
      </c>
      <c r="P1116" s="22" t="n">
        <v>167</v>
      </c>
      <c r="Q1116" s="1" t="s">
        <v>220</v>
      </c>
      <c r="R1116" s="1" t="s">
        <v>36</v>
      </c>
      <c r="S1116" s="22" t="n">
        <v>1130101</v>
      </c>
      <c r="T1116" s="1" t="s">
        <v>37</v>
      </c>
      <c r="U1116" s="24" t="n">
        <v>274.14</v>
      </c>
      <c r="W1116" s="24" t="n">
        <v>0</v>
      </c>
      <c r="X1116" s="1" t="s">
        <v>1246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false" outlineLevel="0" collapsed="false">
      <c r="A1117" s="22" t="n">
        <v>3</v>
      </c>
      <c r="B1117" s="23" t="n">
        <v>46239</v>
      </c>
      <c r="C1117" s="23" t="n">
        <v>46268</v>
      </c>
      <c r="D1117" s="22" t="n">
        <v>1612</v>
      </c>
      <c r="E1117" s="1" t="s">
        <v>192</v>
      </c>
      <c r="F1117" s="22" t="n">
        <v>24</v>
      </c>
      <c r="G1117" s="1" t="s">
        <v>31</v>
      </c>
      <c r="H1117" s="22" t="n">
        <v>1110204</v>
      </c>
      <c r="I1117" s="1" t="s">
        <v>177</v>
      </c>
      <c r="J1117" s="22" t="n">
        <v>1504117</v>
      </c>
      <c r="L1117" s="22" t="n">
        <v>23076073</v>
      </c>
      <c r="M1117" s="1" t="s">
        <v>33</v>
      </c>
      <c r="N1117" s="1" t="s">
        <v>34</v>
      </c>
      <c r="P1117" s="22" t="n">
        <v>167</v>
      </c>
      <c r="Q1117" s="1" t="s">
        <v>220</v>
      </c>
      <c r="R1117" s="1" t="s">
        <v>36</v>
      </c>
      <c r="S1117" s="22" t="n">
        <v>1130101</v>
      </c>
      <c r="T1117" s="1" t="s">
        <v>37</v>
      </c>
      <c r="U1117" s="24" t="n">
        <v>496.59</v>
      </c>
      <c r="W1117" s="24" t="n">
        <v>0</v>
      </c>
      <c r="X1117" s="1" t="s">
        <v>1247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false" outlineLevel="0" collapsed="false">
      <c r="A1118" s="22" t="n">
        <v>3</v>
      </c>
      <c r="B1118" s="23" t="n">
        <v>46239</v>
      </c>
      <c r="C1118" s="23" t="n">
        <v>46268</v>
      </c>
      <c r="D1118" s="22" t="n">
        <v>1612</v>
      </c>
      <c r="E1118" s="1" t="s">
        <v>192</v>
      </c>
      <c r="F1118" s="22" t="n">
        <v>24</v>
      </c>
      <c r="G1118" s="1" t="s">
        <v>31</v>
      </c>
      <c r="H1118" s="22" t="n">
        <v>1110204</v>
      </c>
      <c r="I1118" s="1" t="s">
        <v>177</v>
      </c>
      <c r="J1118" s="22" t="n">
        <v>1504139</v>
      </c>
      <c r="L1118" s="22" t="n">
        <v>23076083</v>
      </c>
      <c r="M1118" s="1" t="s">
        <v>33</v>
      </c>
      <c r="N1118" s="1" t="s">
        <v>34</v>
      </c>
      <c r="P1118" s="22" t="n">
        <v>167</v>
      </c>
      <c r="Q1118" s="1" t="s">
        <v>220</v>
      </c>
      <c r="R1118" s="1" t="s">
        <v>36</v>
      </c>
      <c r="S1118" s="22" t="n">
        <v>1130101</v>
      </c>
      <c r="T1118" s="1" t="s">
        <v>37</v>
      </c>
      <c r="U1118" s="24" t="n">
        <v>368.38</v>
      </c>
      <c r="W1118" s="24" t="n">
        <v>0</v>
      </c>
      <c r="X1118" s="1" t="s">
        <v>1248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false" outlineLevel="0" collapsed="false">
      <c r="A1119" s="22" t="n">
        <v>3</v>
      </c>
      <c r="B1119" s="23" t="n">
        <v>46239</v>
      </c>
      <c r="C1119" s="23" t="n">
        <v>46268</v>
      </c>
      <c r="D1119" s="22" t="n">
        <v>1601</v>
      </c>
      <c r="E1119" s="1" t="s">
        <v>50</v>
      </c>
      <c r="F1119" s="22" t="n">
        <v>24</v>
      </c>
      <c r="G1119" s="1" t="s">
        <v>31</v>
      </c>
      <c r="H1119" s="22" t="n">
        <v>1110204</v>
      </c>
      <c r="I1119" s="1" t="s">
        <v>177</v>
      </c>
      <c r="J1119" s="22" t="n">
        <v>1508061</v>
      </c>
      <c r="L1119" s="22" t="n">
        <v>9610983</v>
      </c>
      <c r="M1119" s="1" t="s">
        <v>33</v>
      </c>
      <c r="N1119" s="1" t="s">
        <v>34</v>
      </c>
      <c r="P1119" s="22" t="n">
        <v>167</v>
      </c>
      <c r="Q1119" s="1" t="s">
        <v>220</v>
      </c>
      <c r="R1119" s="1" t="s">
        <v>36</v>
      </c>
      <c r="S1119" s="22" t="n">
        <v>1130101</v>
      </c>
      <c r="T1119" s="1" t="s">
        <v>37</v>
      </c>
      <c r="U1119" s="24" t="n">
        <v>477.87</v>
      </c>
      <c r="W1119" s="24" t="n">
        <v>0</v>
      </c>
      <c r="X1119" s="1" t="s">
        <v>1249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false" outlineLevel="0" collapsed="false">
      <c r="A1120" s="22" t="n">
        <v>3</v>
      </c>
      <c r="B1120" s="23" t="n">
        <v>46239</v>
      </c>
      <c r="C1120" s="23" t="n">
        <v>46268</v>
      </c>
      <c r="D1120" s="22" t="n">
        <v>1107</v>
      </c>
      <c r="E1120" s="1" t="s">
        <v>103</v>
      </c>
      <c r="F1120" s="22" t="n">
        <v>24</v>
      </c>
      <c r="G1120" s="1" t="s">
        <v>31</v>
      </c>
      <c r="H1120" s="22" t="n">
        <v>2110405</v>
      </c>
      <c r="I1120" s="1" t="s">
        <v>63</v>
      </c>
      <c r="J1120" s="22" t="n">
        <v>1509650</v>
      </c>
      <c r="L1120" s="22" t="n">
        <v>4383353</v>
      </c>
      <c r="M1120" s="1" t="s">
        <v>33</v>
      </c>
      <c r="N1120" s="1" t="s">
        <v>34</v>
      </c>
      <c r="P1120" s="22" t="n">
        <v>167</v>
      </c>
      <c r="Q1120" s="1" t="s">
        <v>220</v>
      </c>
      <c r="R1120" s="1" t="s">
        <v>36</v>
      </c>
      <c r="S1120" s="22" t="n">
        <v>1130101</v>
      </c>
      <c r="T1120" s="1" t="s">
        <v>37</v>
      </c>
      <c r="U1120" s="24" t="n">
        <v>984.44</v>
      </c>
      <c r="W1120" s="24" t="n">
        <v>0</v>
      </c>
      <c r="X1120" s="1" t="s">
        <v>1250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false" outlineLevel="0" collapsed="false">
      <c r="A1121" s="22" t="n">
        <v>3</v>
      </c>
      <c r="B1121" s="23" t="n">
        <v>46231</v>
      </c>
      <c r="C1121" s="23" t="n">
        <v>46269</v>
      </c>
      <c r="D1121" s="22" t="n">
        <v>33</v>
      </c>
      <c r="E1121" s="1" t="s">
        <v>297</v>
      </c>
      <c r="F1121" s="22" t="n">
        <v>34</v>
      </c>
      <c r="G1121" s="1" t="s">
        <v>58</v>
      </c>
      <c r="H1121" s="22" t="n">
        <v>2110405</v>
      </c>
      <c r="I1121" s="1" t="s">
        <v>63</v>
      </c>
      <c r="J1121" s="22" t="n">
        <v>1464721</v>
      </c>
      <c r="L1121" s="22" t="n">
        <v>227878</v>
      </c>
      <c r="M1121" s="1" t="s">
        <v>33</v>
      </c>
      <c r="N1121" s="1" t="s">
        <v>34</v>
      </c>
      <c r="P1121" s="22" t="n">
        <v>101</v>
      </c>
      <c r="Q1121" s="1" t="s">
        <v>136</v>
      </c>
      <c r="R1121" s="1" t="s">
        <v>372</v>
      </c>
      <c r="S1121" s="22" t="n">
        <v>2210202</v>
      </c>
      <c r="T1121" s="1" t="s">
        <v>372</v>
      </c>
      <c r="U1121" s="24" t="n">
        <v>1000</v>
      </c>
      <c r="W1121" s="24" t="n">
        <v>0</v>
      </c>
      <c r="X1121" s="1" t="s">
        <v>373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false" outlineLevel="0" collapsed="false">
      <c r="A1122" s="22" t="n">
        <v>3</v>
      </c>
      <c r="B1122" s="23" t="n">
        <v>46234</v>
      </c>
      <c r="C1122" s="23" t="n">
        <v>46269</v>
      </c>
      <c r="D1122" s="22" t="n">
        <v>519</v>
      </c>
      <c r="E1122" s="1" t="s">
        <v>365</v>
      </c>
      <c r="F1122" s="22" t="n">
        <v>34</v>
      </c>
      <c r="G1122" s="1" t="s">
        <v>58</v>
      </c>
      <c r="H1122" s="22" t="n">
        <v>2110405</v>
      </c>
      <c r="I1122" s="1" t="s">
        <v>63</v>
      </c>
      <c r="J1122" s="22" t="n">
        <v>1477410</v>
      </c>
      <c r="L1122" s="22" t="n">
        <v>229713</v>
      </c>
      <c r="M1122" s="1" t="s">
        <v>559</v>
      </c>
      <c r="N1122" s="1" t="s">
        <v>34</v>
      </c>
      <c r="P1122" s="22" t="n">
        <v>101</v>
      </c>
      <c r="Q1122" s="1" t="s">
        <v>136</v>
      </c>
      <c r="R1122" s="1" t="s">
        <v>372</v>
      </c>
      <c r="S1122" s="22" t="n">
        <v>2210203</v>
      </c>
      <c r="T1122" s="1" t="s">
        <v>1016</v>
      </c>
      <c r="U1122" s="24" t="n">
        <v>50000</v>
      </c>
      <c r="W1122" s="24" t="n">
        <v>0</v>
      </c>
      <c r="X1122" s="1" t="s">
        <v>1017</v>
      </c>
      <c r="Z1122" s="1" t="str">
        <f aca="false">IF($T1122="","",IFERROR(INDEX('Resumo Grupos'!$AC$3:$AC$200,MATCH($T1122,'Resumo Grupos'!$AB$3:$AB$200,0)),"n/d"))</f>
        <v>Empréstimo</v>
      </c>
      <c r="AA1122" s="1" t="str">
        <f aca="false">IF($T1122="","",IF(COUNTIF('Resumo Grupos'!$AE$3:$AE$40,$T1122)&gt;0,"NAO","SIM"))</f>
        <v>NAO</v>
      </c>
    </row>
    <row r="1123" customFormat="false" ht="12.75" hidden="false" customHeight="false" outlineLevel="0" collapsed="false">
      <c r="A1123" s="22" t="n">
        <v>3</v>
      </c>
      <c r="B1123" s="23" t="n">
        <v>46239</v>
      </c>
      <c r="C1123" s="23" t="n">
        <v>46269</v>
      </c>
      <c r="D1123" s="22" t="n">
        <v>1699</v>
      </c>
      <c r="E1123" s="1" t="s">
        <v>87</v>
      </c>
      <c r="F1123" s="22" t="n">
        <v>24</v>
      </c>
      <c r="G1123" s="1" t="s">
        <v>31</v>
      </c>
      <c r="H1123" s="22" t="n">
        <v>2110405</v>
      </c>
      <c r="I1123" s="1" t="s">
        <v>63</v>
      </c>
      <c r="J1123" s="22" t="n">
        <v>1512621</v>
      </c>
      <c r="L1123" s="22" t="n">
        <v>3101543</v>
      </c>
      <c r="M1123" s="1" t="s">
        <v>33</v>
      </c>
      <c r="N1123" s="1" t="s">
        <v>34</v>
      </c>
      <c r="P1123" s="22" t="n">
        <v>167</v>
      </c>
      <c r="Q1123" s="1" t="s">
        <v>220</v>
      </c>
      <c r="R1123" s="1" t="s">
        <v>36</v>
      </c>
      <c r="S1123" s="22" t="n">
        <v>1130101</v>
      </c>
      <c r="T1123" s="1" t="s">
        <v>37</v>
      </c>
      <c r="U1123" s="24" t="n">
        <v>986.04</v>
      </c>
      <c r="W1123" s="24" t="n">
        <v>0</v>
      </c>
      <c r="X1123" s="1" t="s">
        <v>1251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false" outlineLevel="0" collapsed="false">
      <c r="A1124" s="22" t="n">
        <v>3</v>
      </c>
      <c r="B1124" s="23" t="n">
        <v>46240</v>
      </c>
      <c r="C1124" s="23" t="n">
        <v>46269</v>
      </c>
      <c r="D1124" s="22" t="n">
        <v>1136</v>
      </c>
      <c r="E1124" s="1" t="s">
        <v>123</v>
      </c>
      <c r="F1124" s="22" t="n">
        <v>24</v>
      </c>
      <c r="G1124" s="1" t="s">
        <v>31</v>
      </c>
      <c r="H1124" s="22" t="n">
        <v>2110405</v>
      </c>
      <c r="I1124" s="1" t="s">
        <v>63</v>
      </c>
      <c r="J1124" s="22" t="n">
        <v>1513145</v>
      </c>
      <c r="L1124" s="22" t="n">
        <v>535483</v>
      </c>
      <c r="M1124" s="1" t="s">
        <v>33</v>
      </c>
      <c r="N1124" s="1" t="s">
        <v>34</v>
      </c>
      <c r="P1124" s="22" t="n">
        <v>167</v>
      </c>
      <c r="Q1124" s="1" t="s">
        <v>220</v>
      </c>
      <c r="R1124" s="1" t="s">
        <v>36</v>
      </c>
      <c r="S1124" s="22" t="n">
        <v>1130101</v>
      </c>
      <c r="T1124" s="1" t="s">
        <v>37</v>
      </c>
      <c r="U1124" s="24" t="n">
        <v>500.78</v>
      </c>
      <c r="W1124" s="24" t="n">
        <v>0</v>
      </c>
      <c r="X1124" s="1" t="s">
        <v>1252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false" outlineLevel="0" collapsed="false">
      <c r="A1125" s="22" t="n">
        <v>3</v>
      </c>
      <c r="B1125" s="23" t="n">
        <v>46147</v>
      </c>
      <c r="C1125" s="23" t="n">
        <v>46270</v>
      </c>
      <c r="D1125" s="22" t="n">
        <v>515</v>
      </c>
      <c r="E1125" s="1" t="s">
        <v>240</v>
      </c>
      <c r="F1125" s="22" t="n">
        <v>34</v>
      </c>
      <c r="G1125" s="1" t="s">
        <v>58</v>
      </c>
      <c r="H1125" s="22" t="n">
        <v>2110405</v>
      </c>
      <c r="I1125" s="1" t="s">
        <v>63</v>
      </c>
      <c r="J1125" s="22" t="n">
        <v>1157461</v>
      </c>
      <c r="L1125" s="22" t="n">
        <v>181615</v>
      </c>
      <c r="M1125" s="1" t="s">
        <v>555</v>
      </c>
      <c r="N1125" s="1" t="s">
        <v>34</v>
      </c>
      <c r="P1125" s="22" t="n">
        <v>101</v>
      </c>
      <c r="Q1125" s="1" t="s">
        <v>136</v>
      </c>
      <c r="R1125" s="1" t="s">
        <v>165</v>
      </c>
      <c r="S1125" s="22" t="n">
        <v>4210508</v>
      </c>
      <c r="T1125" s="1" t="s">
        <v>241</v>
      </c>
      <c r="U1125" s="24" t="n">
        <v>151.61</v>
      </c>
      <c r="W1125" s="24" t="n">
        <v>0</v>
      </c>
      <c r="X1125" s="1" t="s">
        <v>1253</v>
      </c>
      <c r="Z1125" s="1" t="str">
        <f aca="false">IF($T1125="","",IFERROR(INDEX('Resumo Grupos'!$AC$3:$AC$200,MATCH($T1125,'Resumo Grupos'!$AB$3:$AB$200,0)),"n/d"))</f>
        <v>Despesa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false" outlineLevel="0" collapsed="false">
      <c r="A1126" s="22" t="n">
        <v>3</v>
      </c>
      <c r="B1126" s="23" t="n">
        <v>46231</v>
      </c>
      <c r="C1126" s="23" t="n">
        <v>46270</v>
      </c>
      <c r="D1126" s="22" t="n">
        <v>1040</v>
      </c>
      <c r="E1126" s="1" t="s">
        <v>479</v>
      </c>
      <c r="F1126" s="22" t="n">
        <v>24</v>
      </c>
      <c r="G1126" s="1" t="s">
        <v>31</v>
      </c>
      <c r="H1126" s="22" t="n">
        <v>2110405</v>
      </c>
      <c r="I1126" s="1" t="s">
        <v>63</v>
      </c>
      <c r="J1126" s="22" t="n">
        <v>1464735</v>
      </c>
      <c r="L1126" s="22" t="n">
        <v>227881</v>
      </c>
      <c r="M1126" s="1" t="s">
        <v>33</v>
      </c>
      <c r="N1126" s="1" t="s">
        <v>34</v>
      </c>
      <c r="P1126" s="22" t="n">
        <v>101</v>
      </c>
      <c r="Q1126" s="1" t="s">
        <v>136</v>
      </c>
      <c r="R1126" s="1" t="s">
        <v>64</v>
      </c>
      <c r="S1126" s="22" t="n">
        <v>4210201</v>
      </c>
      <c r="T1126" s="1" t="s">
        <v>480</v>
      </c>
      <c r="U1126" s="24" t="n">
        <v>286</v>
      </c>
      <c r="W1126" s="24" t="n">
        <v>0</v>
      </c>
      <c r="X1126" s="1" t="s">
        <v>970</v>
      </c>
      <c r="Z1126" s="1" t="str">
        <f aca="false">IF($T1126="","",IFERROR(INDEX('Resumo Grupos'!$AC$3:$AC$200,MATCH($T1126,'Resumo Grupos'!$AB$3:$AB$200,0)),"n/d"))</f>
        <v>Despesa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false" outlineLevel="0" collapsed="false">
      <c r="A1127" s="22" t="n">
        <v>3</v>
      </c>
      <c r="B1127" s="23" t="n">
        <v>46233</v>
      </c>
      <c r="C1127" s="23" t="n">
        <v>46272</v>
      </c>
      <c r="D1127" s="22" t="n">
        <v>1636</v>
      </c>
      <c r="E1127" s="1" t="s">
        <v>195</v>
      </c>
      <c r="F1127" s="22" t="n">
        <v>24</v>
      </c>
      <c r="G1127" s="1" t="s">
        <v>31</v>
      </c>
      <c r="H1127" s="22" t="n">
        <v>1110204</v>
      </c>
      <c r="I1127" s="1" t="s">
        <v>177</v>
      </c>
      <c r="J1127" s="22" t="n">
        <v>1495417</v>
      </c>
      <c r="L1127" s="22" t="n">
        <v>232254</v>
      </c>
      <c r="M1127" s="1" t="s">
        <v>33</v>
      </c>
      <c r="N1127" s="1" t="s">
        <v>34</v>
      </c>
      <c r="P1127" s="22" t="n">
        <v>167</v>
      </c>
      <c r="Q1127" s="1" t="s">
        <v>220</v>
      </c>
      <c r="R1127" s="1" t="s">
        <v>36</v>
      </c>
      <c r="S1127" s="22" t="n">
        <v>1130101</v>
      </c>
      <c r="T1127" s="1" t="s">
        <v>37</v>
      </c>
      <c r="U1127" s="24" t="n">
        <v>949.63</v>
      </c>
      <c r="W1127" s="24" t="n">
        <v>0</v>
      </c>
      <c r="X1127" s="1" t="s">
        <v>1254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false" outlineLevel="0" collapsed="false">
      <c r="A1128" s="22" t="n">
        <v>3</v>
      </c>
      <c r="B1128" s="23" t="n">
        <v>46237</v>
      </c>
      <c r="C1128" s="23" t="n">
        <v>46272</v>
      </c>
      <c r="D1128" s="22" t="n">
        <v>846</v>
      </c>
      <c r="E1128" s="1" t="s">
        <v>1132</v>
      </c>
      <c r="F1128" s="22" t="n">
        <v>24</v>
      </c>
      <c r="G1128" s="1" t="s">
        <v>31</v>
      </c>
      <c r="H1128" s="22" t="n">
        <v>1110204</v>
      </c>
      <c r="I1128" s="1" t="s">
        <v>177</v>
      </c>
      <c r="J1128" s="22" t="n">
        <v>1498628</v>
      </c>
      <c r="L1128" s="22" t="n">
        <v>8464</v>
      </c>
      <c r="M1128" s="1" t="s">
        <v>33</v>
      </c>
      <c r="N1128" s="1" t="s">
        <v>34</v>
      </c>
      <c r="P1128" s="22" t="n">
        <v>167</v>
      </c>
      <c r="Q1128" s="1" t="s">
        <v>220</v>
      </c>
      <c r="R1128" s="1" t="s">
        <v>36</v>
      </c>
      <c r="S1128" s="22" t="n">
        <v>1130101</v>
      </c>
      <c r="T1128" s="1" t="s">
        <v>37</v>
      </c>
      <c r="U1128" s="24" t="n">
        <v>538.18</v>
      </c>
      <c r="W1128" s="24" t="n">
        <v>0</v>
      </c>
      <c r="X1128" s="1" t="s">
        <v>1255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false" outlineLevel="0" collapsed="false">
      <c r="A1129" s="22" t="n">
        <v>3</v>
      </c>
      <c r="B1129" s="23" t="n">
        <v>46239</v>
      </c>
      <c r="C1129" s="23" t="n">
        <v>46272</v>
      </c>
      <c r="D1129" s="22" t="n">
        <v>1659</v>
      </c>
      <c r="E1129" s="1" t="s">
        <v>30</v>
      </c>
      <c r="F1129" s="22" t="n">
        <v>24</v>
      </c>
      <c r="G1129" s="1" t="s">
        <v>31</v>
      </c>
      <c r="H1129" s="22" t="n">
        <v>2110405</v>
      </c>
      <c r="I1129" s="1" t="s">
        <v>63</v>
      </c>
      <c r="J1129" s="22" t="n">
        <v>1509248</v>
      </c>
      <c r="L1129" s="22" t="n">
        <v>8893821</v>
      </c>
      <c r="M1129" s="1" t="s">
        <v>33</v>
      </c>
      <c r="N1129" s="1" t="s">
        <v>34</v>
      </c>
      <c r="P1129" s="22" t="n">
        <v>167</v>
      </c>
      <c r="Q1129" s="1" t="s">
        <v>220</v>
      </c>
      <c r="R1129" s="1" t="s">
        <v>36</v>
      </c>
      <c r="S1129" s="22" t="n">
        <v>1130101</v>
      </c>
      <c r="T1129" s="1" t="s">
        <v>37</v>
      </c>
      <c r="U1129" s="24" t="n">
        <v>710.92</v>
      </c>
      <c r="W1129" s="24" t="n">
        <v>0</v>
      </c>
      <c r="X1129" s="1" t="s">
        <v>1256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false" outlineLevel="0" collapsed="false">
      <c r="A1130" s="22" t="n">
        <v>3</v>
      </c>
      <c r="B1130" s="23" t="n">
        <v>46211</v>
      </c>
      <c r="C1130" s="23" t="n">
        <v>46273</v>
      </c>
      <c r="D1130" s="22" t="n">
        <v>1398</v>
      </c>
      <c r="E1130" s="1" t="s">
        <v>808</v>
      </c>
      <c r="F1130" s="22" t="n">
        <v>24</v>
      </c>
      <c r="G1130" s="1" t="s">
        <v>31</v>
      </c>
      <c r="H1130" s="22" t="n">
        <v>1110204</v>
      </c>
      <c r="I1130" s="1" t="s">
        <v>177</v>
      </c>
      <c r="J1130" s="22" t="n">
        <v>1397037</v>
      </c>
      <c r="L1130" s="22" t="n">
        <v>33334</v>
      </c>
      <c r="M1130" s="1" t="s">
        <v>33</v>
      </c>
      <c r="N1130" s="1" t="s">
        <v>34</v>
      </c>
      <c r="P1130" s="22" t="n">
        <v>167</v>
      </c>
      <c r="Q1130" s="1" t="s">
        <v>220</v>
      </c>
      <c r="R1130" s="1" t="s">
        <v>36</v>
      </c>
      <c r="S1130" s="22" t="n">
        <v>1130101</v>
      </c>
      <c r="T1130" s="1" t="s">
        <v>37</v>
      </c>
      <c r="U1130" s="24" t="n">
        <v>592.05</v>
      </c>
      <c r="W1130" s="24" t="n">
        <v>0</v>
      </c>
      <c r="X1130" s="1" t="s">
        <v>1257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false" outlineLevel="0" collapsed="false">
      <c r="A1131" s="22" t="n">
        <v>3</v>
      </c>
      <c r="B1131" s="23" t="n">
        <v>46184</v>
      </c>
      <c r="C1131" s="23" t="n">
        <v>46274</v>
      </c>
      <c r="D1131" s="22" t="n">
        <v>1611</v>
      </c>
      <c r="E1131" s="1" t="s">
        <v>199</v>
      </c>
      <c r="F1131" s="22" t="n">
        <v>24</v>
      </c>
      <c r="G1131" s="1" t="s">
        <v>31</v>
      </c>
      <c r="H1131" s="22" t="n">
        <v>2110101</v>
      </c>
      <c r="I1131" s="1" t="s">
        <v>32</v>
      </c>
      <c r="J1131" s="22" t="n">
        <v>1239689</v>
      </c>
      <c r="L1131" s="22" t="n">
        <v>180736293</v>
      </c>
      <c r="M1131" s="1" t="s">
        <v>33</v>
      </c>
      <c r="N1131" s="1" t="s">
        <v>34</v>
      </c>
      <c r="P1131" s="22" t="n">
        <v>128</v>
      </c>
      <c r="Q1131" s="1" t="s">
        <v>35</v>
      </c>
      <c r="R1131" s="1" t="s">
        <v>36</v>
      </c>
      <c r="S1131" s="22" t="n">
        <v>1130101</v>
      </c>
      <c r="T1131" s="1" t="s">
        <v>37</v>
      </c>
      <c r="U1131" s="24" t="n">
        <v>1718.76</v>
      </c>
      <c r="W1131" s="24" t="n">
        <v>0</v>
      </c>
      <c r="X1131" s="1" t="s">
        <v>1258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false" outlineLevel="0" collapsed="false">
      <c r="A1132" s="22" t="n">
        <v>3</v>
      </c>
      <c r="B1132" s="23" t="n">
        <v>46122</v>
      </c>
      <c r="C1132" s="23" t="n">
        <v>46275</v>
      </c>
      <c r="D1132" s="22" t="n">
        <v>815</v>
      </c>
      <c r="E1132" s="1" t="s">
        <v>410</v>
      </c>
      <c r="F1132" s="22" t="n">
        <v>34</v>
      </c>
      <c r="G1132" s="1" t="s">
        <v>58</v>
      </c>
      <c r="H1132" s="22" t="n">
        <v>2110405</v>
      </c>
      <c r="I1132" s="1" t="s">
        <v>63</v>
      </c>
      <c r="J1132" s="22" t="n">
        <v>793794</v>
      </c>
      <c r="L1132" s="22" t="n">
        <v>100326</v>
      </c>
      <c r="M1132" s="1" t="s">
        <v>353</v>
      </c>
      <c r="N1132" s="1" t="s">
        <v>34</v>
      </c>
      <c r="P1132" s="22" t="n">
        <v>101</v>
      </c>
      <c r="Q1132" s="1" t="s">
        <v>136</v>
      </c>
      <c r="R1132" s="1" t="s">
        <v>411</v>
      </c>
      <c r="S1132" s="22" t="n">
        <v>2110901</v>
      </c>
      <c r="T1132" s="1" t="s">
        <v>412</v>
      </c>
      <c r="U1132" s="24" t="n">
        <v>1500</v>
      </c>
      <c r="W1132" s="24" t="n">
        <v>0</v>
      </c>
      <c r="X1132" s="1" t="s">
        <v>413</v>
      </c>
      <c r="Z1132" s="1" t="str">
        <f aca="false">IF($T1132="","",IFERROR(INDEX('Resumo Grupos'!$AC$3:$AC$200,MATCH($T1132,'Resumo Grupos'!$AB$3:$AB$200,0)),"n/d"))</f>
        <v>Empréstimo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false" outlineLevel="0" collapsed="false">
      <c r="A1133" s="22" t="n">
        <v>3</v>
      </c>
      <c r="B1133" s="23" t="n">
        <v>46211</v>
      </c>
      <c r="C1133" s="23" t="n">
        <v>46275</v>
      </c>
      <c r="D1133" s="22" t="n">
        <v>33</v>
      </c>
      <c r="E1133" s="1" t="s">
        <v>297</v>
      </c>
      <c r="F1133" s="22" t="n">
        <v>34</v>
      </c>
      <c r="G1133" s="1" t="s">
        <v>58</v>
      </c>
      <c r="H1133" s="22" t="n">
        <v>2110405</v>
      </c>
      <c r="I1133" s="1" t="s">
        <v>63</v>
      </c>
      <c r="J1133" s="22" t="n">
        <v>1370731</v>
      </c>
      <c r="L1133" s="22" t="n">
        <v>213889</v>
      </c>
      <c r="M1133" s="1" t="s">
        <v>349</v>
      </c>
      <c r="N1133" s="1" t="s">
        <v>34</v>
      </c>
      <c r="P1133" s="22" t="n">
        <v>101</v>
      </c>
      <c r="Q1133" s="1" t="s">
        <v>136</v>
      </c>
      <c r="R1133" s="1" t="s">
        <v>64</v>
      </c>
      <c r="S1133" s="22" t="n">
        <v>4210222</v>
      </c>
      <c r="T1133" s="1" t="s">
        <v>632</v>
      </c>
      <c r="U1133" s="24" t="n">
        <v>666.67</v>
      </c>
      <c r="W1133" s="24" t="n">
        <v>0</v>
      </c>
      <c r="X1133" s="1" t="s">
        <v>633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false" outlineLevel="0" collapsed="false">
      <c r="A1134" s="22" t="n">
        <v>3</v>
      </c>
      <c r="B1134" s="23" t="n">
        <v>46214</v>
      </c>
      <c r="C1134" s="23" t="n">
        <v>46275</v>
      </c>
      <c r="D1134" s="22" t="n">
        <v>1028</v>
      </c>
      <c r="E1134" s="1" t="s">
        <v>487</v>
      </c>
      <c r="F1134" s="22" t="n">
        <v>34</v>
      </c>
      <c r="G1134" s="1" t="s">
        <v>58</v>
      </c>
      <c r="H1134" s="22" t="n">
        <v>2110405</v>
      </c>
      <c r="I1134" s="1" t="s">
        <v>63</v>
      </c>
      <c r="J1134" s="22" t="n">
        <v>1382524</v>
      </c>
      <c r="L1134" s="22" t="n">
        <v>215701</v>
      </c>
      <c r="M1134" s="1" t="s">
        <v>349</v>
      </c>
      <c r="N1134" s="1" t="s">
        <v>34</v>
      </c>
      <c r="P1134" s="22" t="n">
        <v>101</v>
      </c>
      <c r="Q1134" s="1" t="s">
        <v>136</v>
      </c>
      <c r="R1134" s="1" t="s">
        <v>206</v>
      </c>
      <c r="S1134" s="22" t="n">
        <v>4210111</v>
      </c>
      <c r="T1134" s="1" t="s">
        <v>488</v>
      </c>
      <c r="U1134" s="24" t="n">
        <v>5500</v>
      </c>
      <c r="W1134" s="24" t="n">
        <v>0</v>
      </c>
      <c r="X1134" s="1" t="s">
        <v>489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false" outlineLevel="0" collapsed="false">
      <c r="A1135" s="22" t="n">
        <v>3</v>
      </c>
      <c r="B1135" s="23" t="n">
        <v>46234</v>
      </c>
      <c r="C1135" s="23" t="n">
        <v>46275</v>
      </c>
      <c r="D1135" s="22" t="n">
        <v>815</v>
      </c>
      <c r="E1135" s="1" t="s">
        <v>410</v>
      </c>
      <c r="F1135" s="22" t="n">
        <v>34</v>
      </c>
      <c r="G1135" s="1" t="s">
        <v>58</v>
      </c>
      <c r="H1135" s="22" t="n">
        <v>2110405</v>
      </c>
      <c r="I1135" s="1" t="s">
        <v>63</v>
      </c>
      <c r="J1135" s="22" t="n">
        <v>1477448</v>
      </c>
      <c r="L1135" s="22" t="n">
        <v>229731</v>
      </c>
      <c r="M1135" s="1" t="s">
        <v>559</v>
      </c>
      <c r="N1135" s="1" t="s">
        <v>34</v>
      </c>
      <c r="P1135" s="22" t="n">
        <v>101</v>
      </c>
      <c r="Q1135" s="1" t="s">
        <v>136</v>
      </c>
      <c r="R1135" s="1" t="s">
        <v>372</v>
      </c>
      <c r="S1135" s="22" t="n">
        <v>2210203</v>
      </c>
      <c r="T1135" s="1" t="s">
        <v>1016</v>
      </c>
      <c r="U1135" s="24" t="n">
        <v>75000</v>
      </c>
      <c r="W1135" s="24" t="n">
        <v>0</v>
      </c>
      <c r="X1135" s="1" t="s">
        <v>1048</v>
      </c>
      <c r="Z1135" s="1" t="str">
        <f aca="false">IF($T1135="","",IFERROR(INDEX('Resumo Grupos'!$AC$3:$AC$200,MATCH($T1135,'Resumo Grupos'!$AB$3:$AB$200,0)),"n/d"))</f>
        <v>Empréstimo</v>
      </c>
      <c r="AA1135" s="1" t="str">
        <f aca="false">IF($T1135="","",IF(COUNTIF('Resumo Grupos'!$AE$3:$AE$40,$T1135)&gt;0,"NAO","SIM"))</f>
        <v>NAO</v>
      </c>
    </row>
    <row r="1136" customFormat="false" ht="12.75" hidden="false" customHeight="false" outlineLevel="0" collapsed="false">
      <c r="A1136" s="22" t="n">
        <v>3</v>
      </c>
      <c r="B1136" s="23" t="n">
        <v>46186</v>
      </c>
      <c r="C1136" s="23" t="n">
        <v>46276</v>
      </c>
      <c r="D1136" s="22" t="n">
        <v>957</v>
      </c>
      <c r="E1136" s="1" t="s">
        <v>134</v>
      </c>
      <c r="F1136" s="22" t="n">
        <v>24</v>
      </c>
      <c r="G1136" s="1" t="s">
        <v>31</v>
      </c>
      <c r="H1136" s="22" t="n">
        <v>2110101</v>
      </c>
      <c r="I1136" s="1" t="s">
        <v>32</v>
      </c>
      <c r="J1136" s="22" t="n">
        <v>1270024</v>
      </c>
      <c r="L1136" s="22" t="n">
        <v>204691</v>
      </c>
      <c r="M1136" s="1" t="s">
        <v>33</v>
      </c>
      <c r="N1136" s="1" t="s">
        <v>34</v>
      </c>
      <c r="P1136" s="22" t="n">
        <v>128</v>
      </c>
      <c r="Q1136" s="1" t="s">
        <v>35</v>
      </c>
      <c r="R1136" s="1" t="s">
        <v>36</v>
      </c>
      <c r="S1136" s="22" t="n">
        <v>1130101</v>
      </c>
      <c r="T1136" s="1" t="s">
        <v>37</v>
      </c>
      <c r="U1136" s="24" t="n">
        <v>245.49</v>
      </c>
      <c r="W1136" s="24" t="n">
        <v>0</v>
      </c>
      <c r="X1136" s="1" t="s">
        <v>1259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false" outlineLevel="0" collapsed="false">
      <c r="A1137" s="22" t="n">
        <v>3</v>
      </c>
      <c r="B1137" s="23" t="n">
        <v>46097</v>
      </c>
      <c r="C1137" s="23" t="n">
        <v>46280</v>
      </c>
      <c r="D1137" s="22" t="n">
        <v>1867</v>
      </c>
      <c r="E1137" s="1" t="s">
        <v>554</v>
      </c>
      <c r="F1137" s="22" t="n">
        <v>24</v>
      </c>
      <c r="G1137" s="1" t="s">
        <v>31</v>
      </c>
      <c r="H1137" s="22" t="n">
        <v>2110405</v>
      </c>
      <c r="I1137" s="1" t="s">
        <v>63</v>
      </c>
      <c r="J1137" s="22" t="n">
        <v>809440</v>
      </c>
      <c r="L1137" s="22" t="n">
        <v>777006512</v>
      </c>
      <c r="M1137" s="1" t="s">
        <v>367</v>
      </c>
      <c r="N1137" s="1" t="s">
        <v>34</v>
      </c>
      <c r="P1137" s="22" t="n">
        <v>101</v>
      </c>
      <c r="Q1137" s="1" t="s">
        <v>136</v>
      </c>
      <c r="R1137" s="1" t="s">
        <v>556</v>
      </c>
      <c r="S1137" s="22" t="n">
        <v>4210401</v>
      </c>
      <c r="T1137" s="1" t="s">
        <v>557</v>
      </c>
      <c r="U1137" s="24" t="n">
        <v>225.2</v>
      </c>
      <c r="W1137" s="24" t="n">
        <v>0</v>
      </c>
      <c r="X1137" s="1" t="s">
        <v>1260</v>
      </c>
      <c r="Z1137" s="1" t="str">
        <f aca="false">IF($T1137="","",IFERROR(INDEX('Resumo Grupos'!$AC$3:$AC$200,MATCH($T1137,'Resumo Grupos'!$AB$3:$AB$200,0)),"n/d"))</f>
        <v>Impostos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false" outlineLevel="0" collapsed="false">
      <c r="A1138" s="22" t="n">
        <v>3</v>
      </c>
      <c r="B1138" s="23" t="n">
        <v>46231</v>
      </c>
      <c r="C1138" s="23" t="n">
        <v>46280</v>
      </c>
      <c r="D1138" s="22" t="n">
        <v>1893</v>
      </c>
      <c r="E1138" s="1" t="s">
        <v>564</v>
      </c>
      <c r="F1138" s="22" t="n">
        <v>34</v>
      </c>
      <c r="G1138" s="1" t="s">
        <v>58</v>
      </c>
      <c r="H1138" s="22" t="n">
        <v>2110405</v>
      </c>
      <c r="I1138" s="1" t="s">
        <v>63</v>
      </c>
      <c r="J1138" s="22" t="n">
        <v>1464910</v>
      </c>
      <c r="L1138" s="22" t="n">
        <v>227905</v>
      </c>
      <c r="M1138" s="1" t="s">
        <v>559</v>
      </c>
      <c r="N1138" s="1" t="s">
        <v>34</v>
      </c>
      <c r="P1138" s="22" t="n">
        <v>101</v>
      </c>
      <c r="Q1138" s="1" t="s">
        <v>136</v>
      </c>
      <c r="R1138" s="1" t="s">
        <v>137</v>
      </c>
      <c r="S1138" s="22" t="n">
        <v>4210315</v>
      </c>
      <c r="T1138" s="1" t="s">
        <v>182</v>
      </c>
      <c r="U1138" s="24" t="n">
        <v>177.65</v>
      </c>
      <c r="W1138" s="24" t="n">
        <v>0</v>
      </c>
      <c r="X1138" s="1" t="s">
        <v>1110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false" outlineLevel="0" collapsed="false">
      <c r="A1139" s="22" t="n">
        <v>3</v>
      </c>
      <c r="B1139" s="23" t="n">
        <v>46220</v>
      </c>
      <c r="C1139" s="23" t="n">
        <v>46282</v>
      </c>
      <c r="D1139" s="22" t="n">
        <v>16</v>
      </c>
      <c r="E1139" s="1" t="s">
        <v>365</v>
      </c>
      <c r="F1139" s="22" t="n">
        <v>34</v>
      </c>
      <c r="G1139" s="1" t="s">
        <v>58</v>
      </c>
      <c r="H1139" s="22" t="n">
        <v>2110405</v>
      </c>
      <c r="I1139" s="1" t="s">
        <v>63</v>
      </c>
      <c r="J1139" s="22" t="n">
        <v>1415325</v>
      </c>
      <c r="L1139" s="22" t="n">
        <v>220522</v>
      </c>
      <c r="M1139" s="1" t="s">
        <v>559</v>
      </c>
      <c r="N1139" s="1" t="s">
        <v>34</v>
      </c>
      <c r="P1139" s="22" t="n">
        <v>101</v>
      </c>
      <c r="Q1139" s="1" t="s">
        <v>136</v>
      </c>
      <c r="R1139" s="1" t="s">
        <v>372</v>
      </c>
      <c r="S1139" s="22" t="n">
        <v>2210202</v>
      </c>
      <c r="T1139" s="1" t="s">
        <v>372</v>
      </c>
      <c r="U1139" s="24" t="n">
        <v>1000</v>
      </c>
      <c r="W1139" s="24" t="n">
        <v>0</v>
      </c>
      <c r="X1139" s="1" t="s">
        <v>1115</v>
      </c>
      <c r="Z1139" s="1" t="str">
        <f aca="false">IF($T1139="","",IFERROR(INDEX('Resumo Grupos'!$AC$3:$AC$200,MATCH($T1139,'Resumo Grupos'!$AB$3:$AB$200,0)),"n/d"))</f>
        <v>Empréstimo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false" outlineLevel="0" collapsed="false">
      <c r="A1140" s="22" t="n">
        <v>3</v>
      </c>
      <c r="B1140" s="23" t="n">
        <v>46224</v>
      </c>
      <c r="C1140" s="23" t="n">
        <v>46282</v>
      </c>
      <c r="D1140" s="22" t="n">
        <v>16</v>
      </c>
      <c r="E1140" s="1" t="s">
        <v>365</v>
      </c>
      <c r="F1140" s="22" t="n">
        <v>34</v>
      </c>
      <c r="G1140" s="1" t="s">
        <v>58</v>
      </c>
      <c r="H1140" s="22" t="n">
        <v>2110405</v>
      </c>
      <c r="I1140" s="1" t="s">
        <v>63</v>
      </c>
      <c r="J1140" s="22" t="n">
        <v>1428695</v>
      </c>
      <c r="L1140" s="22" t="n">
        <v>222991</v>
      </c>
      <c r="M1140" s="1" t="s">
        <v>559</v>
      </c>
      <c r="N1140" s="1" t="s">
        <v>34</v>
      </c>
      <c r="P1140" s="22" t="n">
        <v>101</v>
      </c>
      <c r="Q1140" s="1" t="s">
        <v>136</v>
      </c>
      <c r="R1140" s="1" t="s">
        <v>372</v>
      </c>
      <c r="S1140" s="22" t="n">
        <v>2210202</v>
      </c>
      <c r="T1140" s="1" t="s">
        <v>372</v>
      </c>
      <c r="U1140" s="24" t="n">
        <v>3000</v>
      </c>
      <c r="W1140" s="24" t="n">
        <v>0</v>
      </c>
      <c r="X1140" s="1" t="s">
        <v>1261</v>
      </c>
      <c r="Z1140" s="1" t="str">
        <f aca="false">IF($T1140="","",IFERROR(INDEX('Resumo Grupos'!$AC$3:$AC$200,MATCH($T1140,'Resumo Grupos'!$AB$3:$AB$200,0)),"n/d"))</f>
        <v>Empréstimo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false" outlineLevel="0" collapsed="false">
      <c r="A1141" s="22" t="n">
        <v>3</v>
      </c>
      <c r="B1141" s="23" t="n">
        <v>46231</v>
      </c>
      <c r="C1141" s="23" t="n">
        <v>46282</v>
      </c>
      <c r="D1141" s="22" t="n">
        <v>1354</v>
      </c>
      <c r="E1141" s="1" t="s">
        <v>1120</v>
      </c>
      <c r="F1141" s="22" t="n">
        <v>60</v>
      </c>
      <c r="G1141" s="1" t="s">
        <v>1121</v>
      </c>
      <c r="H1141" s="22" t="n">
        <v>2110405</v>
      </c>
      <c r="I1141" s="1" t="s">
        <v>63</v>
      </c>
      <c r="J1141" s="22" t="n">
        <v>1468184</v>
      </c>
      <c r="L1141" s="22" t="n">
        <v>13392</v>
      </c>
      <c r="M1141" s="1" t="s">
        <v>33</v>
      </c>
      <c r="N1141" s="1" t="s">
        <v>34</v>
      </c>
      <c r="P1141" s="22" t="n">
        <v>167</v>
      </c>
      <c r="Q1141" s="1" t="s">
        <v>220</v>
      </c>
      <c r="R1141" s="1" t="s">
        <v>64</v>
      </c>
      <c r="S1141" s="22" t="n">
        <v>4210227</v>
      </c>
      <c r="T1141" s="1" t="s">
        <v>65</v>
      </c>
      <c r="U1141" s="24" t="n">
        <v>121.66</v>
      </c>
      <c r="W1141" s="24" t="n">
        <v>0</v>
      </c>
      <c r="X1141" s="1" t="s">
        <v>1262</v>
      </c>
      <c r="Z1141" s="1" t="str">
        <f aca="false">IF($T1141="","",IFERROR(INDEX('Resumo Grupos'!$AC$3:$AC$200,MATCH($T1141,'Resumo Grupos'!$AB$3:$AB$200,0)),"n/d"))</f>
        <v>Despesa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false" outlineLevel="0" collapsed="false">
      <c r="A1142" s="22" t="n">
        <v>3</v>
      </c>
      <c r="B1142" s="23" t="n">
        <v>45950</v>
      </c>
      <c r="C1142" s="23" t="n">
        <v>46283</v>
      </c>
      <c r="D1142" s="22" t="n">
        <v>515</v>
      </c>
      <c r="E1142" s="1" t="s">
        <v>240</v>
      </c>
      <c r="F1142" s="22" t="n">
        <v>34</v>
      </c>
      <c r="G1142" s="1" t="s">
        <v>58</v>
      </c>
      <c r="H1142" s="22" t="n">
        <v>2110405</v>
      </c>
      <c r="I1142" s="1" t="s">
        <v>63</v>
      </c>
      <c r="J1142" s="22" t="n">
        <v>546000</v>
      </c>
      <c r="L1142" s="22" t="n">
        <v>85577</v>
      </c>
      <c r="M1142" s="1" t="s">
        <v>1263</v>
      </c>
      <c r="N1142" s="1" t="s">
        <v>34</v>
      </c>
      <c r="P1142" s="22" t="n">
        <v>101</v>
      </c>
      <c r="Q1142" s="1" t="s">
        <v>136</v>
      </c>
      <c r="R1142" s="1" t="s">
        <v>64</v>
      </c>
      <c r="S1142" s="22" t="n">
        <v>4210210</v>
      </c>
      <c r="T1142" s="1" t="s">
        <v>676</v>
      </c>
      <c r="U1142" s="24" t="n">
        <v>45.73</v>
      </c>
      <c r="W1142" s="24" t="n">
        <v>0</v>
      </c>
      <c r="X1142" s="1" t="s">
        <v>1264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false" outlineLevel="0" collapsed="false">
      <c r="A1143" s="22" t="n">
        <v>3</v>
      </c>
      <c r="B1143" s="23" t="n">
        <v>46009</v>
      </c>
      <c r="C1143" s="23" t="n">
        <v>46283</v>
      </c>
      <c r="D1143" s="22" t="n">
        <v>515</v>
      </c>
      <c r="E1143" s="1" t="s">
        <v>240</v>
      </c>
      <c r="F1143" s="22" t="n">
        <v>34</v>
      </c>
      <c r="G1143" s="1" t="s">
        <v>58</v>
      </c>
      <c r="H1143" s="22" t="n">
        <v>2110405</v>
      </c>
      <c r="I1143" s="1" t="s">
        <v>63</v>
      </c>
      <c r="J1143" s="22" t="n">
        <v>818253</v>
      </c>
      <c r="L1143" s="22" t="n">
        <v>129421</v>
      </c>
      <c r="M1143" s="1" t="s">
        <v>675</v>
      </c>
      <c r="N1143" s="1" t="s">
        <v>34</v>
      </c>
      <c r="P1143" s="22" t="n">
        <v>102</v>
      </c>
      <c r="Q1143" s="1" t="s">
        <v>141</v>
      </c>
      <c r="R1143" s="1" t="s">
        <v>411</v>
      </c>
      <c r="S1143" s="22" t="n">
        <v>2110901</v>
      </c>
      <c r="T1143" s="1" t="s">
        <v>412</v>
      </c>
      <c r="U1143" s="24" t="n">
        <v>2090.82</v>
      </c>
      <c r="W1143" s="24" t="n">
        <v>0</v>
      </c>
      <c r="X1143" s="1" t="s">
        <v>1265</v>
      </c>
      <c r="Z1143" s="1" t="str">
        <f aca="false">IF($T1143="","",IFERROR(INDEX('Resumo Grupos'!$AC$3:$AC$200,MATCH($T1143,'Resumo Grupos'!$AB$3:$AB$200,0)),"n/d"))</f>
        <v>Empréstimo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false" outlineLevel="0" collapsed="false">
      <c r="A1144" s="22" t="n">
        <v>3</v>
      </c>
      <c r="B1144" s="23" t="n">
        <v>46206</v>
      </c>
      <c r="C1144" s="23" t="n">
        <v>46283</v>
      </c>
      <c r="D1144" s="22" t="n">
        <v>33</v>
      </c>
      <c r="E1144" s="1" t="s">
        <v>297</v>
      </c>
      <c r="F1144" s="22" t="n">
        <v>34</v>
      </c>
      <c r="G1144" s="1" t="s">
        <v>58</v>
      </c>
      <c r="H1144" s="22" t="n">
        <v>2110405</v>
      </c>
      <c r="I1144" s="1" t="s">
        <v>63</v>
      </c>
      <c r="J1144" s="22" t="n">
        <v>1345342</v>
      </c>
      <c r="L1144" s="22" t="n">
        <v>210000</v>
      </c>
      <c r="M1144" s="1" t="s">
        <v>349</v>
      </c>
      <c r="N1144" s="1" t="s">
        <v>34</v>
      </c>
      <c r="P1144" s="22" t="n">
        <v>101</v>
      </c>
      <c r="Q1144" s="1" t="s">
        <v>136</v>
      </c>
      <c r="R1144" s="1" t="s">
        <v>64</v>
      </c>
      <c r="S1144" s="22" t="n">
        <v>4210203</v>
      </c>
      <c r="T1144" s="1" t="s">
        <v>298</v>
      </c>
      <c r="U1144" s="24" t="n">
        <v>373.79</v>
      </c>
      <c r="W1144" s="24" t="n">
        <v>0</v>
      </c>
      <c r="X1144" s="1" t="s">
        <v>681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false" outlineLevel="0" collapsed="false">
      <c r="A1145" s="22" t="n">
        <v>3</v>
      </c>
      <c r="B1145" s="23" t="n">
        <v>46011</v>
      </c>
      <c r="C1145" s="23" t="n">
        <v>46285</v>
      </c>
      <c r="D1145" s="22" t="n">
        <v>514</v>
      </c>
      <c r="E1145" s="1" t="s">
        <v>163</v>
      </c>
      <c r="F1145" s="22" t="n">
        <v>34</v>
      </c>
      <c r="G1145" s="1" t="s">
        <v>58</v>
      </c>
      <c r="H1145" s="22" t="n">
        <v>2110405</v>
      </c>
      <c r="I1145" s="1" t="s">
        <v>63</v>
      </c>
      <c r="J1145" s="22" t="n">
        <v>695960</v>
      </c>
      <c r="L1145" s="22" t="n">
        <v>3</v>
      </c>
      <c r="M1145" s="1" t="s">
        <v>1135</v>
      </c>
      <c r="N1145" s="1" t="s">
        <v>34</v>
      </c>
      <c r="P1145" s="22" t="n">
        <v>101</v>
      </c>
      <c r="Q1145" s="1" t="s">
        <v>136</v>
      </c>
      <c r="R1145" s="1" t="s">
        <v>64</v>
      </c>
      <c r="S1145" s="22" t="n">
        <v>4210210</v>
      </c>
      <c r="T1145" s="1" t="s">
        <v>676</v>
      </c>
      <c r="U1145" s="24" t="n">
        <v>807.37</v>
      </c>
      <c r="W1145" s="24" t="n">
        <v>0</v>
      </c>
      <c r="X1145" s="1" t="s">
        <v>1266</v>
      </c>
      <c r="Z1145" s="1" t="str">
        <f aca="false">IF($T1145="","",IFERROR(INDEX('Resumo Grupos'!$AC$3:$AC$200,MATCH($T1145,'Resumo Grupos'!$AB$3:$AB$200,0)),"n/d"))</f>
        <v>Despesa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false" outlineLevel="0" collapsed="false">
      <c r="A1146" s="22" t="n">
        <v>3</v>
      </c>
      <c r="B1146" s="23" t="n">
        <v>46223</v>
      </c>
      <c r="C1146" s="23" t="n">
        <v>46285</v>
      </c>
      <c r="D1146" s="22" t="n">
        <v>33</v>
      </c>
      <c r="E1146" s="1" t="s">
        <v>297</v>
      </c>
      <c r="F1146" s="22" t="n">
        <v>34</v>
      </c>
      <c r="G1146" s="1" t="s">
        <v>58</v>
      </c>
      <c r="H1146" s="22" t="n">
        <v>2110405</v>
      </c>
      <c r="I1146" s="1" t="s">
        <v>63</v>
      </c>
      <c r="J1146" s="22" t="n">
        <v>1424252</v>
      </c>
      <c r="L1146" s="22" t="n">
        <v>222229</v>
      </c>
      <c r="M1146" s="1" t="s">
        <v>349</v>
      </c>
      <c r="N1146" s="1" t="s">
        <v>34</v>
      </c>
      <c r="P1146" s="22" t="n">
        <v>101</v>
      </c>
      <c r="Q1146" s="1" t="s">
        <v>136</v>
      </c>
      <c r="R1146" s="1" t="s">
        <v>206</v>
      </c>
      <c r="S1146" s="22" t="n">
        <v>4210107</v>
      </c>
      <c r="T1146" s="1" t="s">
        <v>709</v>
      </c>
      <c r="U1146" s="24" t="n">
        <v>224.99</v>
      </c>
      <c r="W1146" s="24" t="n">
        <v>0</v>
      </c>
      <c r="X1146" s="1" t="s">
        <v>1162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false" outlineLevel="0" collapsed="false">
      <c r="A1147" s="22" t="n">
        <v>3</v>
      </c>
      <c r="B1147" s="23" t="n">
        <v>46223</v>
      </c>
      <c r="C1147" s="23" t="n">
        <v>46285</v>
      </c>
      <c r="D1147" s="22" t="n">
        <v>17</v>
      </c>
      <c r="E1147" s="1" t="s">
        <v>859</v>
      </c>
      <c r="F1147" s="22" t="n">
        <v>34</v>
      </c>
      <c r="G1147" s="1" t="s">
        <v>58</v>
      </c>
      <c r="H1147" s="22" t="n">
        <v>2110405</v>
      </c>
      <c r="I1147" s="1" t="s">
        <v>63</v>
      </c>
      <c r="J1147" s="22" t="n">
        <v>1464473</v>
      </c>
      <c r="L1147" s="22" t="n">
        <v>227845</v>
      </c>
      <c r="M1147" s="1" t="s">
        <v>349</v>
      </c>
      <c r="N1147" s="1" t="s">
        <v>34</v>
      </c>
      <c r="P1147" s="22" t="n">
        <v>101</v>
      </c>
      <c r="Q1147" s="1" t="s">
        <v>136</v>
      </c>
      <c r="R1147" s="1" t="s">
        <v>222</v>
      </c>
      <c r="S1147" s="22" t="n">
        <v>4220199</v>
      </c>
      <c r="T1147" s="1" t="s">
        <v>223</v>
      </c>
      <c r="U1147" s="24" t="n">
        <v>2600</v>
      </c>
      <c r="W1147" s="24" t="n">
        <v>0</v>
      </c>
      <c r="X1147" s="1" t="s">
        <v>860</v>
      </c>
      <c r="Z1147" s="1" t="str">
        <f aca="false">IF($T1147="","",IFERROR(INDEX('Resumo Grupos'!$AC$3:$AC$200,MATCH($T1147,'Resumo Grupos'!$AB$3:$AB$200,0)),"n/d"))</f>
        <v>Pagamentos outros não operacionais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false" outlineLevel="0" collapsed="false">
      <c r="A1148" s="22" t="n">
        <v>3</v>
      </c>
      <c r="B1148" s="23" t="n">
        <v>46231</v>
      </c>
      <c r="C1148" s="23" t="n">
        <v>46285</v>
      </c>
      <c r="D1148" s="22" t="n">
        <v>10028</v>
      </c>
      <c r="E1148" s="1" t="s">
        <v>695</v>
      </c>
      <c r="F1148" s="22" t="n">
        <v>24</v>
      </c>
      <c r="G1148" s="1" t="s">
        <v>31</v>
      </c>
      <c r="H1148" s="22" t="n">
        <v>2110405</v>
      </c>
      <c r="I1148" s="1" t="s">
        <v>63</v>
      </c>
      <c r="J1148" s="22" t="n">
        <v>1464619</v>
      </c>
      <c r="L1148" s="22" t="n">
        <v>227869</v>
      </c>
      <c r="M1148" s="1" t="s">
        <v>559</v>
      </c>
      <c r="N1148" s="1" t="s">
        <v>34</v>
      </c>
      <c r="P1148" s="22" t="n">
        <v>101</v>
      </c>
      <c r="Q1148" s="1" t="s">
        <v>136</v>
      </c>
      <c r="R1148" s="1" t="s">
        <v>137</v>
      </c>
      <c r="S1148" s="22" t="n">
        <v>4210315</v>
      </c>
      <c r="T1148" s="1" t="s">
        <v>182</v>
      </c>
      <c r="U1148" s="24" t="n">
        <v>595.9</v>
      </c>
      <c r="W1148" s="24" t="n">
        <v>0</v>
      </c>
      <c r="X1148" s="1" t="s">
        <v>696</v>
      </c>
      <c r="Z1148" s="1" t="str">
        <f aca="false">IF($T1148="","",IFERROR(INDEX('Resumo Grupos'!$AC$3:$AC$200,MATCH($T1148,'Resumo Grupos'!$AB$3:$AB$200,0)),"n/d"))</f>
        <v>Despesa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false" outlineLevel="0" collapsed="false">
      <c r="A1149" s="22" t="n">
        <v>3</v>
      </c>
      <c r="B1149" s="23" t="n">
        <v>46044</v>
      </c>
      <c r="C1149" s="23" t="n">
        <v>46287</v>
      </c>
      <c r="D1149" s="22" t="n">
        <v>514</v>
      </c>
      <c r="E1149" s="1" t="s">
        <v>163</v>
      </c>
      <c r="F1149" s="22" t="n">
        <v>34</v>
      </c>
      <c r="G1149" s="1" t="s">
        <v>58</v>
      </c>
      <c r="H1149" s="22" t="n">
        <v>2110405</v>
      </c>
      <c r="I1149" s="1" t="s">
        <v>63</v>
      </c>
      <c r="J1149" s="22" t="n">
        <v>1306220</v>
      </c>
      <c r="L1149" s="22" t="n">
        <v>203991</v>
      </c>
      <c r="M1149" s="1" t="s">
        <v>675</v>
      </c>
      <c r="N1149" s="1" t="s">
        <v>34</v>
      </c>
      <c r="P1149" s="22" t="n">
        <v>101</v>
      </c>
      <c r="Q1149" s="1" t="s">
        <v>136</v>
      </c>
      <c r="R1149" s="1" t="s">
        <v>411</v>
      </c>
      <c r="S1149" s="22" t="n">
        <v>2110901</v>
      </c>
      <c r="T1149" s="1" t="s">
        <v>412</v>
      </c>
      <c r="U1149" s="24" t="n">
        <v>6601.19</v>
      </c>
      <c r="W1149" s="24" t="n">
        <v>0</v>
      </c>
      <c r="X1149" s="1" t="s">
        <v>1267</v>
      </c>
      <c r="Z1149" s="1" t="str">
        <f aca="false">IF($T1149="","",IFERROR(INDEX('Resumo Grupos'!$AC$3:$AC$200,MATCH($T1149,'Resumo Grupos'!$AB$3:$AB$200,0)),"n/d"))</f>
        <v>Empréstimo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false" outlineLevel="0" collapsed="false">
      <c r="A1150" s="22" t="n">
        <v>3</v>
      </c>
      <c r="B1150" s="23" t="n">
        <v>46224</v>
      </c>
      <c r="C1150" s="23" t="n">
        <v>46287</v>
      </c>
      <c r="D1150" s="22" t="n">
        <v>1929</v>
      </c>
      <c r="E1150" s="1" t="s">
        <v>1183</v>
      </c>
      <c r="F1150" s="22" t="n">
        <v>34</v>
      </c>
      <c r="G1150" s="1" t="s">
        <v>58</v>
      </c>
      <c r="H1150" s="22" t="n">
        <v>2110405</v>
      </c>
      <c r="I1150" s="1" t="s">
        <v>63</v>
      </c>
      <c r="J1150" s="22" t="n">
        <v>1428714</v>
      </c>
      <c r="L1150" s="22" t="n">
        <v>222992</v>
      </c>
      <c r="M1150" s="1" t="s">
        <v>559</v>
      </c>
      <c r="N1150" s="1" t="s">
        <v>34</v>
      </c>
      <c r="P1150" s="22" t="n">
        <v>101</v>
      </c>
      <c r="Q1150" s="1" t="s">
        <v>136</v>
      </c>
      <c r="R1150" s="1" t="s">
        <v>64</v>
      </c>
      <c r="S1150" s="22" t="n">
        <v>4210299</v>
      </c>
      <c r="T1150" s="1" t="s">
        <v>615</v>
      </c>
      <c r="U1150" s="24" t="n">
        <v>95.43</v>
      </c>
      <c r="W1150" s="24" t="n">
        <v>0</v>
      </c>
      <c r="X1150" s="1" t="s">
        <v>1184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false" outlineLevel="0" collapsed="false">
      <c r="A1151" s="22" t="n">
        <v>3</v>
      </c>
      <c r="B1151" s="23" t="n">
        <v>46224</v>
      </c>
      <c r="C1151" s="23" t="n">
        <v>46287</v>
      </c>
      <c r="D1151" s="22" t="n">
        <v>1929</v>
      </c>
      <c r="E1151" s="1" t="s">
        <v>1183</v>
      </c>
      <c r="F1151" s="22" t="n">
        <v>34</v>
      </c>
      <c r="G1151" s="1" t="s">
        <v>58</v>
      </c>
      <c r="H1151" s="22" t="n">
        <v>2110405</v>
      </c>
      <c r="I1151" s="1" t="s">
        <v>63</v>
      </c>
      <c r="J1151" s="22" t="n">
        <v>1428721</v>
      </c>
      <c r="L1151" s="22" t="n">
        <v>222993</v>
      </c>
      <c r="M1151" s="1" t="s">
        <v>559</v>
      </c>
      <c r="N1151" s="1" t="s">
        <v>34</v>
      </c>
      <c r="P1151" s="22" t="n">
        <v>101</v>
      </c>
      <c r="Q1151" s="1" t="s">
        <v>136</v>
      </c>
      <c r="R1151" s="1" t="s">
        <v>64</v>
      </c>
      <c r="S1151" s="22" t="n">
        <v>4210299</v>
      </c>
      <c r="T1151" s="1" t="s">
        <v>615</v>
      </c>
      <c r="U1151" s="24" t="n">
        <v>102.37</v>
      </c>
      <c r="W1151" s="24" t="n">
        <v>0</v>
      </c>
      <c r="X1151" s="1" t="s">
        <v>1185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false" outlineLevel="0" collapsed="false">
      <c r="A1152" s="22" t="n">
        <v>3</v>
      </c>
      <c r="B1152" s="23" t="n">
        <v>46224</v>
      </c>
      <c r="C1152" s="23" t="n">
        <v>46287</v>
      </c>
      <c r="D1152" s="22" t="n">
        <v>514</v>
      </c>
      <c r="E1152" s="1" t="s">
        <v>163</v>
      </c>
      <c r="F1152" s="22" t="n">
        <v>34</v>
      </c>
      <c r="G1152" s="1" t="s">
        <v>58</v>
      </c>
      <c r="H1152" s="22" t="n">
        <v>2110405</v>
      </c>
      <c r="I1152" s="1" t="s">
        <v>63</v>
      </c>
      <c r="J1152" s="22" t="n">
        <v>1428727</v>
      </c>
      <c r="L1152" s="22" t="n">
        <v>222994</v>
      </c>
      <c r="M1152" s="1" t="s">
        <v>559</v>
      </c>
      <c r="N1152" s="1" t="s">
        <v>34</v>
      </c>
      <c r="P1152" s="22" t="n">
        <v>101</v>
      </c>
      <c r="Q1152" s="1" t="s">
        <v>136</v>
      </c>
      <c r="R1152" s="1" t="s">
        <v>165</v>
      </c>
      <c r="S1152" s="22" t="n">
        <v>4210504</v>
      </c>
      <c r="T1152" s="1" t="s">
        <v>166</v>
      </c>
      <c r="U1152" s="24" t="n">
        <v>240</v>
      </c>
      <c r="W1152" s="24" t="n">
        <v>0</v>
      </c>
      <c r="X1152" s="1" t="s">
        <v>1186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false" outlineLevel="0" collapsed="false">
      <c r="A1153" s="22" t="n">
        <v>3</v>
      </c>
      <c r="B1153" s="23" t="n">
        <v>46224</v>
      </c>
      <c r="C1153" s="23" t="n">
        <v>46287</v>
      </c>
      <c r="D1153" s="22" t="n">
        <v>1000036</v>
      </c>
      <c r="E1153" s="1" t="s">
        <v>1187</v>
      </c>
      <c r="F1153" s="22" t="n">
        <v>34</v>
      </c>
      <c r="G1153" s="1" t="s">
        <v>58</v>
      </c>
      <c r="H1153" s="22" t="n">
        <v>2110405</v>
      </c>
      <c r="I1153" s="1" t="s">
        <v>63</v>
      </c>
      <c r="J1153" s="22" t="n">
        <v>1428747</v>
      </c>
      <c r="L1153" s="22" t="n">
        <v>222995</v>
      </c>
      <c r="M1153" s="1" t="s">
        <v>559</v>
      </c>
      <c r="N1153" s="1" t="s">
        <v>34</v>
      </c>
      <c r="P1153" s="22" t="n">
        <v>101</v>
      </c>
      <c r="Q1153" s="1" t="s">
        <v>136</v>
      </c>
      <c r="R1153" s="1" t="s">
        <v>64</v>
      </c>
      <c r="S1153" s="22" t="n">
        <v>4210299</v>
      </c>
      <c r="T1153" s="1" t="s">
        <v>615</v>
      </c>
      <c r="U1153" s="24" t="n">
        <v>2929.65</v>
      </c>
      <c r="W1153" s="24" t="n">
        <v>0</v>
      </c>
      <c r="X1153" s="1" t="s">
        <v>1188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false" outlineLevel="0" collapsed="false">
      <c r="A1154" s="22" t="n">
        <v>3</v>
      </c>
      <c r="B1154" s="23" t="n">
        <v>46224</v>
      </c>
      <c r="C1154" s="23" t="n">
        <v>46287</v>
      </c>
      <c r="D1154" s="22" t="n">
        <v>1929</v>
      </c>
      <c r="E1154" s="1" t="s">
        <v>1183</v>
      </c>
      <c r="F1154" s="22" t="n">
        <v>34</v>
      </c>
      <c r="G1154" s="1" t="s">
        <v>58</v>
      </c>
      <c r="H1154" s="22" t="n">
        <v>1110204</v>
      </c>
      <c r="I1154" s="1" t="s">
        <v>177</v>
      </c>
      <c r="J1154" s="22" t="n">
        <v>1428753</v>
      </c>
      <c r="L1154" s="22" t="n">
        <v>222996</v>
      </c>
      <c r="M1154" s="1" t="s">
        <v>559</v>
      </c>
      <c r="N1154" s="1" t="s">
        <v>34</v>
      </c>
      <c r="P1154" s="22" t="n">
        <v>101</v>
      </c>
      <c r="Q1154" s="1" t="s">
        <v>136</v>
      </c>
      <c r="R1154" s="1" t="s">
        <v>165</v>
      </c>
      <c r="S1154" s="22" t="n">
        <v>4210504</v>
      </c>
      <c r="T1154" s="1" t="s">
        <v>166</v>
      </c>
      <c r="U1154" s="24" t="n">
        <v>420</v>
      </c>
      <c r="W1154" s="24" t="n">
        <v>0</v>
      </c>
      <c r="X1154" s="1" t="s">
        <v>1189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false" outlineLevel="0" collapsed="false">
      <c r="A1155" s="22" t="n">
        <v>3</v>
      </c>
      <c r="B1155" s="23" t="n">
        <v>46239</v>
      </c>
      <c r="C1155" s="23" t="n">
        <v>46287</v>
      </c>
      <c r="D1155" s="22" t="n">
        <v>1659</v>
      </c>
      <c r="E1155" s="1" t="s">
        <v>30</v>
      </c>
      <c r="F1155" s="22" t="n">
        <v>24</v>
      </c>
      <c r="G1155" s="1" t="s">
        <v>31</v>
      </c>
      <c r="H1155" s="22" t="n">
        <v>2110405</v>
      </c>
      <c r="I1155" s="1" t="s">
        <v>63</v>
      </c>
      <c r="J1155" s="22" t="n">
        <v>1509264</v>
      </c>
      <c r="L1155" s="22" t="n">
        <v>8893822</v>
      </c>
      <c r="M1155" s="1" t="s">
        <v>33</v>
      </c>
      <c r="N1155" s="1" t="s">
        <v>34</v>
      </c>
      <c r="P1155" s="22" t="n">
        <v>167</v>
      </c>
      <c r="Q1155" s="1" t="s">
        <v>220</v>
      </c>
      <c r="R1155" s="1" t="s">
        <v>36</v>
      </c>
      <c r="S1155" s="22" t="n">
        <v>1130101</v>
      </c>
      <c r="T1155" s="1" t="s">
        <v>37</v>
      </c>
      <c r="U1155" s="24" t="n">
        <v>710.92</v>
      </c>
      <c r="W1155" s="24" t="n">
        <v>0</v>
      </c>
      <c r="X1155" s="1" t="s">
        <v>1268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false" outlineLevel="0" collapsed="false">
      <c r="A1156" s="22" t="n">
        <v>3</v>
      </c>
      <c r="B1156" s="23" t="n">
        <v>46001</v>
      </c>
      <c r="C1156" s="23" t="n">
        <v>46290</v>
      </c>
      <c r="D1156" s="22" t="n">
        <v>1839</v>
      </c>
      <c r="E1156" s="1" t="s">
        <v>789</v>
      </c>
      <c r="F1156" s="22" t="n">
        <v>24</v>
      </c>
      <c r="G1156" s="1" t="s">
        <v>31</v>
      </c>
      <c r="H1156" s="22" t="n">
        <v>2110102</v>
      </c>
      <c r="I1156" s="1" t="s">
        <v>790</v>
      </c>
      <c r="J1156" s="22" t="n">
        <v>315650</v>
      </c>
      <c r="L1156" s="22" t="n">
        <v>86749</v>
      </c>
      <c r="M1156" s="1" t="s">
        <v>1135</v>
      </c>
      <c r="N1156" s="1" t="s">
        <v>40</v>
      </c>
      <c r="P1156" s="22" t="n">
        <v>163</v>
      </c>
      <c r="Q1156" s="1" t="s">
        <v>60</v>
      </c>
      <c r="R1156" s="1" t="s">
        <v>64</v>
      </c>
      <c r="S1156" s="22" t="n">
        <v>4210204</v>
      </c>
      <c r="T1156" s="1" t="s">
        <v>791</v>
      </c>
      <c r="U1156" s="24" t="n">
        <v>47.99</v>
      </c>
      <c r="W1156" s="24" t="n">
        <v>0</v>
      </c>
      <c r="X1156" s="1" t="s">
        <v>1269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false" outlineLevel="0" collapsed="false">
      <c r="A1157" s="22" t="n">
        <v>3</v>
      </c>
      <c r="B1157" s="23" t="n">
        <v>45991</v>
      </c>
      <c r="C1157" s="23" t="n">
        <v>46290</v>
      </c>
      <c r="D1157" s="22" t="n">
        <v>10054</v>
      </c>
      <c r="E1157" s="1" t="s">
        <v>793</v>
      </c>
      <c r="F1157" s="22" t="n">
        <v>2</v>
      </c>
      <c r="G1157" s="1" t="s">
        <v>573</v>
      </c>
      <c r="H1157" s="22" t="n">
        <v>2110405</v>
      </c>
      <c r="I1157" s="1" t="s">
        <v>63</v>
      </c>
      <c r="J1157" s="22" t="n">
        <v>777941</v>
      </c>
      <c r="L1157" s="22" t="n">
        <v>123778</v>
      </c>
      <c r="M1157" s="1" t="s">
        <v>1135</v>
      </c>
      <c r="N1157" s="1" t="s">
        <v>34</v>
      </c>
      <c r="P1157" s="22" t="n">
        <v>129</v>
      </c>
      <c r="Q1157" s="1" t="s">
        <v>60</v>
      </c>
      <c r="R1157" s="1" t="s">
        <v>64</v>
      </c>
      <c r="S1157" s="22" t="n">
        <v>4210227</v>
      </c>
      <c r="T1157" s="1" t="s">
        <v>65</v>
      </c>
      <c r="U1157" s="24" t="n">
        <v>56.1</v>
      </c>
      <c r="W1157" s="24" t="n">
        <v>0</v>
      </c>
      <c r="X1157" s="1" t="s">
        <v>794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false" outlineLevel="0" collapsed="false">
      <c r="A1158" s="22" t="n">
        <v>3</v>
      </c>
      <c r="B1158" s="23" t="n">
        <v>46157</v>
      </c>
      <c r="C1158" s="23" t="n">
        <v>46290</v>
      </c>
      <c r="D1158" s="22" t="n">
        <v>663</v>
      </c>
      <c r="E1158" s="1" t="s">
        <v>795</v>
      </c>
      <c r="F1158" s="22" t="n">
        <v>2</v>
      </c>
      <c r="G1158" s="1" t="s">
        <v>573</v>
      </c>
      <c r="H1158" s="22" t="n">
        <v>2110405</v>
      </c>
      <c r="I1158" s="1" t="s">
        <v>63</v>
      </c>
      <c r="J1158" s="22" t="n">
        <v>1107245</v>
      </c>
      <c r="L1158" s="22" t="n">
        <v>174077</v>
      </c>
      <c r="M1158" s="1" t="s">
        <v>33</v>
      </c>
      <c r="N1158" s="1" t="s">
        <v>34</v>
      </c>
      <c r="P1158" s="22" t="n">
        <v>128</v>
      </c>
      <c r="Q1158" s="1" t="s">
        <v>35</v>
      </c>
      <c r="R1158" s="1" t="s">
        <v>64</v>
      </c>
      <c r="S1158" s="22" t="n">
        <v>4210227</v>
      </c>
      <c r="T1158" s="1" t="s">
        <v>65</v>
      </c>
      <c r="U1158" s="24" t="n">
        <v>711.75</v>
      </c>
      <c r="W1158" s="24" t="n">
        <v>0</v>
      </c>
      <c r="X1158" s="1" t="s">
        <v>796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false" outlineLevel="0" collapsed="false">
      <c r="A1159" s="22" t="n">
        <v>3</v>
      </c>
      <c r="B1159" s="23" t="n">
        <v>46231</v>
      </c>
      <c r="C1159" s="23" t="n">
        <v>46290</v>
      </c>
      <c r="D1159" s="22" t="n">
        <v>928</v>
      </c>
      <c r="E1159" s="1" t="s">
        <v>822</v>
      </c>
      <c r="F1159" s="22" t="n">
        <v>24</v>
      </c>
      <c r="G1159" s="1" t="s">
        <v>31</v>
      </c>
      <c r="H1159" s="22" t="n">
        <v>1110204</v>
      </c>
      <c r="I1159" s="1" t="s">
        <v>177</v>
      </c>
      <c r="J1159" s="22" t="n">
        <v>1464994</v>
      </c>
      <c r="L1159" s="22" t="n">
        <v>227912</v>
      </c>
      <c r="M1159" s="1" t="s">
        <v>559</v>
      </c>
      <c r="N1159" s="1" t="s">
        <v>34</v>
      </c>
      <c r="P1159" s="22" t="n">
        <v>101</v>
      </c>
      <c r="Q1159" s="1" t="s">
        <v>136</v>
      </c>
      <c r="R1159" s="1" t="s">
        <v>137</v>
      </c>
      <c r="S1159" s="22" t="n">
        <v>421033</v>
      </c>
      <c r="T1159" s="1" t="s">
        <v>823</v>
      </c>
      <c r="U1159" s="24" t="n">
        <v>299.9</v>
      </c>
      <c r="W1159" s="24" t="n">
        <v>0</v>
      </c>
      <c r="X1159" s="1" t="s">
        <v>1206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false" outlineLevel="0" collapsed="false">
      <c r="A1160" s="22" t="n">
        <v>3</v>
      </c>
      <c r="B1160" s="23" t="n">
        <v>46205</v>
      </c>
      <c r="C1160" s="23" t="n">
        <v>46290</v>
      </c>
      <c r="D1160" s="22" t="n">
        <v>663</v>
      </c>
      <c r="E1160" s="1" t="s">
        <v>795</v>
      </c>
      <c r="F1160" s="22" t="n">
        <v>59</v>
      </c>
      <c r="G1160" s="1" t="s">
        <v>817</v>
      </c>
      <c r="H1160" s="22" t="n">
        <v>2110405</v>
      </c>
      <c r="I1160" s="1" t="s">
        <v>63</v>
      </c>
      <c r="J1160" s="22" t="n">
        <v>1465220</v>
      </c>
      <c r="L1160" s="22" t="n">
        <v>227946</v>
      </c>
      <c r="M1160" s="1" t="s">
        <v>33</v>
      </c>
      <c r="N1160" s="1" t="s">
        <v>34</v>
      </c>
      <c r="P1160" s="22" t="n">
        <v>167</v>
      </c>
      <c r="Q1160" s="1" t="s">
        <v>220</v>
      </c>
      <c r="R1160" s="1" t="s">
        <v>36</v>
      </c>
      <c r="S1160" s="22" t="n">
        <v>1130101</v>
      </c>
      <c r="T1160" s="1" t="s">
        <v>37</v>
      </c>
      <c r="U1160" s="24" t="n">
        <v>93.33</v>
      </c>
      <c r="W1160" s="24" t="n">
        <v>0</v>
      </c>
      <c r="X1160" s="1" t="s">
        <v>1270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false" outlineLevel="0" collapsed="false">
      <c r="A1161" s="22" t="n">
        <v>3</v>
      </c>
      <c r="B1161" s="23" t="n">
        <v>46231</v>
      </c>
      <c r="C1161" s="23" t="n">
        <v>46290</v>
      </c>
      <c r="D1161" s="22" t="n">
        <v>875</v>
      </c>
      <c r="E1161" s="1" t="s">
        <v>799</v>
      </c>
      <c r="F1161" s="22" t="n">
        <v>59</v>
      </c>
      <c r="G1161" s="1" t="s">
        <v>817</v>
      </c>
      <c r="H1161" s="22" t="n">
        <v>1110204</v>
      </c>
      <c r="I1161" s="1" t="s">
        <v>177</v>
      </c>
      <c r="J1161" s="22" t="n">
        <v>1472837</v>
      </c>
      <c r="L1161" s="22" t="n">
        <v>18872</v>
      </c>
      <c r="M1161" s="1" t="s">
        <v>33</v>
      </c>
      <c r="N1161" s="1" t="s">
        <v>34</v>
      </c>
      <c r="P1161" s="22" t="n">
        <v>167</v>
      </c>
      <c r="Q1161" s="1" t="s">
        <v>220</v>
      </c>
      <c r="R1161" s="1" t="s">
        <v>36</v>
      </c>
      <c r="S1161" s="22" t="n">
        <v>1130101</v>
      </c>
      <c r="T1161" s="1" t="s">
        <v>37</v>
      </c>
      <c r="U1161" s="24" t="n">
        <v>1615.17</v>
      </c>
      <c r="W1161" s="24" t="n">
        <v>0</v>
      </c>
      <c r="X1161" s="1" t="s">
        <v>1209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false" outlineLevel="0" collapsed="false">
      <c r="A1162" s="22" t="n">
        <v>3</v>
      </c>
      <c r="B1162" s="23" t="n">
        <v>46237</v>
      </c>
      <c r="C1162" s="23" t="n">
        <v>46290</v>
      </c>
      <c r="D1162" s="22" t="n">
        <v>10101</v>
      </c>
      <c r="E1162" s="1" t="s">
        <v>1211</v>
      </c>
      <c r="F1162" s="22" t="n">
        <v>59</v>
      </c>
      <c r="G1162" s="1" t="s">
        <v>817</v>
      </c>
      <c r="H1162" s="22" t="n">
        <v>2110405</v>
      </c>
      <c r="I1162" s="1" t="s">
        <v>63</v>
      </c>
      <c r="J1162" s="22" t="n">
        <v>1498493</v>
      </c>
      <c r="L1162" s="22" t="n">
        <v>232740</v>
      </c>
      <c r="M1162" s="1" t="s">
        <v>33</v>
      </c>
      <c r="N1162" s="1" t="s">
        <v>34</v>
      </c>
      <c r="P1162" s="22" t="n">
        <v>167</v>
      </c>
      <c r="Q1162" s="1" t="s">
        <v>220</v>
      </c>
      <c r="R1162" s="1" t="s">
        <v>64</v>
      </c>
      <c r="S1162" s="22" t="n">
        <v>4210227</v>
      </c>
      <c r="T1162" s="1" t="s">
        <v>65</v>
      </c>
      <c r="U1162" s="24" t="n">
        <v>256.8</v>
      </c>
      <c r="W1162" s="24" t="n">
        <v>0</v>
      </c>
      <c r="X1162" s="1" t="s">
        <v>1271</v>
      </c>
      <c r="Z1162" s="1" t="str">
        <f aca="false">IF($T1162="","",IFERROR(INDEX('Resumo Grupos'!$AC$3:$AC$200,MATCH($T1162,'Resumo Grupos'!$AB$3:$AB$200,0)),"n/d"))</f>
        <v>Despesa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false" outlineLevel="0" collapsed="false">
      <c r="A1163" s="22" t="n">
        <v>3</v>
      </c>
      <c r="B1163" s="23" t="n">
        <v>46231</v>
      </c>
      <c r="C1163" s="23" t="n">
        <v>46297</v>
      </c>
      <c r="D1163" s="22" t="n">
        <v>1778</v>
      </c>
      <c r="E1163" s="1" t="s">
        <v>248</v>
      </c>
      <c r="F1163" s="22" t="n">
        <v>24</v>
      </c>
      <c r="G1163" s="1" t="s">
        <v>31</v>
      </c>
      <c r="H1163" s="22" t="n">
        <v>1110204</v>
      </c>
      <c r="I1163" s="1" t="s">
        <v>177</v>
      </c>
      <c r="J1163" s="22" t="n">
        <v>1464589</v>
      </c>
      <c r="L1163" s="22" t="n">
        <v>227862</v>
      </c>
      <c r="M1163" s="1" t="s">
        <v>559</v>
      </c>
      <c r="N1163" s="1" t="s">
        <v>34</v>
      </c>
      <c r="P1163" s="22" t="n">
        <v>101</v>
      </c>
      <c r="Q1163" s="1" t="s">
        <v>136</v>
      </c>
      <c r="R1163" s="1" t="s">
        <v>64</v>
      </c>
      <c r="S1163" s="22" t="n">
        <v>4210207</v>
      </c>
      <c r="T1163" s="1" t="s">
        <v>249</v>
      </c>
      <c r="U1163" s="24" t="n">
        <v>337.29</v>
      </c>
      <c r="W1163" s="24" t="n">
        <v>0</v>
      </c>
      <c r="X1163" s="1" t="s">
        <v>1241</v>
      </c>
      <c r="Z1163" s="1" t="str">
        <f aca="false">IF($T1163="","",IFERROR(INDEX('Resumo Grupos'!$AC$3:$AC$200,MATCH($T1163,'Resumo Grupos'!$AB$3:$AB$200,0)),"n/d"))</f>
        <v>Despesa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false" outlineLevel="0" collapsed="false">
      <c r="A1164" s="22" t="n">
        <v>3</v>
      </c>
      <c r="B1164" s="23" t="n">
        <v>46205</v>
      </c>
      <c r="C1164" s="23" t="n">
        <v>46297</v>
      </c>
      <c r="D1164" s="22" t="n">
        <v>1789</v>
      </c>
      <c r="E1164" s="1" t="s">
        <v>205</v>
      </c>
      <c r="F1164" s="22" t="n">
        <v>24</v>
      </c>
      <c r="G1164" s="1" t="s">
        <v>31</v>
      </c>
      <c r="H1164" s="22" t="n">
        <v>2110405</v>
      </c>
      <c r="I1164" s="1" t="s">
        <v>63</v>
      </c>
      <c r="J1164" s="22" t="n">
        <v>1464602</v>
      </c>
      <c r="L1164" s="22" t="n">
        <v>227866</v>
      </c>
      <c r="M1164" s="1" t="s">
        <v>559</v>
      </c>
      <c r="N1164" s="1" t="s">
        <v>34</v>
      </c>
      <c r="P1164" s="22" t="n">
        <v>101</v>
      </c>
      <c r="Q1164" s="1" t="s">
        <v>136</v>
      </c>
      <c r="R1164" s="1" t="s">
        <v>206</v>
      </c>
      <c r="S1164" s="22" t="n">
        <v>4210112</v>
      </c>
      <c r="T1164" s="1" t="s">
        <v>207</v>
      </c>
      <c r="U1164" s="24" t="n">
        <v>5500</v>
      </c>
      <c r="W1164" s="24" t="n">
        <v>0</v>
      </c>
      <c r="X1164" s="1" t="s">
        <v>1242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false" outlineLevel="0" collapsed="false">
      <c r="A1165" s="22" t="n">
        <v>3</v>
      </c>
      <c r="B1165" s="23" t="n">
        <v>46231</v>
      </c>
      <c r="C1165" s="23" t="n">
        <v>46297</v>
      </c>
      <c r="D1165" s="22" t="n">
        <v>49</v>
      </c>
      <c r="E1165" s="1" t="s">
        <v>610</v>
      </c>
      <c r="F1165" s="22" t="n">
        <v>34</v>
      </c>
      <c r="G1165" s="1" t="s">
        <v>58</v>
      </c>
      <c r="H1165" s="22" t="n">
        <v>2110405</v>
      </c>
      <c r="I1165" s="1" t="s">
        <v>63</v>
      </c>
      <c r="J1165" s="22" t="n">
        <v>1464754</v>
      </c>
      <c r="L1165" s="22" t="n">
        <v>227889</v>
      </c>
      <c r="M1165" s="1" t="s">
        <v>349</v>
      </c>
      <c r="N1165" s="1" t="s">
        <v>34</v>
      </c>
      <c r="P1165" s="22" t="n">
        <v>101</v>
      </c>
      <c r="Q1165" s="1" t="s">
        <v>136</v>
      </c>
      <c r="R1165" s="1" t="s">
        <v>411</v>
      </c>
      <c r="S1165" s="22" t="n">
        <v>2110901</v>
      </c>
      <c r="T1165" s="1" t="s">
        <v>412</v>
      </c>
      <c r="U1165" s="24" t="n">
        <v>4000</v>
      </c>
      <c r="W1165" s="24" t="n">
        <v>0</v>
      </c>
      <c r="X1165" s="1" t="s">
        <v>1272</v>
      </c>
      <c r="Z1165" s="1" t="str">
        <f aca="false">IF($T1165="","",IFERROR(INDEX('Resumo Grupos'!$AC$3:$AC$200,MATCH($T1165,'Resumo Grupos'!$AB$3:$AB$200,0)),"n/d"))</f>
        <v>Empréstimo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false" outlineLevel="0" collapsed="false">
      <c r="A1166" s="22" t="n">
        <v>3</v>
      </c>
      <c r="B1166" s="23" t="n">
        <v>46231</v>
      </c>
      <c r="C1166" s="23" t="n">
        <v>46299</v>
      </c>
      <c r="D1166" s="22" t="n">
        <v>33</v>
      </c>
      <c r="E1166" s="1" t="s">
        <v>297</v>
      </c>
      <c r="F1166" s="22" t="n">
        <v>34</v>
      </c>
      <c r="G1166" s="1" t="s">
        <v>58</v>
      </c>
      <c r="H1166" s="22" t="n">
        <v>2110405</v>
      </c>
      <c r="I1166" s="1" t="s">
        <v>63</v>
      </c>
      <c r="J1166" s="22" t="n">
        <v>1464721</v>
      </c>
      <c r="L1166" s="22" t="n">
        <v>227878</v>
      </c>
      <c r="M1166" s="1" t="s">
        <v>559</v>
      </c>
      <c r="N1166" s="1" t="s">
        <v>34</v>
      </c>
      <c r="P1166" s="22" t="n">
        <v>101</v>
      </c>
      <c r="Q1166" s="1" t="s">
        <v>136</v>
      </c>
      <c r="R1166" s="1" t="s">
        <v>372</v>
      </c>
      <c r="S1166" s="22" t="n">
        <v>2210202</v>
      </c>
      <c r="T1166" s="1" t="s">
        <v>372</v>
      </c>
      <c r="U1166" s="24" t="n">
        <v>1000</v>
      </c>
      <c r="W1166" s="24" t="n">
        <v>0</v>
      </c>
      <c r="X1166" s="1" t="s">
        <v>373</v>
      </c>
      <c r="Z1166" s="1" t="str">
        <f aca="false">IF($T1166="","",IFERROR(INDEX('Resumo Grupos'!$AC$3:$AC$200,MATCH($T1166,'Resumo Grupos'!$AB$3:$AB$200,0)),"n/d"))</f>
        <v>Empréstimo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false" outlineLevel="0" collapsed="false">
      <c r="A1167" s="22" t="n">
        <v>3</v>
      </c>
      <c r="B1167" s="23" t="n">
        <v>46234</v>
      </c>
      <c r="C1167" s="23" t="n">
        <v>46299</v>
      </c>
      <c r="D1167" s="22" t="n">
        <v>519</v>
      </c>
      <c r="E1167" s="1" t="s">
        <v>365</v>
      </c>
      <c r="F1167" s="22" t="n">
        <v>34</v>
      </c>
      <c r="G1167" s="1" t="s">
        <v>58</v>
      </c>
      <c r="H1167" s="22" t="n">
        <v>2110405</v>
      </c>
      <c r="I1167" s="1" t="s">
        <v>63</v>
      </c>
      <c r="J1167" s="22" t="n">
        <v>1477410</v>
      </c>
      <c r="L1167" s="22" t="n">
        <v>229713</v>
      </c>
      <c r="M1167" s="1" t="s">
        <v>349</v>
      </c>
      <c r="N1167" s="1" t="s">
        <v>34</v>
      </c>
      <c r="P1167" s="22" t="n">
        <v>101</v>
      </c>
      <c r="Q1167" s="1" t="s">
        <v>136</v>
      </c>
      <c r="R1167" s="1" t="s">
        <v>372</v>
      </c>
      <c r="S1167" s="22" t="n">
        <v>2210203</v>
      </c>
      <c r="T1167" s="1" t="s">
        <v>1016</v>
      </c>
      <c r="U1167" s="24" t="n">
        <v>50000</v>
      </c>
      <c r="W1167" s="24" t="n">
        <v>0</v>
      </c>
      <c r="X1167" s="1" t="s">
        <v>1017</v>
      </c>
      <c r="Z1167" s="1" t="str">
        <f aca="false">IF($T1167="","",IFERROR(INDEX('Resumo Grupos'!$AC$3:$AC$200,MATCH($T1167,'Resumo Grupos'!$AB$3:$AB$200,0)),"n/d"))</f>
        <v>Empréstimo</v>
      </c>
      <c r="AA1167" s="1" t="str">
        <f aca="false">IF($T1167="","",IF(COUNTIF('Resumo Grupos'!$AE$3:$AE$40,$T1167)&gt;0,"NAO","SIM"))</f>
        <v>NAO</v>
      </c>
    </row>
    <row r="1168" customFormat="false" ht="12.75" hidden="false" customHeight="false" outlineLevel="0" collapsed="false">
      <c r="A1168" s="22" t="n">
        <v>3</v>
      </c>
      <c r="B1168" s="23" t="n">
        <v>46147</v>
      </c>
      <c r="C1168" s="23" t="n">
        <v>46300</v>
      </c>
      <c r="D1168" s="22" t="n">
        <v>515</v>
      </c>
      <c r="E1168" s="1" t="s">
        <v>240</v>
      </c>
      <c r="F1168" s="22" t="n">
        <v>34</v>
      </c>
      <c r="G1168" s="1" t="s">
        <v>58</v>
      </c>
      <c r="H1168" s="22" t="n">
        <v>2110405</v>
      </c>
      <c r="I1168" s="1" t="s">
        <v>63</v>
      </c>
      <c r="J1168" s="22" t="n">
        <v>1157461</v>
      </c>
      <c r="L1168" s="22" t="n">
        <v>181615</v>
      </c>
      <c r="M1168" s="1" t="s">
        <v>353</v>
      </c>
      <c r="N1168" s="1" t="s">
        <v>34</v>
      </c>
      <c r="P1168" s="22" t="n">
        <v>101</v>
      </c>
      <c r="Q1168" s="1" t="s">
        <v>136</v>
      </c>
      <c r="R1168" s="1" t="s">
        <v>165</v>
      </c>
      <c r="S1168" s="22" t="n">
        <v>4210508</v>
      </c>
      <c r="T1168" s="1" t="s">
        <v>241</v>
      </c>
      <c r="U1168" s="24" t="n">
        <v>151.61</v>
      </c>
      <c r="W1168" s="24" t="n">
        <v>0</v>
      </c>
      <c r="X1168" s="1" t="s">
        <v>1273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false" outlineLevel="0" collapsed="false">
      <c r="A1169" s="22" t="n">
        <v>3</v>
      </c>
      <c r="B1169" s="23" t="n">
        <v>46231</v>
      </c>
      <c r="C1169" s="23" t="n">
        <v>46300</v>
      </c>
      <c r="D1169" s="22" t="n">
        <v>1040</v>
      </c>
      <c r="E1169" s="1" t="s">
        <v>479</v>
      </c>
      <c r="F1169" s="22" t="n">
        <v>24</v>
      </c>
      <c r="G1169" s="1" t="s">
        <v>31</v>
      </c>
      <c r="H1169" s="22" t="n">
        <v>2110405</v>
      </c>
      <c r="I1169" s="1" t="s">
        <v>63</v>
      </c>
      <c r="J1169" s="22" t="n">
        <v>1464735</v>
      </c>
      <c r="L1169" s="22" t="n">
        <v>227881</v>
      </c>
      <c r="M1169" s="1" t="s">
        <v>559</v>
      </c>
      <c r="N1169" s="1" t="s">
        <v>34</v>
      </c>
      <c r="P1169" s="22" t="n">
        <v>101</v>
      </c>
      <c r="Q1169" s="1" t="s">
        <v>136</v>
      </c>
      <c r="R1169" s="1" t="s">
        <v>64</v>
      </c>
      <c r="S1169" s="22" t="n">
        <v>4210201</v>
      </c>
      <c r="T1169" s="1" t="s">
        <v>480</v>
      </c>
      <c r="U1169" s="24" t="n">
        <v>286</v>
      </c>
      <c r="W1169" s="24" t="n">
        <v>0</v>
      </c>
      <c r="X1169" s="1" t="s">
        <v>970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false" outlineLevel="0" collapsed="false">
      <c r="A1170" s="22" t="n">
        <v>3</v>
      </c>
      <c r="B1170" s="23" t="n">
        <v>46239</v>
      </c>
      <c r="C1170" s="23" t="n">
        <v>46302</v>
      </c>
      <c r="D1170" s="22" t="n">
        <v>1659</v>
      </c>
      <c r="E1170" s="1" t="s">
        <v>30</v>
      </c>
      <c r="F1170" s="22" t="n">
        <v>24</v>
      </c>
      <c r="G1170" s="1" t="s">
        <v>31</v>
      </c>
      <c r="H1170" s="22" t="n">
        <v>2110405</v>
      </c>
      <c r="I1170" s="1" t="s">
        <v>63</v>
      </c>
      <c r="J1170" s="22" t="n">
        <v>1509292</v>
      </c>
      <c r="L1170" s="22" t="n">
        <v>8893823</v>
      </c>
      <c r="M1170" s="1" t="s">
        <v>33</v>
      </c>
      <c r="N1170" s="1" t="s">
        <v>34</v>
      </c>
      <c r="P1170" s="22" t="n">
        <v>167</v>
      </c>
      <c r="Q1170" s="1" t="s">
        <v>220</v>
      </c>
      <c r="R1170" s="1" t="s">
        <v>36</v>
      </c>
      <c r="S1170" s="22" t="n">
        <v>1130101</v>
      </c>
      <c r="T1170" s="1" t="s">
        <v>37</v>
      </c>
      <c r="U1170" s="24" t="n">
        <v>710.92</v>
      </c>
      <c r="W1170" s="24" t="n">
        <v>0</v>
      </c>
      <c r="X1170" s="1" t="s">
        <v>1274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false" outlineLevel="0" collapsed="false">
      <c r="A1171" s="22" t="n">
        <v>3</v>
      </c>
      <c r="B1171" s="23" t="n">
        <v>46184</v>
      </c>
      <c r="C1171" s="23" t="n">
        <v>46304</v>
      </c>
      <c r="D1171" s="22" t="n">
        <v>1611</v>
      </c>
      <c r="E1171" s="1" t="s">
        <v>199</v>
      </c>
      <c r="F1171" s="22" t="n">
        <v>24</v>
      </c>
      <c r="G1171" s="1" t="s">
        <v>31</v>
      </c>
      <c r="H1171" s="22" t="n">
        <v>2110101</v>
      </c>
      <c r="I1171" s="1" t="s">
        <v>32</v>
      </c>
      <c r="J1171" s="22" t="n">
        <v>1239691</v>
      </c>
      <c r="L1171" s="22" t="n">
        <v>17714754</v>
      </c>
      <c r="M1171" s="1" t="s">
        <v>33</v>
      </c>
      <c r="N1171" s="1" t="s">
        <v>34</v>
      </c>
      <c r="P1171" s="22" t="n">
        <v>128</v>
      </c>
      <c r="Q1171" s="1" t="s">
        <v>35</v>
      </c>
      <c r="R1171" s="1" t="s">
        <v>36</v>
      </c>
      <c r="S1171" s="22" t="n">
        <v>1130101</v>
      </c>
      <c r="T1171" s="1" t="s">
        <v>37</v>
      </c>
      <c r="U1171" s="24" t="n">
        <v>1718.76</v>
      </c>
      <c r="W1171" s="24" t="n">
        <v>0</v>
      </c>
      <c r="X1171" s="1" t="s">
        <v>1275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false" outlineLevel="0" collapsed="false">
      <c r="A1172" s="22" t="n">
        <v>3</v>
      </c>
      <c r="B1172" s="23" t="n">
        <v>46122</v>
      </c>
      <c r="C1172" s="23" t="n">
        <v>46305</v>
      </c>
      <c r="D1172" s="22" t="n">
        <v>815</v>
      </c>
      <c r="E1172" s="1" t="s">
        <v>410</v>
      </c>
      <c r="F1172" s="22" t="n">
        <v>34</v>
      </c>
      <c r="G1172" s="1" t="s">
        <v>58</v>
      </c>
      <c r="H1172" s="22" t="n">
        <v>2110405</v>
      </c>
      <c r="I1172" s="1" t="s">
        <v>63</v>
      </c>
      <c r="J1172" s="22" t="n">
        <v>793794</v>
      </c>
      <c r="L1172" s="22" t="n">
        <v>100326</v>
      </c>
      <c r="M1172" s="1" t="s">
        <v>367</v>
      </c>
      <c r="N1172" s="1" t="s">
        <v>34</v>
      </c>
      <c r="P1172" s="22" t="n">
        <v>101</v>
      </c>
      <c r="Q1172" s="1" t="s">
        <v>136</v>
      </c>
      <c r="R1172" s="1" t="s">
        <v>411</v>
      </c>
      <c r="S1172" s="22" t="n">
        <v>2110901</v>
      </c>
      <c r="T1172" s="1" t="s">
        <v>412</v>
      </c>
      <c r="U1172" s="24" t="n">
        <v>1500</v>
      </c>
      <c r="W1172" s="24" t="n">
        <v>0</v>
      </c>
      <c r="X1172" s="1" t="s">
        <v>413</v>
      </c>
      <c r="Z1172" s="1" t="str">
        <f aca="false">IF($T1172="","",IFERROR(INDEX('Resumo Grupos'!$AC$3:$AC$200,MATCH($T1172,'Resumo Grupos'!$AB$3:$AB$200,0)),"n/d"))</f>
        <v>Empréstimo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false" outlineLevel="0" collapsed="false">
      <c r="A1173" s="22" t="n">
        <v>3</v>
      </c>
      <c r="B1173" s="23" t="n">
        <v>46211</v>
      </c>
      <c r="C1173" s="23" t="n">
        <v>46305</v>
      </c>
      <c r="D1173" s="22" t="n">
        <v>33</v>
      </c>
      <c r="E1173" s="1" t="s">
        <v>297</v>
      </c>
      <c r="F1173" s="22" t="n">
        <v>34</v>
      </c>
      <c r="G1173" s="1" t="s">
        <v>58</v>
      </c>
      <c r="H1173" s="22" t="n">
        <v>2110405</v>
      </c>
      <c r="I1173" s="1" t="s">
        <v>63</v>
      </c>
      <c r="J1173" s="22" t="n">
        <v>1370731</v>
      </c>
      <c r="L1173" s="22" t="n">
        <v>213889</v>
      </c>
      <c r="M1173" s="1" t="s">
        <v>371</v>
      </c>
      <c r="N1173" s="1" t="s">
        <v>34</v>
      </c>
      <c r="P1173" s="22" t="n">
        <v>101</v>
      </c>
      <c r="Q1173" s="1" t="s">
        <v>136</v>
      </c>
      <c r="R1173" s="1" t="s">
        <v>64</v>
      </c>
      <c r="S1173" s="22" t="n">
        <v>4210222</v>
      </c>
      <c r="T1173" s="1" t="s">
        <v>632</v>
      </c>
      <c r="U1173" s="24" t="n">
        <v>666.67</v>
      </c>
      <c r="W1173" s="24" t="n">
        <v>0</v>
      </c>
      <c r="X1173" s="1" t="s">
        <v>633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false" outlineLevel="0" collapsed="false">
      <c r="A1174" s="22" t="n">
        <v>3</v>
      </c>
      <c r="B1174" s="23" t="n">
        <v>46231</v>
      </c>
      <c r="C1174" s="23" t="n">
        <v>46305</v>
      </c>
      <c r="D1174" s="22" t="n">
        <v>1028</v>
      </c>
      <c r="E1174" s="1" t="s">
        <v>487</v>
      </c>
      <c r="F1174" s="22" t="n">
        <v>34</v>
      </c>
      <c r="G1174" s="1" t="s">
        <v>58</v>
      </c>
      <c r="H1174" s="22" t="n">
        <v>1110204</v>
      </c>
      <c r="I1174" s="1" t="s">
        <v>177</v>
      </c>
      <c r="J1174" s="22" t="n">
        <v>1464677</v>
      </c>
      <c r="L1174" s="22" t="n">
        <v>227872</v>
      </c>
      <c r="M1174" s="1" t="s">
        <v>33</v>
      </c>
      <c r="N1174" s="1" t="s">
        <v>34</v>
      </c>
      <c r="P1174" s="22" t="n">
        <v>101</v>
      </c>
      <c r="Q1174" s="1" t="s">
        <v>136</v>
      </c>
      <c r="R1174" s="1" t="s">
        <v>206</v>
      </c>
      <c r="S1174" s="22" t="n">
        <v>4210111</v>
      </c>
      <c r="T1174" s="1" t="s">
        <v>488</v>
      </c>
      <c r="U1174" s="24" t="n">
        <v>5500</v>
      </c>
      <c r="W1174" s="24" t="n">
        <v>0</v>
      </c>
      <c r="X1174" s="1" t="s">
        <v>1276</v>
      </c>
      <c r="Z1174" s="1" t="str">
        <f aca="false">IF($T1174="","",IFERROR(INDEX('Resumo Grupos'!$AC$3:$AC$200,MATCH($T1174,'Resumo Grupos'!$AB$3:$AB$200,0)),"n/d"))</f>
        <v>Despesa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false" outlineLevel="0" collapsed="false">
      <c r="A1175" s="22" t="n">
        <v>3</v>
      </c>
      <c r="B1175" s="23" t="n">
        <v>46234</v>
      </c>
      <c r="C1175" s="23" t="n">
        <v>46305</v>
      </c>
      <c r="D1175" s="22" t="n">
        <v>815</v>
      </c>
      <c r="E1175" s="1" t="s">
        <v>410</v>
      </c>
      <c r="F1175" s="22" t="n">
        <v>34</v>
      </c>
      <c r="G1175" s="1" t="s">
        <v>58</v>
      </c>
      <c r="H1175" s="22" t="n">
        <v>2110405</v>
      </c>
      <c r="I1175" s="1" t="s">
        <v>63</v>
      </c>
      <c r="J1175" s="22" t="n">
        <v>1477448</v>
      </c>
      <c r="L1175" s="22" t="n">
        <v>229731</v>
      </c>
      <c r="M1175" s="1" t="s">
        <v>349</v>
      </c>
      <c r="N1175" s="1" t="s">
        <v>34</v>
      </c>
      <c r="P1175" s="22" t="n">
        <v>101</v>
      </c>
      <c r="Q1175" s="1" t="s">
        <v>136</v>
      </c>
      <c r="R1175" s="1" t="s">
        <v>372</v>
      </c>
      <c r="S1175" s="22" t="n">
        <v>2210203</v>
      </c>
      <c r="T1175" s="1" t="s">
        <v>1016</v>
      </c>
      <c r="U1175" s="24" t="n">
        <v>75000</v>
      </c>
      <c r="W1175" s="24" t="n">
        <v>0</v>
      </c>
      <c r="X1175" s="1" t="s">
        <v>1048</v>
      </c>
      <c r="Z1175" s="1" t="str">
        <f aca="false">IF($T1175="","",IFERROR(INDEX('Resumo Grupos'!$AC$3:$AC$200,MATCH($T1175,'Resumo Grupos'!$AB$3:$AB$200,0)),"n/d"))</f>
        <v>Empréstimo</v>
      </c>
      <c r="AA1175" s="1" t="str">
        <f aca="false">IF($T1175="","",IF(COUNTIF('Resumo Grupos'!$AE$3:$AE$40,$T1175)&gt;0,"NAO","SIM"))</f>
        <v>NAO</v>
      </c>
    </row>
    <row r="1176" customFormat="false" ht="12.75" hidden="false" customHeight="false" outlineLevel="0" collapsed="false">
      <c r="A1176" s="22" t="n">
        <v>3</v>
      </c>
      <c r="B1176" s="23" t="n">
        <v>46097</v>
      </c>
      <c r="C1176" s="23" t="n">
        <v>46310</v>
      </c>
      <c r="D1176" s="22" t="n">
        <v>1867</v>
      </c>
      <c r="E1176" s="1" t="s">
        <v>554</v>
      </c>
      <c r="F1176" s="22" t="n">
        <v>24</v>
      </c>
      <c r="G1176" s="1" t="s">
        <v>31</v>
      </c>
      <c r="H1176" s="22" t="n">
        <v>2110405</v>
      </c>
      <c r="I1176" s="1" t="s">
        <v>63</v>
      </c>
      <c r="J1176" s="22" t="n">
        <v>809440</v>
      </c>
      <c r="L1176" s="22" t="n">
        <v>777006512</v>
      </c>
      <c r="M1176" s="1" t="s">
        <v>688</v>
      </c>
      <c r="N1176" s="1" t="s">
        <v>34</v>
      </c>
      <c r="P1176" s="22" t="n">
        <v>101</v>
      </c>
      <c r="Q1176" s="1" t="s">
        <v>136</v>
      </c>
      <c r="R1176" s="1" t="s">
        <v>556</v>
      </c>
      <c r="S1176" s="22" t="n">
        <v>4210401</v>
      </c>
      <c r="T1176" s="1" t="s">
        <v>557</v>
      </c>
      <c r="U1176" s="24" t="n">
        <v>225.2</v>
      </c>
      <c r="W1176" s="24" t="n">
        <v>0</v>
      </c>
      <c r="X1176" s="1" t="s">
        <v>1277</v>
      </c>
      <c r="Z1176" s="1" t="str">
        <f aca="false">IF($T1176="","",IFERROR(INDEX('Resumo Grupos'!$AC$3:$AC$200,MATCH($T1176,'Resumo Grupos'!$AB$3:$AB$200,0)),"n/d"))</f>
        <v>Impostos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false" outlineLevel="0" collapsed="false">
      <c r="A1177" s="22" t="n">
        <v>3</v>
      </c>
      <c r="B1177" s="23" t="n">
        <v>46231</v>
      </c>
      <c r="C1177" s="23" t="n">
        <v>46310</v>
      </c>
      <c r="D1177" s="22" t="n">
        <v>1893</v>
      </c>
      <c r="E1177" s="1" t="s">
        <v>564</v>
      </c>
      <c r="F1177" s="22" t="n">
        <v>34</v>
      </c>
      <c r="G1177" s="1" t="s">
        <v>58</v>
      </c>
      <c r="H1177" s="22" t="n">
        <v>2110405</v>
      </c>
      <c r="I1177" s="1" t="s">
        <v>63</v>
      </c>
      <c r="J1177" s="22" t="n">
        <v>1464910</v>
      </c>
      <c r="L1177" s="22" t="n">
        <v>227905</v>
      </c>
      <c r="M1177" s="1" t="s">
        <v>349</v>
      </c>
      <c r="N1177" s="1" t="s">
        <v>34</v>
      </c>
      <c r="P1177" s="22" t="n">
        <v>101</v>
      </c>
      <c r="Q1177" s="1" t="s">
        <v>136</v>
      </c>
      <c r="R1177" s="1" t="s">
        <v>137</v>
      </c>
      <c r="S1177" s="22" t="n">
        <v>4210315</v>
      </c>
      <c r="T1177" s="1" t="s">
        <v>182</v>
      </c>
      <c r="U1177" s="24" t="n">
        <v>177.65</v>
      </c>
      <c r="W1177" s="24" t="n">
        <v>0</v>
      </c>
      <c r="X1177" s="1" t="s">
        <v>1110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false" outlineLevel="0" collapsed="false">
      <c r="A1178" s="22" t="n">
        <v>3</v>
      </c>
      <c r="B1178" s="23" t="n">
        <v>46220</v>
      </c>
      <c r="C1178" s="23" t="n">
        <v>46312</v>
      </c>
      <c r="D1178" s="22" t="n">
        <v>16</v>
      </c>
      <c r="E1178" s="1" t="s">
        <v>365</v>
      </c>
      <c r="F1178" s="22" t="n">
        <v>34</v>
      </c>
      <c r="G1178" s="1" t="s">
        <v>58</v>
      </c>
      <c r="H1178" s="22" t="n">
        <v>2110405</v>
      </c>
      <c r="I1178" s="1" t="s">
        <v>63</v>
      </c>
      <c r="J1178" s="22" t="n">
        <v>1415325</v>
      </c>
      <c r="L1178" s="22" t="n">
        <v>220522</v>
      </c>
      <c r="M1178" s="1" t="s">
        <v>349</v>
      </c>
      <c r="N1178" s="1" t="s">
        <v>34</v>
      </c>
      <c r="P1178" s="22" t="n">
        <v>101</v>
      </c>
      <c r="Q1178" s="1" t="s">
        <v>136</v>
      </c>
      <c r="R1178" s="1" t="s">
        <v>372</v>
      </c>
      <c r="S1178" s="22" t="n">
        <v>2210202</v>
      </c>
      <c r="T1178" s="1" t="s">
        <v>372</v>
      </c>
      <c r="U1178" s="24" t="n">
        <v>1000</v>
      </c>
      <c r="W1178" s="24" t="n">
        <v>0</v>
      </c>
      <c r="X1178" s="1" t="s">
        <v>1115</v>
      </c>
      <c r="Z1178" s="1" t="str">
        <f aca="false">IF($T1178="","",IFERROR(INDEX('Resumo Grupos'!$AC$3:$AC$200,MATCH($T1178,'Resumo Grupos'!$AB$3:$AB$200,0)),"n/d"))</f>
        <v>Empréstimo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false" outlineLevel="0" collapsed="false">
      <c r="A1179" s="22" t="n">
        <v>3</v>
      </c>
      <c r="B1179" s="23" t="n">
        <v>46224</v>
      </c>
      <c r="C1179" s="23" t="n">
        <v>46312</v>
      </c>
      <c r="D1179" s="22" t="n">
        <v>16</v>
      </c>
      <c r="E1179" s="1" t="s">
        <v>365</v>
      </c>
      <c r="F1179" s="22" t="n">
        <v>34</v>
      </c>
      <c r="G1179" s="1" t="s">
        <v>58</v>
      </c>
      <c r="H1179" s="22" t="n">
        <v>2110405</v>
      </c>
      <c r="I1179" s="1" t="s">
        <v>63</v>
      </c>
      <c r="J1179" s="22" t="n">
        <v>1428695</v>
      </c>
      <c r="L1179" s="22" t="n">
        <v>222991</v>
      </c>
      <c r="M1179" s="1" t="s">
        <v>349</v>
      </c>
      <c r="N1179" s="1" t="s">
        <v>34</v>
      </c>
      <c r="P1179" s="22" t="n">
        <v>101</v>
      </c>
      <c r="Q1179" s="1" t="s">
        <v>136</v>
      </c>
      <c r="R1179" s="1" t="s">
        <v>372</v>
      </c>
      <c r="S1179" s="22" t="n">
        <v>2210202</v>
      </c>
      <c r="T1179" s="1" t="s">
        <v>372</v>
      </c>
      <c r="U1179" s="24" t="n">
        <v>3000</v>
      </c>
      <c r="W1179" s="24" t="n">
        <v>0</v>
      </c>
      <c r="X1179" s="1" t="s">
        <v>1278</v>
      </c>
      <c r="Z1179" s="1" t="str">
        <f aca="false">IF($T1179="","",IFERROR(INDEX('Resumo Grupos'!$AC$3:$AC$200,MATCH($T1179,'Resumo Grupos'!$AB$3:$AB$200,0)),"n/d"))</f>
        <v>Empréstimo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false" outlineLevel="0" collapsed="false">
      <c r="A1180" s="22" t="n">
        <v>3</v>
      </c>
      <c r="B1180" s="23" t="n">
        <v>46231</v>
      </c>
      <c r="C1180" s="23" t="n">
        <v>46312</v>
      </c>
      <c r="D1180" s="22" t="n">
        <v>1354</v>
      </c>
      <c r="E1180" s="1" t="s">
        <v>1120</v>
      </c>
      <c r="F1180" s="22" t="n">
        <v>60</v>
      </c>
      <c r="G1180" s="1" t="s">
        <v>1121</v>
      </c>
      <c r="H1180" s="22" t="n">
        <v>1110204</v>
      </c>
      <c r="I1180" s="1" t="s">
        <v>177</v>
      </c>
      <c r="J1180" s="22" t="n">
        <v>1468251</v>
      </c>
      <c r="L1180" s="22" t="n">
        <v>13391</v>
      </c>
      <c r="M1180" s="1" t="s">
        <v>33</v>
      </c>
      <c r="N1180" s="1" t="s">
        <v>34</v>
      </c>
      <c r="P1180" s="22" t="n">
        <v>167</v>
      </c>
      <c r="Q1180" s="1" t="s">
        <v>220</v>
      </c>
      <c r="R1180" s="1" t="s">
        <v>64</v>
      </c>
      <c r="S1180" s="22" t="n">
        <v>4210227</v>
      </c>
      <c r="T1180" s="1" t="s">
        <v>65</v>
      </c>
      <c r="U1180" s="24" t="n">
        <v>121.66</v>
      </c>
      <c r="W1180" s="24" t="n">
        <v>0</v>
      </c>
      <c r="X1180" s="1" t="s">
        <v>1279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false" outlineLevel="0" collapsed="false">
      <c r="A1181" s="22" t="n">
        <v>3</v>
      </c>
      <c r="B1181" s="23" t="n">
        <v>45950</v>
      </c>
      <c r="C1181" s="23" t="n">
        <v>46313</v>
      </c>
      <c r="D1181" s="22" t="n">
        <v>515</v>
      </c>
      <c r="E1181" s="1" t="s">
        <v>240</v>
      </c>
      <c r="F1181" s="22" t="n">
        <v>34</v>
      </c>
      <c r="G1181" s="1" t="s">
        <v>58</v>
      </c>
      <c r="H1181" s="22" t="n">
        <v>2110405</v>
      </c>
      <c r="I1181" s="1" t="s">
        <v>63</v>
      </c>
      <c r="J1181" s="22" t="n">
        <v>546000</v>
      </c>
      <c r="L1181" s="22" t="n">
        <v>85577</v>
      </c>
      <c r="M1181" s="1" t="s">
        <v>1280</v>
      </c>
      <c r="N1181" s="1" t="s">
        <v>34</v>
      </c>
      <c r="P1181" s="22" t="n">
        <v>101</v>
      </c>
      <c r="Q1181" s="1" t="s">
        <v>136</v>
      </c>
      <c r="R1181" s="1" t="s">
        <v>64</v>
      </c>
      <c r="S1181" s="22" t="n">
        <v>4210210</v>
      </c>
      <c r="T1181" s="1" t="s">
        <v>676</v>
      </c>
      <c r="U1181" s="24" t="n">
        <v>45.73</v>
      </c>
      <c r="W1181" s="24" t="n">
        <v>0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false" outlineLevel="0" collapsed="false">
      <c r="A1182" s="22" t="n">
        <v>3</v>
      </c>
      <c r="B1182" s="23" t="n">
        <v>46009</v>
      </c>
      <c r="C1182" s="23" t="n">
        <v>46313</v>
      </c>
      <c r="D1182" s="22" t="n">
        <v>515</v>
      </c>
      <c r="E1182" s="1" t="s">
        <v>240</v>
      </c>
      <c r="F1182" s="22" t="n">
        <v>34</v>
      </c>
      <c r="G1182" s="1" t="s">
        <v>58</v>
      </c>
      <c r="H1182" s="22" t="n">
        <v>2110405</v>
      </c>
      <c r="I1182" s="1" t="s">
        <v>63</v>
      </c>
      <c r="J1182" s="22" t="n">
        <v>818253</v>
      </c>
      <c r="L1182" s="22" t="n">
        <v>129421</v>
      </c>
      <c r="M1182" s="1" t="s">
        <v>1135</v>
      </c>
      <c r="N1182" s="1" t="s">
        <v>34</v>
      </c>
      <c r="P1182" s="22" t="n">
        <v>102</v>
      </c>
      <c r="Q1182" s="1" t="s">
        <v>141</v>
      </c>
      <c r="R1182" s="1" t="s">
        <v>411</v>
      </c>
      <c r="S1182" s="22" t="n">
        <v>2110901</v>
      </c>
      <c r="T1182" s="1" t="s">
        <v>412</v>
      </c>
      <c r="U1182" s="24" t="n">
        <v>2090.82</v>
      </c>
      <c r="W1182" s="24" t="n">
        <v>0</v>
      </c>
      <c r="X1182" s="1" t="s">
        <v>1281</v>
      </c>
      <c r="Z1182" s="1" t="str">
        <f aca="false">IF($T1182="","",IFERROR(INDEX('Resumo Grupos'!$AC$3:$AC$200,MATCH($T1182,'Resumo Grupos'!$AB$3:$AB$200,0)),"n/d"))</f>
        <v>Empréstimo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false" outlineLevel="0" collapsed="false">
      <c r="A1183" s="22" t="n">
        <v>3</v>
      </c>
      <c r="B1183" s="23" t="n">
        <v>46206</v>
      </c>
      <c r="C1183" s="23" t="n">
        <v>46313</v>
      </c>
      <c r="D1183" s="22" t="n">
        <v>33</v>
      </c>
      <c r="E1183" s="1" t="s">
        <v>297</v>
      </c>
      <c r="F1183" s="22" t="n">
        <v>34</v>
      </c>
      <c r="G1183" s="1" t="s">
        <v>58</v>
      </c>
      <c r="H1183" s="22" t="n">
        <v>2110405</v>
      </c>
      <c r="I1183" s="1" t="s">
        <v>63</v>
      </c>
      <c r="J1183" s="22" t="n">
        <v>1345342</v>
      </c>
      <c r="L1183" s="22" t="n">
        <v>210000</v>
      </c>
      <c r="M1183" s="1" t="s">
        <v>371</v>
      </c>
      <c r="N1183" s="1" t="s">
        <v>34</v>
      </c>
      <c r="P1183" s="22" t="n">
        <v>101</v>
      </c>
      <c r="Q1183" s="1" t="s">
        <v>136</v>
      </c>
      <c r="R1183" s="1" t="s">
        <v>64</v>
      </c>
      <c r="S1183" s="22" t="n">
        <v>4210203</v>
      </c>
      <c r="T1183" s="1" t="s">
        <v>298</v>
      </c>
      <c r="U1183" s="24" t="n">
        <v>373.79</v>
      </c>
      <c r="W1183" s="24" t="n">
        <v>0</v>
      </c>
      <c r="X1183" s="1" t="s">
        <v>681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false" outlineLevel="0" collapsed="false">
      <c r="A1184" s="22" t="n">
        <v>3</v>
      </c>
      <c r="B1184" s="23" t="n">
        <v>46011</v>
      </c>
      <c r="C1184" s="23" t="n">
        <v>46315</v>
      </c>
      <c r="D1184" s="22" t="n">
        <v>514</v>
      </c>
      <c r="E1184" s="1" t="s">
        <v>163</v>
      </c>
      <c r="F1184" s="22" t="n">
        <v>34</v>
      </c>
      <c r="G1184" s="1" t="s">
        <v>58</v>
      </c>
      <c r="H1184" s="22" t="n">
        <v>2110405</v>
      </c>
      <c r="I1184" s="1" t="s">
        <v>63</v>
      </c>
      <c r="J1184" s="22" t="n">
        <v>695960</v>
      </c>
      <c r="L1184" s="22" t="n">
        <v>3</v>
      </c>
      <c r="M1184" s="1" t="s">
        <v>1263</v>
      </c>
      <c r="N1184" s="1" t="s">
        <v>34</v>
      </c>
      <c r="P1184" s="22" t="n">
        <v>101</v>
      </c>
      <c r="Q1184" s="1" t="s">
        <v>136</v>
      </c>
      <c r="R1184" s="1" t="s">
        <v>64</v>
      </c>
      <c r="S1184" s="22" t="n">
        <v>4210210</v>
      </c>
      <c r="T1184" s="1" t="s">
        <v>676</v>
      </c>
      <c r="U1184" s="24" t="n">
        <v>807.37</v>
      </c>
      <c r="W1184" s="24" t="n">
        <v>0</v>
      </c>
      <c r="X1184" s="1" t="s">
        <v>1282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false" outlineLevel="0" collapsed="false">
      <c r="A1185" s="22" t="n">
        <v>3</v>
      </c>
      <c r="B1185" s="23" t="n">
        <v>46223</v>
      </c>
      <c r="C1185" s="23" t="n">
        <v>46315</v>
      </c>
      <c r="D1185" s="22" t="n">
        <v>17</v>
      </c>
      <c r="E1185" s="1" t="s">
        <v>859</v>
      </c>
      <c r="F1185" s="22" t="n">
        <v>34</v>
      </c>
      <c r="G1185" s="1" t="s">
        <v>58</v>
      </c>
      <c r="H1185" s="22" t="n">
        <v>2110405</v>
      </c>
      <c r="I1185" s="1" t="s">
        <v>63</v>
      </c>
      <c r="J1185" s="22" t="n">
        <v>1464473</v>
      </c>
      <c r="L1185" s="22" t="n">
        <v>227845</v>
      </c>
      <c r="M1185" s="1" t="s">
        <v>371</v>
      </c>
      <c r="N1185" s="1" t="s">
        <v>34</v>
      </c>
      <c r="P1185" s="22" t="n">
        <v>101</v>
      </c>
      <c r="Q1185" s="1" t="s">
        <v>136</v>
      </c>
      <c r="R1185" s="1" t="s">
        <v>222</v>
      </c>
      <c r="S1185" s="22" t="n">
        <v>4220199</v>
      </c>
      <c r="T1185" s="1" t="s">
        <v>223</v>
      </c>
      <c r="U1185" s="24" t="n">
        <v>2600</v>
      </c>
      <c r="W1185" s="24" t="n">
        <v>0</v>
      </c>
      <c r="X1185" s="1" t="s">
        <v>860</v>
      </c>
      <c r="Z1185" s="1" t="str">
        <f aca="false">IF($T1185="","",IFERROR(INDEX('Resumo Grupos'!$AC$3:$AC$200,MATCH($T1185,'Resumo Grupos'!$AB$3:$AB$200,0)),"n/d"))</f>
        <v>Pagamentos outros não operacionais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false" outlineLevel="0" collapsed="false">
      <c r="A1186" s="22" t="n">
        <v>3</v>
      </c>
      <c r="B1186" s="23" t="n">
        <v>46231</v>
      </c>
      <c r="C1186" s="23" t="n">
        <v>46315</v>
      </c>
      <c r="D1186" s="22" t="n">
        <v>10028</v>
      </c>
      <c r="E1186" s="1" t="s">
        <v>695</v>
      </c>
      <c r="F1186" s="22" t="n">
        <v>24</v>
      </c>
      <c r="G1186" s="1" t="s">
        <v>31</v>
      </c>
      <c r="H1186" s="22" t="n">
        <v>2110405</v>
      </c>
      <c r="I1186" s="1" t="s">
        <v>63</v>
      </c>
      <c r="J1186" s="22" t="n">
        <v>1464619</v>
      </c>
      <c r="L1186" s="22" t="n">
        <v>227869</v>
      </c>
      <c r="M1186" s="1" t="s">
        <v>349</v>
      </c>
      <c r="N1186" s="1" t="s">
        <v>34</v>
      </c>
      <c r="P1186" s="22" t="n">
        <v>101</v>
      </c>
      <c r="Q1186" s="1" t="s">
        <v>136</v>
      </c>
      <c r="R1186" s="1" t="s">
        <v>137</v>
      </c>
      <c r="S1186" s="22" t="n">
        <v>4210315</v>
      </c>
      <c r="T1186" s="1" t="s">
        <v>182</v>
      </c>
      <c r="U1186" s="24" t="n">
        <v>595.9</v>
      </c>
      <c r="W1186" s="24" t="n">
        <v>0</v>
      </c>
      <c r="X1186" s="1" t="s">
        <v>696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false" outlineLevel="0" collapsed="false">
      <c r="A1187" s="22" t="n">
        <v>3</v>
      </c>
      <c r="B1187" s="23" t="n">
        <v>46044</v>
      </c>
      <c r="C1187" s="23" t="n">
        <v>46317</v>
      </c>
      <c r="D1187" s="22" t="n">
        <v>514</v>
      </c>
      <c r="E1187" s="1" t="s">
        <v>163</v>
      </c>
      <c r="F1187" s="22" t="n">
        <v>34</v>
      </c>
      <c r="G1187" s="1" t="s">
        <v>58</v>
      </c>
      <c r="H1187" s="22" t="n">
        <v>2110405</v>
      </c>
      <c r="I1187" s="1" t="s">
        <v>63</v>
      </c>
      <c r="J1187" s="22" t="n">
        <v>1306220</v>
      </c>
      <c r="L1187" s="22" t="n">
        <v>203991</v>
      </c>
      <c r="M1187" s="1" t="s">
        <v>1135</v>
      </c>
      <c r="N1187" s="1" t="s">
        <v>34</v>
      </c>
      <c r="P1187" s="22" t="n">
        <v>101</v>
      </c>
      <c r="Q1187" s="1" t="s">
        <v>136</v>
      </c>
      <c r="R1187" s="1" t="s">
        <v>411</v>
      </c>
      <c r="S1187" s="22" t="n">
        <v>2110901</v>
      </c>
      <c r="T1187" s="1" t="s">
        <v>412</v>
      </c>
      <c r="U1187" s="24" t="n">
        <v>6601.19</v>
      </c>
      <c r="W1187" s="24" t="n">
        <v>0</v>
      </c>
      <c r="X1187" s="1" t="s">
        <v>1283</v>
      </c>
      <c r="Z1187" s="1" t="str">
        <f aca="false">IF($T1187="","",IFERROR(INDEX('Resumo Grupos'!$AC$3:$AC$200,MATCH($T1187,'Resumo Grupos'!$AB$3:$AB$200,0)),"n/d"))</f>
        <v>Empréstimo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false" outlineLevel="0" collapsed="false">
      <c r="A1188" s="22" t="n">
        <v>3</v>
      </c>
      <c r="B1188" s="23" t="n">
        <v>46224</v>
      </c>
      <c r="C1188" s="23" t="n">
        <v>46317</v>
      </c>
      <c r="D1188" s="22" t="n">
        <v>1929</v>
      </c>
      <c r="E1188" s="1" t="s">
        <v>1183</v>
      </c>
      <c r="F1188" s="22" t="n">
        <v>34</v>
      </c>
      <c r="G1188" s="1" t="s">
        <v>58</v>
      </c>
      <c r="H1188" s="22" t="n">
        <v>2110405</v>
      </c>
      <c r="I1188" s="1" t="s">
        <v>63</v>
      </c>
      <c r="J1188" s="22" t="n">
        <v>1428714</v>
      </c>
      <c r="L1188" s="22" t="n">
        <v>222992</v>
      </c>
      <c r="M1188" s="1" t="s">
        <v>349</v>
      </c>
      <c r="N1188" s="1" t="s">
        <v>34</v>
      </c>
      <c r="P1188" s="22" t="n">
        <v>101</v>
      </c>
      <c r="Q1188" s="1" t="s">
        <v>136</v>
      </c>
      <c r="R1188" s="1" t="s">
        <v>64</v>
      </c>
      <c r="S1188" s="22" t="n">
        <v>4210299</v>
      </c>
      <c r="T1188" s="1" t="s">
        <v>615</v>
      </c>
      <c r="U1188" s="24" t="n">
        <v>95.43</v>
      </c>
      <c r="W1188" s="24" t="n">
        <v>0</v>
      </c>
      <c r="X1188" s="1" t="s">
        <v>1184</v>
      </c>
      <c r="Z1188" s="1" t="str">
        <f aca="false">IF($T1188="","",IFERROR(INDEX('Resumo Grupos'!$AC$3:$AC$200,MATCH($T1188,'Resumo Grupos'!$AB$3:$AB$200,0)),"n/d"))</f>
        <v>Despesa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false" outlineLevel="0" collapsed="false">
      <c r="A1189" s="22" t="n">
        <v>3</v>
      </c>
      <c r="B1189" s="23" t="n">
        <v>46224</v>
      </c>
      <c r="C1189" s="23" t="n">
        <v>46317</v>
      </c>
      <c r="D1189" s="22" t="n">
        <v>1929</v>
      </c>
      <c r="E1189" s="1" t="s">
        <v>1183</v>
      </c>
      <c r="F1189" s="22" t="n">
        <v>34</v>
      </c>
      <c r="G1189" s="1" t="s">
        <v>58</v>
      </c>
      <c r="H1189" s="22" t="n">
        <v>2110405</v>
      </c>
      <c r="I1189" s="1" t="s">
        <v>63</v>
      </c>
      <c r="J1189" s="22" t="n">
        <v>1428721</v>
      </c>
      <c r="L1189" s="22" t="n">
        <v>222993</v>
      </c>
      <c r="M1189" s="1" t="s">
        <v>349</v>
      </c>
      <c r="N1189" s="1" t="s">
        <v>34</v>
      </c>
      <c r="P1189" s="22" t="n">
        <v>101</v>
      </c>
      <c r="Q1189" s="1" t="s">
        <v>136</v>
      </c>
      <c r="R1189" s="1" t="s">
        <v>64</v>
      </c>
      <c r="S1189" s="22" t="n">
        <v>4210299</v>
      </c>
      <c r="T1189" s="1" t="s">
        <v>615</v>
      </c>
      <c r="U1189" s="24" t="n">
        <v>102.37</v>
      </c>
      <c r="W1189" s="24" t="n">
        <v>0</v>
      </c>
      <c r="X1189" s="1" t="s">
        <v>1185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false" outlineLevel="0" collapsed="false">
      <c r="A1190" s="22" t="n">
        <v>3</v>
      </c>
      <c r="B1190" s="23" t="n">
        <v>46224</v>
      </c>
      <c r="C1190" s="23" t="n">
        <v>46317</v>
      </c>
      <c r="D1190" s="22" t="n">
        <v>514</v>
      </c>
      <c r="E1190" s="1" t="s">
        <v>163</v>
      </c>
      <c r="F1190" s="22" t="n">
        <v>34</v>
      </c>
      <c r="G1190" s="1" t="s">
        <v>58</v>
      </c>
      <c r="H1190" s="22" t="n">
        <v>2110405</v>
      </c>
      <c r="I1190" s="1" t="s">
        <v>63</v>
      </c>
      <c r="J1190" s="22" t="n">
        <v>1428727</v>
      </c>
      <c r="L1190" s="22" t="n">
        <v>222994</v>
      </c>
      <c r="M1190" s="1" t="s">
        <v>349</v>
      </c>
      <c r="N1190" s="1" t="s">
        <v>34</v>
      </c>
      <c r="P1190" s="22" t="n">
        <v>101</v>
      </c>
      <c r="Q1190" s="1" t="s">
        <v>136</v>
      </c>
      <c r="R1190" s="1" t="s">
        <v>165</v>
      </c>
      <c r="S1190" s="22" t="n">
        <v>4210504</v>
      </c>
      <c r="T1190" s="1" t="s">
        <v>166</v>
      </c>
      <c r="U1190" s="24" t="n">
        <v>240</v>
      </c>
      <c r="W1190" s="24" t="n">
        <v>0</v>
      </c>
      <c r="X1190" s="1" t="s">
        <v>1186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false" outlineLevel="0" collapsed="false">
      <c r="A1191" s="22" t="n">
        <v>3</v>
      </c>
      <c r="B1191" s="23" t="n">
        <v>46224</v>
      </c>
      <c r="C1191" s="23" t="n">
        <v>46317</v>
      </c>
      <c r="D1191" s="22" t="n">
        <v>1000036</v>
      </c>
      <c r="E1191" s="1" t="s">
        <v>1187</v>
      </c>
      <c r="F1191" s="22" t="n">
        <v>34</v>
      </c>
      <c r="G1191" s="1" t="s">
        <v>58</v>
      </c>
      <c r="H1191" s="22" t="n">
        <v>2110405</v>
      </c>
      <c r="I1191" s="1" t="s">
        <v>63</v>
      </c>
      <c r="J1191" s="22" t="n">
        <v>1428747</v>
      </c>
      <c r="L1191" s="22" t="n">
        <v>222995</v>
      </c>
      <c r="M1191" s="1" t="s">
        <v>349</v>
      </c>
      <c r="N1191" s="1" t="s">
        <v>34</v>
      </c>
      <c r="P1191" s="22" t="n">
        <v>101</v>
      </c>
      <c r="Q1191" s="1" t="s">
        <v>136</v>
      </c>
      <c r="R1191" s="1" t="s">
        <v>64</v>
      </c>
      <c r="S1191" s="22" t="n">
        <v>4210299</v>
      </c>
      <c r="T1191" s="1" t="s">
        <v>615</v>
      </c>
      <c r="U1191" s="24" t="n">
        <v>2929.65</v>
      </c>
      <c r="W1191" s="24" t="n">
        <v>0</v>
      </c>
      <c r="X1191" s="1" t="s">
        <v>1188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false" outlineLevel="0" collapsed="false">
      <c r="A1192" s="22" t="n">
        <v>3</v>
      </c>
      <c r="B1192" s="23" t="n">
        <v>46224</v>
      </c>
      <c r="C1192" s="23" t="n">
        <v>46317</v>
      </c>
      <c r="D1192" s="22" t="n">
        <v>1929</v>
      </c>
      <c r="E1192" s="1" t="s">
        <v>1183</v>
      </c>
      <c r="F1192" s="22" t="n">
        <v>34</v>
      </c>
      <c r="G1192" s="1" t="s">
        <v>58</v>
      </c>
      <c r="H1192" s="22" t="n">
        <v>1110204</v>
      </c>
      <c r="I1192" s="1" t="s">
        <v>177</v>
      </c>
      <c r="J1192" s="22" t="n">
        <v>1428753</v>
      </c>
      <c r="L1192" s="22" t="n">
        <v>222996</v>
      </c>
      <c r="M1192" s="1" t="s">
        <v>349</v>
      </c>
      <c r="N1192" s="1" t="s">
        <v>34</v>
      </c>
      <c r="P1192" s="22" t="n">
        <v>101</v>
      </c>
      <c r="Q1192" s="1" t="s">
        <v>136</v>
      </c>
      <c r="R1192" s="1" t="s">
        <v>165</v>
      </c>
      <c r="S1192" s="22" t="n">
        <v>4210504</v>
      </c>
      <c r="T1192" s="1" t="s">
        <v>166</v>
      </c>
      <c r="U1192" s="24" t="n">
        <v>420</v>
      </c>
      <c r="W1192" s="24" t="n">
        <v>0</v>
      </c>
      <c r="X1192" s="1" t="s">
        <v>1189</v>
      </c>
      <c r="Z1192" s="1" t="str">
        <f aca="false">IF($T1192="","",IFERROR(INDEX('Resumo Grupos'!$AC$3:$AC$200,MATCH($T1192,'Resumo Grupos'!$AB$3:$AB$200,0)),"n/d"))</f>
        <v>Despesa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false" outlineLevel="0" collapsed="false">
      <c r="A1193" s="22" t="n">
        <v>3</v>
      </c>
      <c r="B1193" s="23" t="n">
        <v>46231</v>
      </c>
      <c r="C1193" s="23" t="n">
        <v>46320</v>
      </c>
      <c r="D1193" s="22" t="n">
        <v>875</v>
      </c>
      <c r="E1193" s="1" t="s">
        <v>799</v>
      </c>
      <c r="F1193" s="22" t="n">
        <v>59</v>
      </c>
      <c r="G1193" s="1" t="s">
        <v>817</v>
      </c>
      <c r="H1193" s="22" t="n">
        <v>2110405</v>
      </c>
      <c r="I1193" s="1" t="s">
        <v>63</v>
      </c>
      <c r="J1193" s="22" t="n">
        <v>1472843</v>
      </c>
      <c r="L1193" s="22" t="n">
        <v>18873</v>
      </c>
      <c r="M1193" s="1" t="s">
        <v>33</v>
      </c>
      <c r="N1193" s="1" t="s">
        <v>34</v>
      </c>
      <c r="P1193" s="22" t="n">
        <v>167</v>
      </c>
      <c r="Q1193" s="1" t="s">
        <v>220</v>
      </c>
      <c r="R1193" s="1" t="s">
        <v>36</v>
      </c>
      <c r="S1193" s="22" t="n">
        <v>1130101</v>
      </c>
      <c r="T1193" s="1" t="s">
        <v>37</v>
      </c>
      <c r="U1193" s="24" t="n">
        <v>1615.17</v>
      </c>
      <c r="W1193" s="24" t="n">
        <v>0</v>
      </c>
      <c r="X1193" s="1" t="s">
        <v>1209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false" outlineLevel="0" collapsed="false">
      <c r="A1194" s="22" t="n">
        <v>3</v>
      </c>
      <c r="B1194" s="23" t="n">
        <v>46237</v>
      </c>
      <c r="C1194" s="23" t="n">
        <v>46320</v>
      </c>
      <c r="D1194" s="22" t="n">
        <v>10101</v>
      </c>
      <c r="E1194" s="1" t="s">
        <v>1211</v>
      </c>
      <c r="F1194" s="22" t="n">
        <v>59</v>
      </c>
      <c r="G1194" s="1" t="s">
        <v>817</v>
      </c>
      <c r="H1194" s="22" t="n">
        <v>1110204</v>
      </c>
      <c r="I1194" s="1" t="s">
        <v>177</v>
      </c>
      <c r="J1194" s="22" t="n">
        <v>1498495</v>
      </c>
      <c r="L1194" s="22" t="n">
        <v>232742</v>
      </c>
      <c r="M1194" s="1" t="s">
        <v>33</v>
      </c>
      <c r="N1194" s="1" t="s">
        <v>34</v>
      </c>
      <c r="P1194" s="22" t="n">
        <v>167</v>
      </c>
      <c r="Q1194" s="1" t="s">
        <v>220</v>
      </c>
      <c r="R1194" s="1" t="s">
        <v>64</v>
      </c>
      <c r="S1194" s="22" t="n">
        <v>4210227</v>
      </c>
      <c r="T1194" s="1" t="s">
        <v>65</v>
      </c>
      <c r="U1194" s="24" t="n">
        <v>256.8</v>
      </c>
      <c r="W1194" s="24" t="n">
        <v>0</v>
      </c>
      <c r="X1194" s="1" t="s">
        <v>1284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5"/>
      <c r="B1" s="26"/>
      <c r="C1" s="27"/>
      <c r="D1" s="26"/>
    </row>
    <row r="2" customFormat="false" ht="12.75" hidden="false" customHeight="true" outlineLevel="0" collapsed="false">
      <c r="A2" s="15" t="n">
        <f aca="false">Report!C10</f>
        <v>46200</v>
      </c>
      <c r="B2" s="1" t="str">
        <f aca="false">Report!E10</f>
        <v>ADRIANA DISTRIBUIDORA DE PRODUTOS ALIMEN</v>
      </c>
      <c r="C2" s="17" t="n">
        <f aca="false">Report!U10</f>
        <v>434.48</v>
      </c>
      <c r="D2" s="1" t="str">
        <f aca="false">Report!X10</f>
        <v>NF 876315 2/3 - ALICIA</v>
      </c>
    </row>
    <row r="3" customFormat="false" ht="12.75" hidden="false" customHeight="true" outlineLevel="0" collapsed="false">
      <c r="A3" s="15" t="n">
        <f aca="false">Report!C11</f>
        <v>46200</v>
      </c>
      <c r="B3" s="1" t="str">
        <f aca="false">Report!E11</f>
        <v>AGL DISTRIBUIDORA LIMITADA MATRIZ</v>
      </c>
      <c r="C3" s="17" t="n">
        <f aca="false">Report!U11</f>
        <v>180.27</v>
      </c>
      <c r="D3" s="1" t="str">
        <f aca="false">Report!X11</f>
        <v>NF 11971 1/1 - ALICIA </v>
      </c>
    </row>
    <row r="4" customFormat="false" ht="12.75" hidden="false" customHeight="true" outlineLevel="0" collapsed="false">
      <c r="A4" s="15" t="n">
        <f aca="false">Report!C12</f>
        <v>46200</v>
      </c>
      <c r="B4" s="1" t="str">
        <f aca="false">Report!E12</f>
        <v>AGM COMERCIO E DISTRIBUIDORA DE MATERIAS DE PERFUMARIA E LIMPEZA LTDA</v>
      </c>
      <c r="C4" s="17" t="n">
        <f aca="false">Report!U12</f>
        <v>870.75</v>
      </c>
      <c r="D4" s="1" t="str">
        <f aca="false">Report!X12</f>
        <v>NF 160778 1/4 - ALICIA </v>
      </c>
    </row>
    <row r="5" customFormat="false" ht="12.75" hidden="false" customHeight="true" outlineLevel="0" collapsed="false">
      <c r="A5" s="15" t="n">
        <f aca="false">Report!C13</f>
        <v>46200</v>
      </c>
      <c r="B5" s="1" t="str">
        <f aca="false">Report!E13</f>
        <v>ALEXANDRE DA SILVA RUFINO</v>
      </c>
      <c r="C5" s="17" t="n">
        <f aca="false">Report!U13</f>
        <v>432</v>
      </c>
      <c r="D5" s="1" t="str">
        <f aca="false">Report!X13</f>
        <v>S/NF COMPRAS CIGARROS - ALICIA</v>
      </c>
    </row>
    <row r="6" customFormat="false" ht="12.75" hidden="false" customHeight="true" outlineLevel="0" collapsed="false">
      <c r="A6" s="15" t="n">
        <f aca="false">Report!C14</f>
        <v>46200</v>
      </c>
      <c r="B6" s="1" t="str">
        <f aca="false">Report!E14</f>
        <v>ATIVA COM E REP</v>
      </c>
      <c r="C6" s="17" t="n">
        <f aca="false">Report!U14</f>
        <v>467.19</v>
      </c>
      <c r="D6" s="1" t="str">
        <f aca="false">Report!X14</f>
        <v>NF 25331 1/2 - ALICIA </v>
      </c>
    </row>
    <row r="7" customFormat="false" ht="12.75" hidden="false" customHeight="true" outlineLevel="0" collapsed="false">
      <c r="A7" s="15" t="n">
        <f aca="false">Report!C15</f>
        <v>46200</v>
      </c>
      <c r="B7" s="1" t="str">
        <f aca="false">Report!E15</f>
        <v>BROTHERS  INDUSTRIA DE ALIMENTOS LTDA</v>
      </c>
      <c r="C7" s="17" t="n">
        <f aca="false">Report!U15</f>
        <v>756.82</v>
      </c>
      <c r="D7" s="1" t="str">
        <f aca="false">Report!X15</f>
        <v>NF 1027742 1/1 - ALICIA</v>
      </c>
    </row>
    <row r="8" customFormat="false" ht="12.75" hidden="false" customHeight="true" outlineLevel="0" collapsed="false">
      <c r="A8" s="15" t="n">
        <f aca="false">Report!C16</f>
        <v>46200</v>
      </c>
      <c r="B8" s="1" t="str">
        <f aca="false">Report!E16</f>
        <v>CB COMERCIO E DISTRIBUIDORA DE ALIMENTOS</v>
      </c>
      <c r="C8" s="17" t="n">
        <f aca="false">Report!U16</f>
        <v>504.27</v>
      </c>
      <c r="D8" s="1" t="str">
        <f aca="false">Report!X16</f>
        <v>NF 843062 1/3 - ALICIA </v>
      </c>
    </row>
    <row r="9" customFormat="false" ht="12.75" hidden="false" customHeight="true" outlineLevel="0" collapsed="false">
      <c r="A9" s="15" t="n">
        <f aca="false">Report!C17</f>
        <v>46200</v>
      </c>
      <c r="B9" s="1" t="str">
        <f aca="false">Report!E17</f>
        <v>CINTIA MACIEL PEREIRA SANTOS 95986138287</v>
      </c>
      <c r="C9" s="17" t="n">
        <f aca="false">Report!U17</f>
        <v>941.2</v>
      </c>
      <c r="D9" s="1" t="str">
        <f aca="false">Report!X17</f>
        <v>NF 1340 1/1 - ALICIA </v>
      </c>
    </row>
    <row r="10" customFormat="false" ht="12.75" hidden="false" customHeight="true" outlineLevel="0" collapsed="false">
      <c r="A10" s="15" t="n">
        <f aca="false">Report!C18</f>
        <v>46200</v>
      </c>
      <c r="B10" s="1" t="str">
        <f aca="false">Report!E18</f>
        <v>COMERCIO DE FRIOS MANAUS LTDA</v>
      </c>
      <c r="C10" s="17" t="n">
        <f aca="false">Report!U18</f>
        <v>4761.6</v>
      </c>
      <c r="D10" s="1" t="str">
        <f aca="false">Report!X18</f>
        <v>NF 171649 1/1 - ALICIA </v>
      </c>
    </row>
    <row r="11" customFormat="false" ht="12.75" hidden="false" customHeight="true" outlineLevel="0" collapsed="false">
      <c r="A11" s="15" t="n">
        <f aca="false">Report!C19</f>
        <v>46200</v>
      </c>
      <c r="B11" s="1" t="str">
        <f aca="false">Report!E19</f>
        <v>COMERCIO DE FRIOS MANAUS LTDA</v>
      </c>
      <c r="C11" s="17" t="n">
        <f aca="false">Report!U19</f>
        <v>2882</v>
      </c>
      <c r="D11" s="1" t="str">
        <f aca="false">Report!X19</f>
        <v>NF 171605 1/1 - ALICIA </v>
      </c>
    </row>
    <row r="12" customFormat="false" ht="12.75" hidden="false" customHeight="true" outlineLevel="0" collapsed="false">
      <c r="A12" s="15" t="n">
        <f aca="false">Report!C20</f>
        <v>46200</v>
      </c>
      <c r="B12" s="1" t="str">
        <f aca="false">Report!E20</f>
        <v>COMERCIO E TRANSPORTE BRANDAO LTDA</v>
      </c>
      <c r="C12" s="17" t="n">
        <f aca="false">Report!U20</f>
        <v>296</v>
      </c>
      <c r="D12" s="1" t="str">
        <f aca="false">Report!X20</f>
        <v>COMPRAS QUEIJO - CARLOS VERDURAS </v>
      </c>
    </row>
    <row r="13" customFormat="false" ht="12.75" hidden="false" customHeight="true" outlineLevel="0" collapsed="false">
      <c r="A13" s="15" t="n">
        <f aca="false">Report!C21</f>
        <v>46200</v>
      </c>
      <c r="B13" s="1" t="str">
        <f aca="false">Report!E21</f>
        <v>COMERCIO E TRANSPORTE BRANDAO LTDA</v>
      </c>
      <c r="C13" s="17" t="n">
        <f aca="false">Report!U21</f>
        <v>148</v>
      </c>
      <c r="D13" s="1" t="str">
        <f aca="false">Report!X21</f>
        <v>PGT CARLOS VERDURAS - JHONATAS </v>
      </c>
    </row>
    <row r="14" customFormat="false" ht="12.75" hidden="false" customHeight="true" outlineLevel="0" collapsed="false">
      <c r="A14" s="15" t="n">
        <f aca="false">Report!C23</f>
        <v>46200</v>
      </c>
      <c r="B14" s="1" t="str">
        <f aca="false">Report!E23</f>
        <v>DISTRIBUIDORA FARIAS LTDA.</v>
      </c>
      <c r="C14" s="17" t="n">
        <f aca="false">Report!U23</f>
        <v>647.83</v>
      </c>
      <c r="D14" s="1" t="str">
        <f aca="false">Report!X23</f>
        <v>NF 670462 3/3 - ALICIA</v>
      </c>
    </row>
    <row r="15" customFormat="false" ht="12.75" hidden="false" customHeight="true" outlineLevel="0" collapsed="false">
      <c r="A15" s="15" t="n">
        <f aca="false">Report!C24</f>
        <v>46200</v>
      </c>
      <c r="B15" s="1" t="str">
        <f aca="false">Report!E24</f>
        <v>DISTRIBUIDORA LOPES LTDA</v>
      </c>
      <c r="C15" s="17" t="n">
        <f aca="false">Report!U24</f>
        <v>578.43</v>
      </c>
      <c r="D15" s="1" t="str">
        <f aca="false">Report!X24</f>
        <v>NF 1658891 3/3 - ALICIA</v>
      </c>
    </row>
    <row r="16" customFormat="false" ht="12.75" hidden="false" customHeight="true" outlineLevel="0" collapsed="false">
      <c r="A16" s="15" t="n">
        <f aca="false">Report!C25</f>
        <v>46200</v>
      </c>
      <c r="B16" s="1" t="str">
        <f aca="false">Report!E25</f>
        <v>DISTRIBUIDORA LOPES LTDA</v>
      </c>
      <c r="C16" s="17" t="n">
        <f aca="false">Report!U25</f>
        <v>712.11</v>
      </c>
      <c r="D16" s="1" t="str">
        <f aca="false">Report!X25</f>
        <v>NF 1667932 2/3 - ALICIA</v>
      </c>
    </row>
    <row r="17" customFormat="false" ht="12.75" hidden="false" customHeight="true" outlineLevel="0" collapsed="false">
      <c r="A17" s="15" t="n">
        <f aca="false">Report!C26</f>
        <v>46200</v>
      </c>
      <c r="B17" s="1" t="str">
        <f aca="false">Report!E26</f>
        <v>DURAES DISTRIBUIDORA DE ESTIVAS LTDA</v>
      </c>
      <c r="C17" s="17" t="n">
        <f aca="false">Report!U26</f>
        <v>858.24</v>
      </c>
      <c r="D17" s="1" t="str">
        <f aca="false">Report!X26</f>
        <v>NF 645768 1/3 - ALICIA </v>
      </c>
    </row>
    <row r="18" customFormat="false" ht="12.75" hidden="false" customHeight="true" outlineLevel="0" collapsed="false">
      <c r="A18" s="15" t="n">
        <f aca="false">Report!C27</f>
        <v>46200</v>
      </c>
      <c r="B18" s="1" t="str">
        <f aca="false">Report!E27</f>
        <v>EDMARA COMERCIO DE HIGIENE PESSOAL LTDA</v>
      </c>
      <c r="C18" s="17" t="n">
        <f aca="false">Report!U27</f>
        <v>496.03</v>
      </c>
      <c r="D18" s="1" t="str">
        <f aca="false">Report!X27</f>
        <v>NF 8058 1/3 - ALICIA </v>
      </c>
    </row>
    <row r="19" customFormat="false" ht="12.75" hidden="false" customHeight="true" outlineLevel="0" collapsed="false">
      <c r="A19" s="15" t="n">
        <f aca="false">Report!C28</f>
        <v>46200</v>
      </c>
      <c r="B19" s="1" t="str">
        <f aca="false">Report!E28</f>
        <v>ELZILENE DA SILVA</v>
      </c>
      <c r="C19" s="17" t="n">
        <f aca="false">Report!U28</f>
        <v>1865</v>
      </c>
      <c r="D19" s="1" t="str">
        <f aca="false">Report!X28</f>
        <v>NF 2347 1/1 - ALICIA </v>
      </c>
    </row>
    <row r="20" customFormat="false" ht="12.75" hidden="false" customHeight="true" outlineLevel="0" collapsed="false">
      <c r="A20" s="15" t="n">
        <f aca="false">Report!C29</f>
        <v>46200</v>
      </c>
      <c r="B20" s="1" t="str">
        <f aca="false">Report!E29</f>
        <v>FH DE OLIVEIRA PEIXOTO - EIRELI</v>
      </c>
      <c r="C20" s="17" t="n">
        <f aca="false">Report!U29</f>
        <v>1138.78</v>
      </c>
      <c r="D20" s="1" t="str">
        <f aca="false">Report!X29</f>
        <v>NF 189797 2/3 - ALICIA</v>
      </c>
    </row>
    <row r="21" customFormat="false" ht="12.75" hidden="false" customHeight="true" outlineLevel="0" collapsed="false">
      <c r="A21" s="15" t="n">
        <f aca="false">Report!C30</f>
        <v>46200</v>
      </c>
      <c r="B21" s="1" t="str">
        <f aca="false">Report!E30</f>
        <v>FH DE OLIVEIRA PEIXOTO - EIRELI</v>
      </c>
      <c r="C21" s="17" t="n">
        <f aca="false">Report!U30</f>
        <v>485.13</v>
      </c>
      <c r="D21" s="1" t="str">
        <f aca="false">Report!X30</f>
        <v>NF 189799 2/3 - ALICIA</v>
      </c>
    </row>
    <row r="22" customFormat="false" ht="12.75" hidden="false" customHeight="true" outlineLevel="0" collapsed="false">
      <c r="A22" s="15" t="n">
        <f aca="false">Report!C31</f>
        <v>46200</v>
      </c>
      <c r="B22" s="1" t="str">
        <f aca="false">Report!E31</f>
        <v>FORTVET DISTRIBUIDORA LTDA</v>
      </c>
      <c r="C22" s="17" t="n">
        <f aca="false">Report!U31</f>
        <v>670.83</v>
      </c>
      <c r="D22" s="1" t="str">
        <f aca="false">Report!X31</f>
        <v>NF 2104 3/4 - ALICIA</v>
      </c>
    </row>
    <row r="23" customFormat="false" ht="12.75" hidden="false" customHeight="true" outlineLevel="0" collapsed="false">
      <c r="A23" s="15" t="n">
        <f aca="false">Report!C32</f>
        <v>46200</v>
      </c>
      <c r="B23" s="1" t="str">
        <f aca="false">Report!E32</f>
        <v>H G NUNES REPRESENTAÇÃO E COMERCIO</v>
      </c>
      <c r="C23" s="17" t="n">
        <f aca="false">Report!U32</f>
        <v>1094.25</v>
      </c>
      <c r="D23" s="1" t="str">
        <f aca="false">Report!X32</f>
        <v>NF 54575 2/3 - ALICIA</v>
      </c>
    </row>
    <row r="24" customFormat="false" ht="12.75" hidden="false" customHeight="true" outlineLevel="0" collapsed="false">
      <c r="A24" s="15" t="n">
        <f aca="false">Report!C33</f>
        <v>46200</v>
      </c>
      <c r="B24" s="1" t="str">
        <f aca="false">Report!E33</f>
        <v>H. L. DO NASCIMENTO</v>
      </c>
      <c r="C24" s="17" t="n">
        <f aca="false">Report!U33</f>
        <v>566</v>
      </c>
      <c r="D24" s="1" t="str">
        <f aca="false">Report!X33</f>
        <v>NF 5672 1/1 - ALICIA </v>
      </c>
    </row>
    <row r="25" customFormat="false" ht="12.75" hidden="false" customHeight="true" outlineLevel="0" collapsed="false">
      <c r="A25" s="15" t="n">
        <f aca="false">Report!C34</f>
        <v>46200</v>
      </c>
      <c r="B25" s="1" t="str">
        <f aca="false">Report!E34</f>
        <v>L S M COMERCIO DE ALIMENTOS E NAVEGACAO</v>
      </c>
      <c r="C25" s="17" t="n">
        <f aca="false">Report!U34</f>
        <v>1210.96</v>
      </c>
      <c r="D25" s="1" t="str">
        <f aca="false">Report!X34</f>
        <v>NF 302391 3/3 - ALICIA</v>
      </c>
    </row>
    <row r="26" customFormat="false" ht="12.75" hidden="false" customHeight="true" outlineLevel="0" collapsed="false">
      <c r="A26" s="15" t="n">
        <f aca="false">Report!C35</f>
        <v>46200</v>
      </c>
      <c r="B26" s="1" t="str">
        <f aca="false">Report!E35</f>
        <v>L S M COMERCIO DE ALIMENTOS E NAVEGACAO</v>
      </c>
      <c r="C26" s="17" t="n">
        <f aca="false">Report!U35</f>
        <v>1244.8</v>
      </c>
      <c r="D26" s="1" t="str">
        <f aca="false">Report!X35</f>
        <v>NF 304174 1/3 - ALICIA</v>
      </c>
    </row>
    <row r="27" customFormat="false" ht="12.75" hidden="false" customHeight="true" outlineLevel="0" collapsed="false">
      <c r="A27" s="15" t="n">
        <f aca="false">Report!C36</f>
        <v>46200</v>
      </c>
      <c r="B27" s="1" t="str">
        <f aca="false">Report!E36</f>
        <v>LAYS MORETTI DA SILVA 01310766207</v>
      </c>
      <c r="C27" s="17" t="n">
        <f aca="false">Report!U36</f>
        <v>208.5</v>
      </c>
      <c r="D27" s="1" t="str">
        <f aca="false">Report!X36</f>
        <v>NF 1286 1/1 - ALICIA </v>
      </c>
    </row>
    <row r="28" customFormat="false" ht="12.75" hidden="false" customHeight="true" outlineLevel="0" collapsed="false">
      <c r="A28" s="15" t="n">
        <f aca="false">Report!C37</f>
        <v>46200</v>
      </c>
      <c r="B28" s="1" t="str">
        <f aca="false">Report!E37</f>
        <v>MARE DISTRIBUIDORA DE BEBIDAS E DE PRODUTOS ALIMENTICIOS LTDA</v>
      </c>
      <c r="C28" s="17" t="n">
        <f aca="false">Report!U37</f>
        <v>630.75</v>
      </c>
      <c r="D28" s="1" t="str">
        <f aca="false">Report!X37</f>
        <v>NF 1364166 2/2 - ALICIA </v>
      </c>
    </row>
    <row r="29" customFormat="false" ht="12.75" hidden="false" customHeight="true" outlineLevel="0" collapsed="false">
      <c r="A29" s="15" t="n">
        <f aca="false">Report!C38</f>
        <v>46200</v>
      </c>
      <c r="B29" s="1" t="str">
        <f aca="false">Report!E38</f>
        <v>MARQUES &amp; MELO LTDA - FILIAL</v>
      </c>
      <c r="C29" s="17" t="n">
        <f aca="false">Report!U38</f>
        <v>750.73</v>
      </c>
      <c r="D29" s="1" t="str">
        <f aca="false">Report!X38</f>
        <v>NF 491042 3/5 - ALICIA</v>
      </c>
    </row>
    <row r="30" customFormat="false" ht="12.75" hidden="false" customHeight="true" outlineLevel="0" collapsed="false">
      <c r="A30" s="15" t="n">
        <f aca="false">Report!C39</f>
        <v>46200</v>
      </c>
      <c r="B30" s="1" t="str">
        <f aca="false">Report!E39</f>
        <v>MAXFRI DISTRIUIDORA LTDA</v>
      </c>
      <c r="C30" s="17" t="n">
        <f aca="false">Report!U39</f>
        <v>5950.93</v>
      </c>
      <c r="D30" s="1" t="str">
        <f aca="false">Report!X39</f>
        <v>NF 14528 1/2 - ALICIA </v>
      </c>
    </row>
    <row r="31" customFormat="false" ht="12.75" hidden="false" customHeight="true" outlineLevel="0" collapsed="false">
      <c r="A31" s="15" t="n">
        <f aca="false">Report!C40</f>
        <v>46200</v>
      </c>
      <c r="B31" s="1" t="str">
        <f aca="false">Report!E40</f>
        <v>NESTLÉ BRASIL LTDA.</v>
      </c>
      <c r="C31" s="17" t="n">
        <f aca="false">Report!U40</f>
        <v>716.75</v>
      </c>
      <c r="D31" s="1" t="str">
        <f aca="false">Report!X40</f>
        <v>NF 1415342 1/1 - ALICIA </v>
      </c>
    </row>
    <row r="32" customFormat="false" ht="12.75" hidden="false" customHeight="true" outlineLevel="0" collapsed="false">
      <c r="A32" s="15" t="n">
        <f aca="false">Report!C41</f>
        <v>46200</v>
      </c>
      <c r="B32" s="1" t="str">
        <f aca="false">Report!E41</f>
        <v>NSB COMERCIO ATACADISTA E VAREJISTA DE P</v>
      </c>
      <c r="C32" s="17" t="n">
        <f aca="false">Report!U41</f>
        <v>755.9</v>
      </c>
      <c r="D32" s="1" t="str">
        <f aca="false">Report!X41</f>
        <v>NF 7711 2/3 - ALICIA</v>
      </c>
    </row>
    <row r="33" customFormat="false" ht="12.75" hidden="false" customHeight="true" outlineLevel="0" collapsed="false">
      <c r="A33" s="15" t="n">
        <f aca="false">Report!C42</f>
        <v>46200</v>
      </c>
      <c r="B33" s="1" t="str">
        <f aca="false">Report!E42</f>
        <v>OESA COMERCIO E REPRESENTACOES S/A</v>
      </c>
      <c r="C33" s="17" t="n">
        <f aca="false">Report!U42</f>
        <v>654.5</v>
      </c>
      <c r="D33" s="1" t="str">
        <f aca="false">Report!X42</f>
        <v>NF 408637 3/3 - ALICIA</v>
      </c>
    </row>
    <row r="34" customFormat="false" ht="12.75" hidden="false" customHeight="true" outlineLevel="0" collapsed="false">
      <c r="A34" s="15" t="n">
        <f aca="false">Report!C43</f>
        <v>46200</v>
      </c>
      <c r="B34" s="1" t="str">
        <f aca="false">Report!E43</f>
        <v>OESA COMERCIO E REPRESENTACOES S/A</v>
      </c>
      <c r="C34" s="17" t="n">
        <f aca="false">Report!U43</f>
        <v>811.74</v>
      </c>
      <c r="D34" s="1" t="str">
        <f aca="false">Report!X43</f>
        <v>NF 410209 3/3 - ALICIA</v>
      </c>
    </row>
    <row r="35" customFormat="false" ht="12.75" hidden="false" customHeight="true" outlineLevel="0" collapsed="false">
      <c r="A35" s="15" t="n">
        <f aca="false">Report!C44</f>
        <v>46200</v>
      </c>
      <c r="B35" s="1" t="str">
        <f aca="false">Report!E44</f>
        <v>OLIVEIRA E SILVA LTDA</v>
      </c>
      <c r="C35" s="17" t="n">
        <f aca="false">Report!U44</f>
        <v>2570.5</v>
      </c>
      <c r="D35" s="1" t="str">
        <f aca="false">Report!X44</f>
        <v>COMPRAS CARLOS VERDURAS </v>
      </c>
    </row>
    <row r="36" customFormat="false" ht="12.75" hidden="false" customHeight="true" outlineLevel="0" collapsed="false">
      <c r="A36" s="15" t="n">
        <f aca="false">Report!C45</f>
        <v>46200</v>
      </c>
      <c r="B36" s="1" t="str">
        <f aca="false">Report!E45</f>
        <v>OLIVEIRA E SILVA LTDA</v>
      </c>
      <c r="C36" s="17" t="n">
        <f aca="false">Report!U45</f>
        <v>385</v>
      </c>
      <c r="D36" s="1" t="str">
        <f aca="false">Report!X45</f>
        <v>COMPRAS CHEIRO VERDE </v>
      </c>
    </row>
    <row r="37" customFormat="false" ht="12.75" hidden="false" customHeight="true" outlineLevel="0" collapsed="false">
      <c r="A37" s="15" t="n">
        <f aca="false">Report!C46</f>
        <v>46200</v>
      </c>
      <c r="B37" s="1" t="str">
        <f aca="false">Report!E46</f>
        <v>OLIVEIRA E SILVA LTDA</v>
      </c>
      <c r="C37" s="17" t="n">
        <f aca="false">Report!U46</f>
        <v>240</v>
      </c>
      <c r="D37" s="1" t="str">
        <f aca="false">Report!X46</f>
        <v>compras 2cx banana prata - jhonatas </v>
      </c>
    </row>
    <row r="38" customFormat="false" ht="12.75" hidden="false" customHeight="true" outlineLevel="0" collapsed="false">
      <c r="A38" s="15" t="n">
        <f aca="false">Report!C47</f>
        <v>46200</v>
      </c>
      <c r="B38" s="1" t="str">
        <f aca="false">Report!E47</f>
        <v>ORIENTE COM. ATACADISTA E REPRES. LTDA</v>
      </c>
      <c r="C38" s="17" t="n">
        <f aca="false">Report!U47</f>
        <v>925.91</v>
      </c>
      <c r="D38" s="1" t="str">
        <f aca="false">Report!X47</f>
        <v>NF 1960 2/3 - ALICIA </v>
      </c>
    </row>
    <row r="39" customFormat="false" ht="12.75" hidden="false" customHeight="true" outlineLevel="0" collapsed="false">
      <c r="A39" s="15" t="n">
        <f aca="false">Report!C48</f>
        <v>46200</v>
      </c>
      <c r="B39" s="1" t="str">
        <f aca="false">Report!E48</f>
        <v>PRIMICIA DISTRIBUIDORA DE FRIOS LTDA</v>
      </c>
      <c r="C39" s="17" t="n">
        <f aca="false">Report!U48</f>
        <v>536.1</v>
      </c>
      <c r="D39" s="1" t="str">
        <f aca="false">Report!X48</f>
        <v>NF 2937 1/1 - ALICIA </v>
      </c>
    </row>
    <row r="40" customFormat="false" ht="12.75" hidden="false" customHeight="true" outlineLevel="0" collapsed="false">
      <c r="A40" s="15" t="n">
        <f aca="false">Report!C49</f>
        <v>46200</v>
      </c>
      <c r="B40" s="1" t="str">
        <f aca="false">Report!E49</f>
        <v>RCL COMERCIO DE PRODUTOS ALIMENTICIOS LT</v>
      </c>
      <c r="C40" s="17" t="n">
        <f aca="false">Report!U49</f>
        <v>572.7</v>
      </c>
      <c r="D40" s="1" t="str">
        <f aca="false">Report!X49</f>
        <v>NF 213912 1/2 - ALICIA</v>
      </c>
    </row>
    <row r="41" customFormat="false" ht="12.75" hidden="false" customHeight="true" outlineLevel="0" collapsed="false">
      <c r="A41" s="15" t="n">
        <f aca="false">Report!C50</f>
        <v>46200</v>
      </c>
      <c r="B41" s="1" t="str">
        <f aca="false">Report!E50</f>
        <v>RCL COMERCIO DE PRODUTOS ALIMENTICIOS LT</v>
      </c>
      <c r="C41" s="17" t="n">
        <f aca="false">Report!U50</f>
        <v>446.46</v>
      </c>
      <c r="D41" s="1" t="str">
        <f aca="false">Report!X50</f>
        <v>NF 213923 1/1 - ALICIA </v>
      </c>
    </row>
    <row r="42" customFormat="false" ht="12.75" hidden="false" customHeight="true" outlineLevel="0" collapsed="false">
      <c r="A42" s="15" t="n">
        <f aca="false">Report!C51</f>
        <v>46200</v>
      </c>
      <c r="B42" s="1" t="str">
        <f aca="false">Report!E51</f>
        <v>RISADINHA LTDA</v>
      </c>
      <c r="C42" s="17" t="n">
        <f aca="false">Report!U51</f>
        <v>653.4</v>
      </c>
      <c r="D42" s="1" t="str">
        <f aca="false">Report!X51</f>
        <v>NF 656174 2/4 - ALICIA</v>
      </c>
    </row>
    <row r="43" customFormat="false" ht="12.75" hidden="false" customHeight="true" outlineLevel="0" collapsed="false">
      <c r="A43" s="15" t="n">
        <f aca="false">Report!C52</f>
        <v>46200</v>
      </c>
      <c r="B43" s="1" t="str">
        <f aca="false">Report!E52</f>
        <v>S E PEREIRA BARBOSA ME</v>
      </c>
      <c r="C43" s="17" t="n">
        <f aca="false">Report!U52</f>
        <v>201</v>
      </c>
      <c r="D43" s="1" t="str">
        <f aca="false">Report!X52</f>
        <v>NF17861 1/1 - ALICIA</v>
      </c>
    </row>
    <row r="44" customFormat="false" ht="12.75" hidden="false" customHeight="true" outlineLevel="0" collapsed="false">
      <c r="A44" s="15" t="n">
        <f aca="false">Report!C53</f>
        <v>46200</v>
      </c>
      <c r="B44" s="1" t="str">
        <f aca="false">Report!E53</f>
        <v>SB COMERCIO LTDA</v>
      </c>
      <c r="C44" s="17" t="n">
        <f aca="false">Report!U53</f>
        <v>1624.37</v>
      </c>
      <c r="D44" s="1" t="str">
        <f aca="false">Report!X53</f>
        <v>NF 1954061 3/5 - ALICIA</v>
      </c>
    </row>
    <row r="45" customFormat="false" ht="12.75" hidden="false" customHeight="true" outlineLevel="0" collapsed="false">
      <c r="A45" s="15" t="n">
        <f aca="false">Report!C54</f>
        <v>46200</v>
      </c>
      <c r="B45" s="1" t="str">
        <f aca="false">Report!E54</f>
        <v>VIA CERTA IMPORTACAO E DISTRIBUICAO DE A</v>
      </c>
      <c r="C45" s="17" t="n">
        <f aca="false">Report!U54</f>
        <v>991.48</v>
      </c>
      <c r="D45" s="1" t="str">
        <f aca="false">Report!X54</f>
        <v>NF 49883 1/3 - ALICIA </v>
      </c>
    </row>
    <row r="46" customFormat="false" ht="12.75" hidden="false" customHeight="true" outlineLevel="0" collapsed="false">
      <c r="A46" s="15" t="n">
        <f aca="false">Report!C55</f>
        <v>46202</v>
      </c>
      <c r="B46" s="1" t="str">
        <f aca="false">Report!E55</f>
        <v>AGRONORTE COMERCIAL</v>
      </c>
      <c r="C46" s="17" t="n">
        <f aca="false">Report!U55</f>
        <v>531.1</v>
      </c>
      <c r="D46" s="1" t="str">
        <f aca="false">Report!X55</f>
        <v>NF 505 2/2 - ALICIA</v>
      </c>
    </row>
    <row r="47" customFormat="false" ht="12.75" hidden="false" customHeight="true" outlineLevel="0" collapsed="false">
      <c r="A47" s="15" t="n">
        <f aca="false">Report!C56</f>
        <v>46202</v>
      </c>
      <c r="B47" s="1" t="str">
        <f aca="false">Report!E56</f>
        <v>ATACADAO S.A.</v>
      </c>
      <c r="C47" s="17" t="n">
        <f aca="false">Report!U56</f>
        <v>736.8</v>
      </c>
      <c r="D47" s="1" t="str">
        <f aca="false">Report!X56</f>
        <v>NF 1888476 1/1 - ALICIA</v>
      </c>
    </row>
    <row r="48" customFormat="false" ht="12.75" hidden="false" customHeight="true" outlineLevel="0" collapsed="false">
      <c r="A48" s="15" t="n">
        <f aca="false">Report!C57</f>
        <v>46202</v>
      </c>
      <c r="B48" s="1" t="str">
        <f aca="false">Report!E57</f>
        <v>CRBS S/A</v>
      </c>
      <c r="C48" s="17" t="n">
        <f aca="false">Report!U57</f>
        <v>3902.24</v>
      </c>
      <c r="D48" s="1" t="str">
        <f aca="false">Report!X57</f>
        <v>NF 867516 1/1 - ALICIA </v>
      </c>
    </row>
    <row r="49" customFormat="false" ht="12.75" hidden="false" customHeight="true" outlineLevel="0" collapsed="false">
      <c r="A49" s="15" t="n">
        <f aca="false">Report!C58</f>
        <v>46202</v>
      </c>
      <c r="B49" s="1" t="str">
        <f aca="false">Report!E58</f>
        <v>CRBS S/A</v>
      </c>
      <c r="C49" s="17" t="n">
        <f aca="false">Report!U58</f>
        <v>1.55</v>
      </c>
      <c r="D49" s="1" t="str">
        <f aca="false">Report!X58</f>
        <v>NF 867516 - TAXA BOLETO AMBEV </v>
      </c>
    </row>
    <row r="50" customFormat="false" ht="12.75" hidden="false" customHeight="true" outlineLevel="0" collapsed="false">
      <c r="A50" s="15" t="n">
        <f aca="false">Report!C59</f>
        <v>46202</v>
      </c>
      <c r="B50" s="1" t="str">
        <f aca="false">Report!E59</f>
        <v>CRBS S/A</v>
      </c>
      <c r="C50" s="17" t="n">
        <f aca="false">Report!U59</f>
        <v>1050.99</v>
      </c>
      <c r="D50" s="1" t="str">
        <f aca="false">Report!X59</f>
        <v>NF 870113 1/1 - ALICIA </v>
      </c>
    </row>
    <row r="51" customFormat="false" ht="12.75" hidden="false" customHeight="true" outlineLevel="0" collapsed="false">
      <c r="A51" s="15" t="n">
        <f aca="false">Report!C60</f>
        <v>46202</v>
      </c>
      <c r="B51" s="1" t="str">
        <f aca="false">Report!E60</f>
        <v>CRBS S/A</v>
      </c>
      <c r="C51" s="17" t="n">
        <f aca="false">Report!U60</f>
        <v>1.55</v>
      </c>
      <c r="D51" s="1" t="str">
        <f aca="false">Report!X60</f>
        <v>NF 870113 TAXA BOLETO AMBEV </v>
      </c>
    </row>
    <row r="52" customFormat="false" ht="12.75" hidden="false" customHeight="true" outlineLevel="0" collapsed="false">
      <c r="A52" s="15" t="n">
        <f aca="false">Report!C61</f>
        <v>46202</v>
      </c>
      <c r="B52" s="1" t="str">
        <f aca="false">Report!E61</f>
        <v>FUNNY PET DISTRIBUIDORA DE ALIMENTOS PAR</v>
      </c>
      <c r="C52" s="17" t="n">
        <f aca="false">Report!U61</f>
        <v>227.29</v>
      </c>
      <c r="D52" s="1" t="str">
        <f aca="false">Report!X61</f>
        <v>NF 20265 1/4 - ALICIA </v>
      </c>
    </row>
    <row r="53" customFormat="false" ht="12.75" hidden="false" customHeight="true" outlineLevel="0" collapsed="false">
      <c r="A53" s="15" t="n">
        <f aca="false">Report!C63</f>
        <v>46202</v>
      </c>
      <c r="B53" s="1" t="str">
        <f aca="false">Report!E63</f>
        <v>JUROS A FORNECEDOR</v>
      </c>
      <c r="C53" s="17" t="n">
        <f aca="false">Report!U63</f>
        <v>634.12</v>
      </c>
      <c r="D53" s="1" t="str">
        <f aca="false">Report!X63</f>
        <v>juros fornecedores mo4</v>
      </c>
    </row>
    <row r="54" customFormat="false" ht="12.75" hidden="false" customHeight="true" outlineLevel="0" collapsed="false">
      <c r="A54" s="15" t="n">
        <f aca="false">Report!C64</f>
        <v>46202</v>
      </c>
      <c r="B54" s="1" t="str">
        <f aca="false">Report!E64</f>
        <v>OLIVEIRA E SILVA LTDA</v>
      </c>
      <c r="C54" s="17" t="n">
        <f aca="false">Report!U64</f>
        <v>240</v>
      </c>
      <c r="D54" s="1" t="str">
        <f aca="false">Report!X64</f>
        <v>COMPRAS DE BANANAS </v>
      </c>
    </row>
    <row r="55" customFormat="false" ht="12.75" hidden="false" customHeight="true" outlineLevel="0" collapsed="false">
      <c r="A55" s="15" t="n">
        <f aca="false">Report!C65</f>
        <v>46202</v>
      </c>
      <c r="B55" s="1" t="str">
        <f aca="false">Report!E65</f>
        <v>OLIVEIRA E SILVA LTDA</v>
      </c>
      <c r="C55" s="17" t="n">
        <f aca="false">Report!U65</f>
        <v>385</v>
      </c>
      <c r="D55" s="1" t="str">
        <f aca="false">Report!X65</f>
        <v>COMPRAS CHEIRO VERDE </v>
      </c>
    </row>
    <row r="56" customFormat="false" ht="12.75" hidden="false" customHeight="true" outlineLevel="0" collapsed="false">
      <c r="A56" s="15" t="n">
        <f aca="false">Report!C67</f>
        <v>46203</v>
      </c>
      <c r="B56" s="1" t="str">
        <f aca="false">Report!E67</f>
        <v>60.729.628 LAURENA NUNES CALIXTO</v>
      </c>
      <c r="C56" s="17" t="n">
        <f aca="false">Report!U67</f>
        <v>270</v>
      </c>
      <c r="D56" s="1" t="str">
        <f aca="false">Report!X67</f>
        <v>NF 738 1/1 - ALICIA </v>
      </c>
    </row>
    <row r="57" customFormat="false" ht="12.75" hidden="false" customHeight="true" outlineLevel="0" collapsed="false">
      <c r="A57" s="15" t="n">
        <f aca="false">Report!C68</f>
        <v>46203</v>
      </c>
      <c r="B57" s="1" t="str">
        <f aca="false">Report!E68</f>
        <v>ADRIANA DISTRIBUIDORA DE PRODUTOS ALIMEN</v>
      </c>
      <c r="C57" s="17" t="n">
        <f aca="false">Report!U68</f>
        <v>947.98</v>
      </c>
      <c r="D57" s="1" t="str">
        <f aca="false">Report!X68</f>
        <v>NF 875297 3/3 - ALICIA</v>
      </c>
    </row>
    <row r="58" customFormat="false" ht="12.75" hidden="false" customHeight="true" outlineLevel="0" collapsed="false">
      <c r="A58" s="15" t="n">
        <f aca="false">Report!C69</f>
        <v>46203</v>
      </c>
      <c r="B58" s="1" t="str">
        <f aca="false">Report!E69</f>
        <v>AMAZON GREEN COMERCIO DE OLEOS LTDA</v>
      </c>
      <c r="C58" s="17" t="n">
        <f aca="false">Report!U69</f>
        <v>850</v>
      </c>
      <c r="D58" s="1" t="str">
        <f aca="false">Report!X69</f>
        <v>AMAZON GREEN 2/2 - ALICIA</v>
      </c>
    </row>
    <row r="59" customFormat="false" ht="12.75" hidden="false" customHeight="true" outlineLevel="0" collapsed="false">
      <c r="A59" s="15" t="n">
        <f aca="false">Report!C70</f>
        <v>46203</v>
      </c>
      <c r="B59" s="1" t="str">
        <f aca="false">Report!E70</f>
        <v>BRAGA DIST. E COM. DE PROD. ALIMENT</v>
      </c>
      <c r="C59" s="17" t="n">
        <f aca="false">Report!U70</f>
        <v>835.76</v>
      </c>
      <c r="D59" s="1" t="str">
        <f aca="false">Report!X70</f>
        <v>NF 18657 2/3 - ALICIA</v>
      </c>
    </row>
    <row r="60" customFormat="false" ht="12.75" hidden="false" customHeight="true" outlineLevel="0" collapsed="false">
      <c r="A60" s="15" t="n">
        <f aca="false">Report!C71</f>
        <v>46203</v>
      </c>
      <c r="B60" s="1" t="str">
        <f aca="false">Report!E71</f>
        <v>COMERCIO DE FRIOS MANAUS LTDA</v>
      </c>
      <c r="C60" s="17" t="n">
        <f aca="false">Report!U71</f>
        <v>4085.5</v>
      </c>
      <c r="D60" s="1" t="str">
        <f aca="false">Report!X71</f>
        <v>NF 171756 1/1 - ALICIA </v>
      </c>
    </row>
    <row r="61" customFormat="false" ht="12.75" hidden="false" customHeight="true" outlineLevel="0" collapsed="false">
      <c r="A61" s="15" t="n">
        <f aca="false">Report!C72</f>
        <v>46203</v>
      </c>
      <c r="B61" s="1" t="str">
        <f aca="false">Report!E72</f>
        <v>DISTRIBUIDORA FARIAS LTDA.</v>
      </c>
      <c r="C61" s="17" t="n">
        <f aca="false">Report!U72</f>
        <v>911.37</v>
      </c>
      <c r="D61" s="1" t="str">
        <f aca="false">Report!X72</f>
        <v>NF 671810 2/3 - ALICIA</v>
      </c>
    </row>
    <row r="62" customFormat="false" ht="12.75" hidden="false" customHeight="true" outlineLevel="0" collapsed="false">
      <c r="A62" s="15" t="n">
        <f aca="false">Report!C73</f>
        <v>46203</v>
      </c>
      <c r="B62" s="1" t="str">
        <f aca="false">Report!E73</f>
        <v>DISTRIBUIDORA LOPES LTDA</v>
      </c>
      <c r="C62" s="17" t="n">
        <f aca="false">Report!U73</f>
        <v>1135.24</v>
      </c>
      <c r="D62" s="1" t="str">
        <f aca="false">Report!X73</f>
        <v>NF 1668832 2/3 - ALICIA </v>
      </c>
    </row>
    <row r="63" customFormat="false" ht="12.75" hidden="false" customHeight="true" outlineLevel="0" collapsed="false">
      <c r="A63" s="15" t="n">
        <f aca="false">Report!C74</f>
        <v>46203</v>
      </c>
      <c r="B63" s="1" t="str">
        <f aca="false">Report!E74</f>
        <v>GELO DANGELO FABRICACAO DE GELO LTDA</v>
      </c>
      <c r="C63" s="17" t="n">
        <f aca="false">Report!U74</f>
        <v>524.3</v>
      </c>
      <c r="D63" s="1" t="str">
        <f aca="false">Report!X74</f>
        <v>NF 333 1/1 - ALICIA</v>
      </c>
    </row>
    <row r="64" customFormat="false" ht="12.75" hidden="false" customHeight="true" outlineLevel="0" collapsed="false">
      <c r="A64" s="15" t="n">
        <f aca="false">Report!C75</f>
        <v>46203</v>
      </c>
      <c r="B64" s="1" t="str">
        <f aca="false">Report!E75</f>
        <v>J G COMERCIO DE PRODUTOS ALIMENTICIOS LTDA</v>
      </c>
      <c r="C64" s="17" t="n">
        <f aca="false">Report!U75</f>
        <v>1491.45</v>
      </c>
      <c r="D64" s="1" t="str">
        <f aca="false">Report!X75</f>
        <v>NF 385060 3/3 - ALICIA</v>
      </c>
    </row>
    <row r="65" customFormat="false" ht="12.75" hidden="false" customHeight="true" outlineLevel="0" collapsed="false">
      <c r="A65" s="15" t="n">
        <f aca="false">Report!C76</f>
        <v>46203</v>
      </c>
      <c r="B65" s="1" t="str">
        <f aca="false">Report!E76</f>
        <v>JUROS A FORNECEDOR</v>
      </c>
      <c r="C65" s="17" t="n">
        <f aca="false">Report!U76</f>
        <v>243.16</v>
      </c>
      <c r="D65" s="1" t="str">
        <f aca="false">Report!X76</f>
        <v>JUROS FORNECEDORES  MO4</v>
      </c>
    </row>
    <row r="66" customFormat="false" ht="12.75" hidden="false" customHeight="true" outlineLevel="0" collapsed="false">
      <c r="A66" s="15" t="n">
        <f aca="false">Report!C77</f>
        <v>46203</v>
      </c>
      <c r="B66" s="1" t="str">
        <f aca="false">Report!E77</f>
        <v>NATUPURE DA AMAZONIA</v>
      </c>
      <c r="C66" s="17" t="n">
        <f aca="false">Report!U77</f>
        <v>663.67</v>
      </c>
      <c r="D66" s="1" t="str">
        <f aca="false">Report!X77</f>
        <v>NF 2656 3/3 - ALICIA</v>
      </c>
    </row>
    <row r="67" customFormat="false" ht="12.75" hidden="false" customHeight="true" outlineLevel="0" collapsed="false">
      <c r="A67" s="15" t="n">
        <f aca="false">Report!C78</f>
        <v>46203</v>
      </c>
      <c r="B67" s="1" t="str">
        <f aca="false">Report!E78</f>
        <v>OLIVEIRA E SILVA LTDA</v>
      </c>
      <c r="C67" s="17" t="n">
        <f aca="false">Report!U78</f>
        <v>60</v>
      </c>
      <c r="D67" s="1" t="str">
        <f aca="false">Report!X78</f>
        <v>COMPRAS CHEIRO VERDE </v>
      </c>
    </row>
    <row r="68" customFormat="false" ht="12.75" hidden="false" customHeight="true" outlineLevel="0" collapsed="false">
      <c r="A68" s="15" t="n">
        <f aca="false">Report!C79</f>
        <v>46203</v>
      </c>
      <c r="B68" s="1" t="str">
        <f aca="false">Report!E79</f>
        <v>OLIVEIRA E SILVA LTDA</v>
      </c>
      <c r="C68" s="17" t="n">
        <f aca="false">Report!U79</f>
        <v>120</v>
      </c>
      <c r="D68" s="1" t="str">
        <f aca="false">Report!X79</f>
        <v>COMPRAS BANANAS </v>
      </c>
    </row>
    <row r="69" customFormat="false" ht="12.75" hidden="false" customHeight="true" outlineLevel="0" collapsed="false">
      <c r="A69" s="15" t="n">
        <f aca="false">Report!C85</f>
        <v>46203</v>
      </c>
      <c r="B69" s="1" t="str">
        <f aca="false">Report!E85</f>
        <v>SOUZA CRUZ LTDA.</v>
      </c>
      <c r="C69" s="17" t="n">
        <f aca="false">Report!U85</f>
        <v>2552.12</v>
      </c>
      <c r="D69" s="1" t="str">
        <f aca="false">Report!X85</f>
        <v>NF 564106 1/1 - ALICIA </v>
      </c>
    </row>
    <row r="70" customFormat="false" ht="12.75" hidden="false" customHeight="true" outlineLevel="0" collapsed="false">
      <c r="A70" s="15" t="n">
        <f aca="false">Report!C87</f>
        <v>46203</v>
      </c>
      <c r="B70" s="1" t="str">
        <f aca="false">Report!E87</f>
        <v>TRES CORACOES ALIMENTOS S.A.</v>
      </c>
      <c r="C70" s="17" t="n">
        <f aca="false">Report!U87</f>
        <v>1108.36</v>
      </c>
      <c r="D70" s="1" t="str">
        <f aca="false">Report!X87</f>
        <v>NF 346035 2/3 - ALICIA </v>
      </c>
    </row>
    <row r="71" customFormat="false" ht="12.75" hidden="false" customHeight="true" outlineLevel="0" collapsed="false">
      <c r="A71" s="15" t="n">
        <f aca="false">Report!C88</f>
        <v>46204</v>
      </c>
      <c r="B71" s="1" t="str">
        <f aca="false">Report!E88</f>
        <v>J. A. F. DE LIMA</v>
      </c>
      <c r="C71" s="17" t="n">
        <f aca="false">Report!U88</f>
        <v>565.55</v>
      </c>
      <c r="D71" s="1" t="str">
        <f aca="false">Report!X88</f>
        <v>NF 154919 4/6 - ALICIA</v>
      </c>
    </row>
    <row r="72" customFormat="false" ht="12.75" hidden="false" customHeight="true" outlineLevel="0" collapsed="false">
      <c r="A72" s="15" t="n">
        <f aca="false">Report!C90</f>
        <v>46204</v>
      </c>
      <c r="B72" s="1" t="str">
        <f aca="false">Report!E90</f>
        <v>FH DE OLIVEIRA PEIXOTO - EIRELI</v>
      </c>
      <c r="C72" s="17" t="n">
        <f aca="false">Report!U90</f>
        <v>406.15</v>
      </c>
      <c r="D72" s="1" t="str">
        <f aca="false">Report!X90</f>
        <v>NF 189865 2/3 - ALICIA</v>
      </c>
    </row>
    <row r="73" customFormat="false" ht="12.75" hidden="false" customHeight="true" outlineLevel="0" collapsed="false">
      <c r="A73" s="15" t="n">
        <f aca="false">Report!C91</f>
        <v>46204</v>
      </c>
      <c r="B73" s="1" t="str">
        <f aca="false">Report!E91</f>
        <v>AMAZON MILK IND. E COMERCIO LTDA</v>
      </c>
      <c r="C73" s="17" t="n">
        <f aca="false">Report!U91</f>
        <v>226.76</v>
      </c>
      <c r="D73" s="1" t="str">
        <f aca="false">Report!X91</f>
        <v>NF 202006 3/3 - ALICIA</v>
      </c>
    </row>
    <row r="74" customFormat="false" ht="12.75" hidden="false" customHeight="true" outlineLevel="0" collapsed="false">
      <c r="A74" s="15" t="n">
        <f aca="false">Report!C92</f>
        <v>46204</v>
      </c>
      <c r="B74" s="1" t="str">
        <f aca="false">Report!E92</f>
        <v>EMPRESA BRASILEIRA DE DISTRIBUICAO LTDA</v>
      </c>
      <c r="C74" s="17" t="n">
        <f aca="false">Report!U92</f>
        <v>350</v>
      </c>
      <c r="D74" s="1" t="str">
        <f aca="false">Report!X92</f>
        <v>NF 2290883 2/3 - ALICIA</v>
      </c>
    </row>
    <row r="75" customFormat="false" ht="12.75" hidden="false" customHeight="true" outlineLevel="0" collapsed="false">
      <c r="A75" s="15" t="n">
        <f aca="false">Report!C93</f>
        <v>46204</v>
      </c>
      <c r="B75" s="1" t="str">
        <f aca="false">Report!E93</f>
        <v>NATUPURE DA AMAZONIA</v>
      </c>
      <c r="C75" s="17" t="n">
        <f aca="false">Report!U93</f>
        <v>594.75</v>
      </c>
      <c r="D75" s="1" t="str">
        <f aca="false">Report!X93</f>
        <v>NF 2867 2/2 - ALICIA </v>
      </c>
    </row>
    <row r="76" customFormat="false" ht="12.75" hidden="false" customHeight="true" outlineLevel="0" collapsed="false">
      <c r="A76" s="15" t="n">
        <f aca="false">Report!C94</f>
        <v>46204</v>
      </c>
      <c r="B76" s="1" t="str">
        <f aca="false">Report!E94</f>
        <v>DUNORTE DISTRIBUIDORA DE PRODUTOS DE CONSUMO LTDA</v>
      </c>
      <c r="C76" s="17" t="n">
        <f aca="false">Report!U94</f>
        <v>326.65</v>
      </c>
      <c r="D76" s="1" t="str">
        <f aca="false">Report!X94</f>
        <v>NF 3198534 3/4 - ALICIA </v>
      </c>
    </row>
    <row r="77" customFormat="false" ht="12.75" hidden="false" customHeight="true" outlineLevel="0" collapsed="false">
      <c r="A77" s="15" t="n">
        <f aca="false">Report!C95</f>
        <v>46204</v>
      </c>
      <c r="B77" s="1" t="str">
        <f aca="false">Report!E95</f>
        <v>SL DISTRIBUIDORA COM. DE PROD. ALIMENTIC</v>
      </c>
      <c r="C77" s="17" t="n">
        <f aca="false">Report!U95</f>
        <v>593.71</v>
      </c>
      <c r="D77" s="1" t="str">
        <f aca="false">Report!X95</f>
        <v>NF 10244 2/4 - ALICIA</v>
      </c>
    </row>
    <row r="78" customFormat="false" ht="12.75" hidden="false" customHeight="true" outlineLevel="0" collapsed="false">
      <c r="A78" s="15" t="n">
        <f aca="false">Report!C96</f>
        <v>46204</v>
      </c>
      <c r="B78" s="1" t="str">
        <f aca="false">Report!E96</f>
        <v>MARTINS COM SERV DISTR SA</v>
      </c>
      <c r="C78" s="17" t="n">
        <f aca="false">Report!U96</f>
        <v>398.46</v>
      </c>
      <c r="D78" s="1" t="str">
        <f aca="false">Report!X96</f>
        <v>NF 1770429 2/3 - ALICIA </v>
      </c>
    </row>
    <row r="79" customFormat="false" ht="12.75" hidden="false" customHeight="true" outlineLevel="0" collapsed="false">
      <c r="A79" s="15" t="n">
        <f aca="false">Report!C97</f>
        <v>46204</v>
      </c>
      <c r="B79" s="1" t="str">
        <f aca="false">Report!E97</f>
        <v>MARE DISTRIBUIDORA DE BEBIDAS E DE PRODUTOS ALIMENTICIOS LTDA</v>
      </c>
      <c r="C79" s="17" t="n">
        <f aca="false">Report!U97</f>
        <v>441.5</v>
      </c>
      <c r="D79" s="1" t="str">
        <f aca="false">Report!X97</f>
        <v>NF 1366122 2/2 - ALICIA</v>
      </c>
    </row>
    <row r="80" customFormat="false" ht="12.75" hidden="false" customHeight="true" outlineLevel="0" collapsed="false">
      <c r="A80" s="15" t="n">
        <f aca="false">Report!C98</f>
        <v>46204</v>
      </c>
      <c r="B80" s="1" t="str">
        <f aca="false">Report!E98</f>
        <v>ADRIANA DISTRIBUIDORA DE PRODUTOS ALIMEN</v>
      </c>
      <c r="C80" s="17" t="n">
        <f aca="false">Report!U98</f>
        <v>427.87</v>
      </c>
      <c r="D80" s="1" t="str">
        <f aca="false">Report!X98</f>
        <v>NF 878235 1/2 - ALICIA </v>
      </c>
    </row>
    <row r="81" customFormat="false" ht="12.75" hidden="false" customHeight="true" outlineLevel="0" collapsed="false">
      <c r="A81" s="15" t="n">
        <f aca="false">Report!C99</f>
        <v>46204</v>
      </c>
      <c r="B81" s="1" t="str">
        <f aca="false">Report!E99</f>
        <v>MARE DISTRIBUIDORA DE BEBIDAS E DE PRODUTOS ALIMENTICIOS LTDA</v>
      </c>
      <c r="C81" s="17" t="n">
        <f aca="false">Report!U99</f>
        <v>210</v>
      </c>
      <c r="D81" s="1" t="str">
        <f aca="false">Report!X99</f>
        <v>NF 1371725 1/2 - ALICIA</v>
      </c>
    </row>
    <row r="82" customFormat="false" ht="12.75" hidden="false" customHeight="true" outlineLevel="0" collapsed="false">
      <c r="A82" s="15" t="n">
        <f aca="false">Report!C100</f>
        <v>46204</v>
      </c>
      <c r="B82" s="1" t="str">
        <f aca="false">Report!E100</f>
        <v>MARE DISTRIBUIDORA DE BEBIDAS E DE PRODUTOS ALIMENTICIOS LTDA</v>
      </c>
      <c r="C82" s="17" t="n">
        <f aca="false">Report!U100</f>
        <v>661.25</v>
      </c>
      <c r="D82" s="1" t="str">
        <f aca="false">Report!X100</f>
        <v>NF 1372173 1/2 - ALICIA </v>
      </c>
    </row>
    <row r="83" customFormat="false" ht="12.75" hidden="false" customHeight="true" outlineLevel="0" collapsed="false">
      <c r="A83" s="15" t="n">
        <f aca="false">Report!C102</f>
        <v>46204</v>
      </c>
      <c r="B83" s="1" t="str">
        <f aca="false">Report!E102</f>
        <v>BRF S A</v>
      </c>
      <c r="C83" s="17" t="n">
        <f aca="false">Report!U102</f>
        <v>2026.67</v>
      </c>
      <c r="D83" s="1" t="str">
        <f aca="false">Report!X102</f>
        <v>NF 1598348 2/3 - ALICIA </v>
      </c>
    </row>
    <row r="84" customFormat="false" ht="12.75" hidden="false" customHeight="true" outlineLevel="0" collapsed="false">
      <c r="A84" s="15" t="n">
        <f aca="false">Report!C103</f>
        <v>46204</v>
      </c>
      <c r="B84" s="1" t="str">
        <f aca="false">Report!E103</f>
        <v>BRAGA TABACARIA EIRELI ME</v>
      </c>
      <c r="C84" s="17" t="n">
        <f aca="false">Report!U103</f>
        <v>521.46</v>
      </c>
      <c r="D84" s="1" t="str">
        <f aca="false">Report!X103</f>
        <v>NF 18793 1/3 -ALICIA </v>
      </c>
    </row>
    <row r="85" customFormat="false" ht="12.75" hidden="false" customHeight="true" outlineLevel="0" collapsed="false">
      <c r="A85" s="15" t="n">
        <f aca="false">Report!C105</f>
        <v>46204</v>
      </c>
      <c r="B85" s="1" t="str">
        <f aca="false">Report!E105</f>
        <v>TOYA INDUSTRIA E COMERCIO LTDA.</v>
      </c>
      <c r="C85" s="17" t="n">
        <f aca="false">Report!U105</f>
        <v>324</v>
      </c>
      <c r="D85" s="1" t="str">
        <f aca="false">Report!X105</f>
        <v>NF 254081 1/2 - ALICIA </v>
      </c>
    </row>
    <row r="86" customFormat="false" ht="12.75" hidden="false" customHeight="true" outlineLevel="0" collapsed="false">
      <c r="A86" s="15" t="n">
        <f aca="false">Report!C106</f>
        <v>46204</v>
      </c>
      <c r="B86" s="1" t="str">
        <f aca="false">Report!E106</f>
        <v>S E PEREIRA BARBOSA ME</v>
      </c>
      <c r="C86" s="17" t="n">
        <f aca="false">Report!U106</f>
        <v>406.3</v>
      </c>
      <c r="D86" s="1" t="str">
        <f aca="false">Report!X106</f>
        <v>NF 17914 1/1 - ALICIA </v>
      </c>
    </row>
    <row r="87" customFormat="false" ht="12.75" hidden="false" customHeight="true" outlineLevel="0" collapsed="false">
      <c r="A87" s="15" t="n">
        <f aca="false">Report!C107</f>
        <v>46204</v>
      </c>
      <c r="B87" s="1" t="str">
        <f aca="false">Report!E107</f>
        <v>OLIVEIRA E SILVA LTDA</v>
      </c>
      <c r="C87" s="17" t="n">
        <f aca="false">Report!U107</f>
        <v>2799</v>
      </c>
      <c r="D87" s="1" t="str">
        <f aca="false">Report!X107</f>
        <v>PGT CARLOS VERUDRAS - JHONATAS </v>
      </c>
    </row>
    <row r="88" customFormat="false" ht="12.75" hidden="false" customHeight="true" outlineLevel="0" collapsed="false">
      <c r="A88" s="15" t="n">
        <f aca="false">Report!C108</f>
        <v>46204</v>
      </c>
      <c r="B88" s="1" t="str">
        <f aca="false">Report!E108</f>
        <v>COMERCIO E TRANSPORTE BRANDAO LTDA</v>
      </c>
      <c r="C88" s="17" t="n">
        <f aca="false">Report!U108</f>
        <v>670</v>
      </c>
      <c r="D88" s="1" t="str">
        <f aca="false">Report!X108</f>
        <v>PGT CARLOS VERDURAS - JHONATAS </v>
      </c>
    </row>
    <row r="89" customFormat="false" ht="12.75" hidden="false" customHeight="true" outlineLevel="0" collapsed="false">
      <c r="A89" s="15" t="n">
        <f aca="false">Report!C109</f>
        <v>46204</v>
      </c>
      <c r="B89" s="1" t="str">
        <f aca="false">Report!E109</f>
        <v>RV TECNOLOGIA E SISTEMAS S.A</v>
      </c>
      <c r="C89" s="17" t="n">
        <f aca="false">Report!U109</f>
        <v>314.27</v>
      </c>
      <c r="D89" s="1" t="str">
        <f aca="false">Report!X109</f>
        <v>RECARGA TELEFONICA</v>
      </c>
    </row>
    <row r="90" customFormat="false" ht="12.75" hidden="false" customHeight="true" outlineLevel="0" collapsed="false">
      <c r="A90" s="15" t="n">
        <f aca="false">Report!C110</f>
        <v>46204</v>
      </c>
      <c r="B90" s="1" t="str">
        <f aca="false">Report!E110</f>
        <v>OLIVEIRA E SILVA LTDA</v>
      </c>
      <c r="C90" s="17" t="n">
        <f aca="false">Report!U110</f>
        <v>125</v>
      </c>
      <c r="D90" s="1" t="str">
        <f aca="false">Report!X110</f>
        <v>COMPRAS CHEIRO VERDE - ALICIA</v>
      </c>
    </row>
    <row r="91" customFormat="false" ht="12.75" hidden="false" customHeight="true" outlineLevel="0" collapsed="false">
      <c r="A91" s="15" t="n">
        <f aca="false">Report!C112</f>
        <v>46204</v>
      </c>
      <c r="B91" s="1" t="str">
        <f aca="false">Report!E112</f>
        <v>JUROS A FORNECEDOR</v>
      </c>
      <c r="C91" s="17" t="n">
        <f aca="false">Report!U112</f>
        <v>171.62</v>
      </c>
      <c r="D91" s="1" t="str">
        <f aca="false">Report!X112</f>
        <v>JUROS FORNECEDORES MO4-ANDREZA</v>
      </c>
    </row>
    <row r="92" customFormat="false" ht="12.75" hidden="false" customHeight="true" outlineLevel="0" collapsed="false">
      <c r="A92" s="15" t="n">
        <f aca="false">Report!C134</f>
        <v>46204</v>
      </c>
      <c r="B92" s="1" t="str">
        <f aca="false">Report!E134</f>
        <v>CR CASTANHAS</v>
      </c>
      <c r="C92" s="17" t="n">
        <f aca="false">Report!U134</f>
        <v>345</v>
      </c>
      <c r="D92" s="1" t="str">
        <f aca="false">Report!X134</f>
        <v>NF 135 1/1 - COMPRAS POTE BANANA FRITA E CASTANHA </v>
      </c>
    </row>
    <row r="93" customFormat="false" ht="12.75" hidden="false" customHeight="true" outlineLevel="0" collapsed="false">
      <c r="A93" s="15" t="n">
        <f aca="false">Report!C135</f>
        <v>46205</v>
      </c>
      <c r="B93" s="1" t="str">
        <f aca="false">Report!E135</f>
        <v>J G COMERCIO DE PRODUTOS ALIMENTICIOS LTDA</v>
      </c>
      <c r="C93" s="17" t="n">
        <f aca="false">Report!U135</f>
        <v>2315.49</v>
      </c>
      <c r="D93" s="1" t="str">
        <f aca="false">Report!X135</f>
        <v>NF 386569 2/3 - ALICIA </v>
      </c>
    </row>
    <row r="94" customFormat="false" ht="12.75" hidden="false" customHeight="true" outlineLevel="0" collapsed="false">
      <c r="A94" s="15" t="n">
        <f aca="false">Report!C136</f>
        <v>46205</v>
      </c>
      <c r="B94" s="1" t="str">
        <f aca="false">Report!E136</f>
        <v>MARE DISTRIBUIDORA DE BEBIDAS E DE PRODUTOS ALIMENTICIOS LTDA</v>
      </c>
      <c r="C94" s="17" t="n">
        <f aca="false">Report!U136</f>
        <v>562.05</v>
      </c>
      <c r="D94" s="1" t="str">
        <f aca="false">Report!X136</f>
        <v>NF 1369407 2/2 - ALICIA </v>
      </c>
    </row>
    <row r="95" customFormat="false" ht="12.75" hidden="false" customHeight="true" outlineLevel="0" collapsed="false">
      <c r="A95" s="15" t="n">
        <f aca="false">Report!C137</f>
        <v>46205</v>
      </c>
      <c r="B95" s="1" t="str">
        <f aca="false">Report!E137</f>
        <v>BRF S A</v>
      </c>
      <c r="C95" s="17" t="n">
        <f aca="false">Report!U137</f>
        <v>1017.82</v>
      </c>
      <c r="D95" s="1" t="str">
        <f aca="false">Report!X137</f>
        <v>NF 1596314 3/3 - ALICIA </v>
      </c>
    </row>
    <row r="96" customFormat="false" ht="12.75" hidden="false" customHeight="true" outlineLevel="0" collapsed="false">
      <c r="A96" s="15" t="n">
        <f aca="false">Report!C139</f>
        <v>46205</v>
      </c>
      <c r="B96" s="1" t="str">
        <f aca="false">Report!E139</f>
        <v>J G COMERCIO DE PRODUTOS ALIMENTICIOS LTDA</v>
      </c>
      <c r="C96" s="17" t="n">
        <f aca="false">Report!U139</f>
        <v>369</v>
      </c>
      <c r="D96" s="1" t="str">
        <f aca="false">Report!X139</f>
        <v>NF 387572 1/3 - ALICIA</v>
      </c>
    </row>
    <row r="97" customFormat="false" ht="12.75" hidden="false" customHeight="true" outlineLevel="0" collapsed="false">
      <c r="A97" s="15" t="n">
        <f aca="false">Report!C140</f>
        <v>46205</v>
      </c>
      <c r="B97" s="1" t="str">
        <f aca="false">Report!E140</f>
        <v>BRASIL NORTE BEBIDAS S/A</v>
      </c>
      <c r="C97" s="17" t="n">
        <f aca="false">Report!U140</f>
        <v>5450.28</v>
      </c>
      <c r="D97" s="1" t="str">
        <f aca="false">Report!X140</f>
        <v>NF 1899877 1/1 - ALICIA </v>
      </c>
    </row>
    <row r="98" customFormat="false" ht="12.75" hidden="false" customHeight="true" outlineLevel="0" collapsed="false">
      <c r="A98" s="15" t="n">
        <f aca="false">Report!C141</f>
        <v>46205</v>
      </c>
      <c r="B98" s="1" t="str">
        <f aca="false">Report!E141</f>
        <v>BRASIL NORTE BEBIDAS S/A</v>
      </c>
      <c r="C98" s="17" t="n">
        <f aca="false">Report!U141</f>
        <v>1518.71</v>
      </c>
      <c r="D98" s="1" t="str">
        <f aca="false">Report!X141</f>
        <v>NF 1175872 1/1 - ALICIA </v>
      </c>
    </row>
    <row r="99" customFormat="false" ht="12.75" hidden="false" customHeight="true" outlineLevel="0" collapsed="false">
      <c r="A99" s="15" t="n">
        <f aca="false">Report!C142</f>
        <v>46205</v>
      </c>
      <c r="B99" s="1" t="str">
        <f aca="false">Report!E142</f>
        <v>OLIVEIRA E SILVA LTDA</v>
      </c>
      <c r="C99" s="17" t="n">
        <f aca="false">Report!U142</f>
        <v>240</v>
      </c>
      <c r="D99" s="1" t="str">
        <f aca="false">Report!X142</f>
        <v>COMPRA BANANAS </v>
      </c>
    </row>
    <row r="100" customFormat="false" ht="12.75" hidden="false" customHeight="true" outlineLevel="0" collapsed="false">
      <c r="A100" s="15" t="n">
        <f aca="false">Report!C143</f>
        <v>46205</v>
      </c>
      <c r="B100" s="1" t="str">
        <f aca="false">Report!E143</f>
        <v>OLIVEIRA E SILVA LTDA</v>
      </c>
      <c r="C100" s="17" t="n">
        <f aca="false">Report!U143</f>
        <v>173</v>
      </c>
      <c r="D100" s="1" t="str">
        <f aca="false">Report!X143</f>
        <v>COMPRAS CHEIRO VERDE </v>
      </c>
    </row>
    <row r="101" customFormat="false" ht="12.75" hidden="false" customHeight="true" outlineLevel="0" collapsed="false">
      <c r="A101" s="15" t="n">
        <f aca="false">Report!C144</f>
        <v>46205</v>
      </c>
      <c r="B101" s="1" t="str">
        <f aca="false">Report!E144</f>
        <v>OLIVEIRA E SILVA LTDA</v>
      </c>
      <c r="C101" s="17" t="n">
        <f aca="false">Report!U144</f>
        <v>40.48</v>
      </c>
      <c r="D101" s="1" t="str">
        <f aca="false">Report!X144</f>
        <v>COMPRA PIMENTA MALAGUETA </v>
      </c>
    </row>
    <row r="102" customFormat="false" ht="12.75" hidden="false" customHeight="true" outlineLevel="0" collapsed="false">
      <c r="A102" s="15" t="n">
        <f aca="false">Report!C149</f>
        <v>46205</v>
      </c>
      <c r="B102" s="1" t="str">
        <f aca="false">Report!E149</f>
        <v>JUROS A FORNECEDOR</v>
      </c>
      <c r="C102" s="17" t="n">
        <f aca="false">Report!U149</f>
        <v>250.86</v>
      </c>
      <c r="D102" s="1" t="str">
        <f aca="false">Report!X149</f>
        <v>JUROS FORNECEDOR MO4-ANDREZA</v>
      </c>
    </row>
    <row r="103" customFormat="false" ht="12.75" hidden="false" customHeight="true" outlineLevel="0" collapsed="false">
      <c r="A103" s="15" t="n">
        <f aca="false">Report!C157</f>
        <v>46206</v>
      </c>
      <c r="B103" s="1" t="str">
        <f aca="false">Report!E157</f>
        <v>OCIDENTAL COMERCIO DE FRIOS LTDA</v>
      </c>
      <c r="C103" s="17" t="n">
        <f aca="false">Report!U157</f>
        <v>742.93</v>
      </c>
      <c r="D103" s="1" t="str">
        <f aca="false">Report!X157</f>
        <v>NF 1232607 3/3 - ALICIA</v>
      </c>
    </row>
    <row r="104" customFormat="false" ht="12.75" hidden="false" customHeight="true" outlineLevel="0" collapsed="false">
      <c r="A104" s="15" t="n">
        <f aca="false">Report!C158</f>
        <v>46206</v>
      </c>
      <c r="B104" s="1" t="str">
        <f aca="false">Report!E158</f>
        <v>OCIDENTAL COMERCIO DE FRIOS LTDA</v>
      </c>
      <c r="C104" s="17" t="n">
        <f aca="false">Report!U158</f>
        <v>1155.4</v>
      </c>
      <c r="D104" s="1" t="str">
        <f aca="false">Report!X158</f>
        <v>NF 1234657 2/3 - ALICIA </v>
      </c>
    </row>
    <row r="105" customFormat="false" ht="12.75" hidden="false" customHeight="true" outlineLevel="0" collapsed="false">
      <c r="A105" s="15" t="n">
        <f aca="false">Report!C159</f>
        <v>46206</v>
      </c>
      <c r="B105" s="1" t="str">
        <f aca="false">Report!E159</f>
        <v>NATUREZA COMERCIO DE DESCARTAVEIS LTDA</v>
      </c>
      <c r="C105" s="17" t="n">
        <f aca="false">Report!U159</f>
        <v>648.24</v>
      </c>
      <c r="D105" s="1" t="str">
        <f aca="false">Report!X159</f>
        <v>NF 726963 2/3 - ALICIA </v>
      </c>
    </row>
    <row r="106" customFormat="false" ht="12.75" hidden="false" customHeight="true" outlineLevel="0" collapsed="false">
      <c r="A106" s="15" t="n">
        <f aca="false">Report!C160</f>
        <v>46206</v>
      </c>
      <c r="B106" s="1" t="str">
        <f aca="false">Report!E160</f>
        <v>REAL BEBIDAS DA AMAZONIA LTDA</v>
      </c>
      <c r="C106" s="17" t="n">
        <f aca="false">Report!U160</f>
        <v>520</v>
      </c>
      <c r="D106" s="1" t="str">
        <f aca="false">Report!X160</f>
        <v>NF 584765 2/2 - ALICIA</v>
      </c>
    </row>
    <row r="107" customFormat="false" ht="12.75" hidden="false" customHeight="true" outlineLevel="0" collapsed="false">
      <c r="A107" s="15" t="n">
        <f aca="false">Report!C161</f>
        <v>46206</v>
      </c>
      <c r="B107" s="1" t="str">
        <f aca="false">Report!E161</f>
        <v>ELFORT FRUIT COMERCIO DE PRODUTOS ALIME</v>
      </c>
      <c r="C107" s="17" t="n">
        <f aca="false">Report!U161</f>
        <v>486.97</v>
      </c>
      <c r="D107" s="1" t="str">
        <f aca="false">Report!X161</f>
        <v>NF 26826 2/2 - ALICIA</v>
      </c>
    </row>
    <row r="108" customFormat="false" ht="12.75" hidden="false" customHeight="true" outlineLevel="0" collapsed="false">
      <c r="A108" s="15" t="n">
        <f aca="false">Report!C162</f>
        <v>46206</v>
      </c>
      <c r="B108" s="1" t="str">
        <f aca="false">Report!E162</f>
        <v>OCIDENTAL COMERCIO DE FRIOS LTDA</v>
      </c>
      <c r="C108" s="17" t="n">
        <f aca="false">Report!U162</f>
        <v>431.5</v>
      </c>
      <c r="D108" s="1" t="str">
        <f aca="false">Report!X162</f>
        <v>NF 1237464 1/1 - ALICIA </v>
      </c>
    </row>
    <row r="109" customFormat="false" ht="12.75" hidden="false" customHeight="true" outlineLevel="0" collapsed="false">
      <c r="A109" s="15" t="n">
        <f aca="false">Report!C163</f>
        <v>46206</v>
      </c>
      <c r="B109" s="1" t="str">
        <f aca="false">Report!E163</f>
        <v>OCIDENTAL COMERCIO DE FRIOS LTDA</v>
      </c>
      <c r="C109" s="17" t="n">
        <f aca="false">Report!U163</f>
        <v>632.15</v>
      </c>
      <c r="D109" s="1" t="str">
        <f aca="false">Report!X163</f>
        <v>NF 1237462 1/1 - ALICIA</v>
      </c>
    </row>
    <row r="110" customFormat="false" ht="12.75" hidden="false" customHeight="true" outlineLevel="0" collapsed="false">
      <c r="A110" s="15" t="n">
        <f aca="false">Report!C164</f>
        <v>46206</v>
      </c>
      <c r="B110" s="1" t="str">
        <f aca="false">Report!E164</f>
        <v>SILVA E SANTOS FRIGORIFICO LTDA</v>
      </c>
      <c r="C110" s="17" t="n">
        <f aca="false">Report!U164</f>
        <v>552</v>
      </c>
      <c r="D110" s="1" t="str">
        <f aca="false">Report!X164</f>
        <v>NF 31172 2/2 - ALICIA</v>
      </c>
    </row>
    <row r="111" customFormat="false" ht="12.75" hidden="false" customHeight="true" outlineLevel="0" collapsed="false">
      <c r="A111" s="15" t="n">
        <f aca="false">Report!C165</f>
        <v>46206</v>
      </c>
      <c r="B111" s="1" t="str">
        <f aca="false">Report!E165</f>
        <v>FENNIX BRASIL DISTRIBUIDORA DE PRODUTOS</v>
      </c>
      <c r="C111" s="17" t="n">
        <f aca="false">Report!U165</f>
        <v>541.96</v>
      </c>
      <c r="D111" s="1" t="str">
        <f aca="false">Report!X165</f>
        <v>NF 309501 1/1 - ALICIA </v>
      </c>
    </row>
    <row r="112" customFormat="false" ht="12.75" hidden="false" customHeight="true" outlineLevel="0" collapsed="false">
      <c r="A112" s="15" t="n">
        <f aca="false">Report!C166</f>
        <v>46206</v>
      </c>
      <c r="B112" s="1" t="str">
        <f aca="false">Report!E166</f>
        <v>AMAZON DISTRIBUIDORA DE PRODUTOS ALIMENT</v>
      </c>
      <c r="C112" s="17" t="n">
        <f aca="false">Report!U166</f>
        <v>411.68</v>
      </c>
      <c r="D112" s="1" t="n">
        <f aca="false">Report!X166</f>
        <v>0</v>
      </c>
    </row>
    <row r="113" customFormat="false" ht="12.75" hidden="false" customHeight="true" outlineLevel="0" collapsed="false">
      <c r="A113" s="15" t="n">
        <f aca="false">Report!C167</f>
        <v>46206</v>
      </c>
      <c r="B113" s="1" t="str">
        <f aca="false">Report!E167</f>
        <v>TOYA INDUSTRIA E COMERCIO LTDA.</v>
      </c>
      <c r="C113" s="17" t="n">
        <f aca="false">Report!U167</f>
        <v>452.58</v>
      </c>
      <c r="D113" s="1" t="str">
        <f aca="false">Report!X167</f>
        <v>NF 253632 2/2 - ALICIA </v>
      </c>
    </row>
    <row r="114" customFormat="false" ht="12.75" hidden="false" customHeight="true" outlineLevel="0" collapsed="false">
      <c r="A114" s="15" t="n">
        <f aca="false">Report!C168</f>
        <v>46206</v>
      </c>
      <c r="B114" s="1" t="str">
        <f aca="false">Report!E168</f>
        <v>DISTRIBUIDORA LOPES LTDA</v>
      </c>
      <c r="C114" s="17" t="n">
        <f aca="false">Report!U168</f>
        <v>1189.34</v>
      </c>
      <c r="D114" s="1" t="str">
        <f aca="false">Report!X168</f>
        <v>NF 1678500 1/3 - ALICIA </v>
      </c>
    </row>
    <row r="115" customFormat="false" ht="12.75" hidden="false" customHeight="true" outlineLevel="0" collapsed="false">
      <c r="A115" s="15" t="n">
        <f aca="false">Report!C169</f>
        <v>46206</v>
      </c>
      <c r="B115" s="1" t="str">
        <f aca="false">Report!E169</f>
        <v>A M A DE LIMA FRIOS ME</v>
      </c>
      <c r="C115" s="17" t="n">
        <f aca="false">Report!U169</f>
        <v>431</v>
      </c>
      <c r="D115" s="1" t="str">
        <f aca="false">Report!X169</f>
        <v>NF 16675 1/2 - ALICIA </v>
      </c>
    </row>
    <row r="116" customFormat="false" ht="12.75" hidden="false" customHeight="true" outlineLevel="0" collapsed="false">
      <c r="A116" s="15" t="n">
        <f aca="false">Report!C170</f>
        <v>46206</v>
      </c>
      <c r="B116" s="1" t="str">
        <f aca="false">Report!E170</f>
        <v>VICTORIA COMERCIO INTERNACIONAL DE ALIME</v>
      </c>
      <c r="C116" s="17" t="n">
        <f aca="false">Report!U170</f>
        <v>431.88</v>
      </c>
      <c r="D116" s="1" t="str">
        <f aca="false">Report!X170</f>
        <v>NF 11957 1/3 - ALICIA </v>
      </c>
    </row>
    <row r="117" customFormat="false" ht="12.75" hidden="false" customHeight="true" outlineLevel="0" collapsed="false">
      <c r="A117" s="15" t="n">
        <f aca="false">Report!C171</f>
        <v>46206</v>
      </c>
      <c r="B117" s="1" t="str">
        <f aca="false">Report!E171</f>
        <v>OLIVEIRA E SILVA LTDA</v>
      </c>
      <c r="C117" s="17" t="n">
        <f aca="false">Report!U171</f>
        <v>2666.5</v>
      </c>
      <c r="D117" s="1" t="str">
        <f aca="false">Report!X171</f>
        <v>COMPRAS CARLOS VERDURAS </v>
      </c>
    </row>
    <row r="118" customFormat="false" ht="12.75" hidden="false" customHeight="true" outlineLevel="0" collapsed="false">
      <c r="A118" s="15" t="n">
        <f aca="false">Report!C172</f>
        <v>46206</v>
      </c>
      <c r="B118" s="1" t="str">
        <f aca="false">Report!E172</f>
        <v>COMERCIO E TRANSPORTE BRANDAO LTDA</v>
      </c>
      <c r="C118" s="17" t="n">
        <f aca="false">Report!U172</f>
        <v>680</v>
      </c>
      <c r="D118" s="1" t="str">
        <f aca="false">Report!X172</f>
        <v>NF 4335 1/1 - COMPRAS CARLOS VERDURAS </v>
      </c>
    </row>
    <row r="119" customFormat="false" ht="12.75" hidden="false" customHeight="true" outlineLevel="0" collapsed="false">
      <c r="A119" s="15" t="n">
        <f aca="false">Report!C173</f>
        <v>46206</v>
      </c>
      <c r="B119" s="1" t="str">
        <f aca="false">Report!E173</f>
        <v>COMERCIO E TRANSPORTE BRANDAO LTDA</v>
      </c>
      <c r="C119" s="17" t="n">
        <f aca="false">Report!U173</f>
        <v>354</v>
      </c>
      <c r="D119" s="1" t="str">
        <f aca="false">Report!X173</f>
        <v>COMPRAS CAMARAO - CARLOS VERDURAS </v>
      </c>
    </row>
    <row r="120" customFormat="false" ht="12.75" hidden="false" customHeight="true" outlineLevel="0" collapsed="false">
      <c r="A120" s="15" t="n">
        <f aca="false">Report!C174</f>
        <v>46206</v>
      </c>
      <c r="B120" s="1" t="str">
        <f aca="false">Report!E174</f>
        <v>OLIVEIRA E SILVA LTDA</v>
      </c>
      <c r="C120" s="17" t="n">
        <f aca="false">Report!U174</f>
        <v>110</v>
      </c>
      <c r="D120" s="1" t="str">
        <f aca="false">Report!X174</f>
        <v>COMPRAS CHEIRO VERDE </v>
      </c>
    </row>
    <row r="121" customFormat="false" ht="12.75" hidden="false" customHeight="true" outlineLevel="0" collapsed="false">
      <c r="A121" s="15" t="n">
        <f aca="false">Report!C176</f>
        <v>46206</v>
      </c>
      <c r="B121" s="1" t="str">
        <f aca="false">Report!E176</f>
        <v>OLIVEIRA E SILVA LTDA</v>
      </c>
      <c r="C121" s="17" t="n">
        <f aca="false">Report!U176</f>
        <v>240</v>
      </c>
      <c r="D121" s="1" t="str">
        <f aca="false">Report!X176</f>
        <v>COMPRAS BANANAS </v>
      </c>
    </row>
    <row r="122" customFormat="false" ht="12.75" hidden="false" customHeight="true" outlineLevel="0" collapsed="false">
      <c r="A122" s="15" t="n">
        <f aca="false">Report!C177</f>
        <v>46206</v>
      </c>
      <c r="B122" s="1" t="str">
        <f aca="false">Report!E177</f>
        <v>JUROS A FORNECEDOR</v>
      </c>
      <c r="C122" s="17" t="n">
        <f aca="false">Report!U177</f>
        <v>157.31</v>
      </c>
      <c r="D122" s="1" t="str">
        <f aca="false">Report!X177</f>
        <v>JUROS FORNECEDORES MO4-ANDREZA</v>
      </c>
    </row>
    <row r="123" customFormat="false" ht="12.75" hidden="false" customHeight="true" outlineLevel="0" collapsed="false">
      <c r="A123" s="15" t="n">
        <f aca="false">Report!C178</f>
        <v>46206</v>
      </c>
      <c r="B123" s="1" t="str">
        <f aca="false">Report!E178</f>
        <v>J W N DOS SANTOS</v>
      </c>
      <c r="C123" s="17" t="n">
        <f aca="false">Report!U178</f>
        <v>704</v>
      </c>
      <c r="D123" s="1" t="str">
        <f aca="false">Report!X178</f>
        <v>NF 339 1/1 - COMPRAS CARVAO / ALICIA </v>
      </c>
    </row>
    <row r="124" customFormat="false" ht="12.75" hidden="false" customHeight="true" outlineLevel="0" collapsed="false">
      <c r="A124" s="15" t="n">
        <f aca="false">Report!C180</f>
        <v>46207</v>
      </c>
      <c r="B124" s="1" t="str">
        <f aca="false">Report!E180</f>
        <v>FORTVET DISTRIBUIDORA LTDA</v>
      </c>
      <c r="C124" s="17" t="n">
        <f aca="false">Report!U180</f>
        <v>670.83</v>
      </c>
      <c r="D124" s="1" t="str">
        <f aca="false">Report!X180</f>
        <v>NF 2104 4/4 - ALICIA</v>
      </c>
    </row>
    <row r="125" customFormat="false" ht="12.75" hidden="false" customHeight="true" outlineLevel="0" collapsed="false">
      <c r="A125" s="15" t="n">
        <f aca="false">Report!C181</f>
        <v>46207</v>
      </c>
      <c r="B125" s="1" t="str">
        <f aca="false">Report!E181</f>
        <v>MARQUES &amp; MELO LTDA - FILIAL</v>
      </c>
      <c r="C125" s="17" t="n">
        <f aca="false">Report!U181</f>
        <v>750.73</v>
      </c>
      <c r="D125" s="1" t="str">
        <f aca="false">Report!X181</f>
        <v>NF 491042 4/5 - ALICIA</v>
      </c>
    </row>
    <row r="126" customFormat="false" ht="12.75" hidden="false" customHeight="true" outlineLevel="0" collapsed="false">
      <c r="A126" s="15" t="n">
        <f aca="false">Report!C182</f>
        <v>46207</v>
      </c>
      <c r="B126" s="1" t="str">
        <f aca="false">Report!E182</f>
        <v>SB COMERCIO LTDA</v>
      </c>
      <c r="C126" s="17" t="n">
        <f aca="false">Report!U182</f>
        <v>1624.37</v>
      </c>
      <c r="D126" s="1" t="str">
        <f aca="false">Report!X182</f>
        <v>NF 1954061 3/5 - ALICIA</v>
      </c>
    </row>
    <row r="127" customFormat="false" ht="12.75" hidden="false" customHeight="true" outlineLevel="0" collapsed="false">
      <c r="A127" s="15" t="n">
        <f aca="false">Report!C183</f>
        <v>46207</v>
      </c>
      <c r="B127" s="1" t="str">
        <f aca="false">Report!E183</f>
        <v>RISADINHA LTDA</v>
      </c>
      <c r="C127" s="17" t="n">
        <f aca="false">Report!U183</f>
        <v>653.4</v>
      </c>
      <c r="D127" s="1" t="str">
        <f aca="false">Report!X183</f>
        <v>NF 656174 3/4 - ALICIA</v>
      </c>
    </row>
    <row r="128" customFormat="false" ht="12.75" hidden="false" customHeight="true" outlineLevel="0" collapsed="false">
      <c r="A128" s="15" t="n">
        <f aca="false">Report!C184</f>
        <v>46207</v>
      </c>
      <c r="B128" s="1" t="str">
        <f aca="false">Report!E184</f>
        <v>DISTRIBUIDORA LOPES LTDA</v>
      </c>
      <c r="C128" s="17" t="n">
        <f aca="false">Report!U184</f>
        <v>712.11</v>
      </c>
      <c r="D128" s="1" t="str">
        <f aca="false">Report!X184</f>
        <v>NF 1667932 3/3 - ALICIA </v>
      </c>
    </row>
    <row r="129" customFormat="false" ht="12.75" hidden="false" customHeight="true" outlineLevel="0" collapsed="false">
      <c r="A129" s="15" t="n">
        <f aca="false">Report!C186</f>
        <v>46207</v>
      </c>
      <c r="B129" s="1" t="str">
        <f aca="false">Report!E186</f>
        <v>J G COMERCIO DE PRODUTOS ALIMENTICIOS LTDA</v>
      </c>
      <c r="C129" s="17" t="n">
        <f aca="false">Report!U186</f>
        <v>706.2</v>
      </c>
      <c r="D129" s="1" t="str">
        <f aca="false">Report!X186</f>
        <v>NF385527 3/3 - ALICIA </v>
      </c>
    </row>
    <row r="130" customFormat="false" ht="12.75" hidden="false" customHeight="true" outlineLevel="0" collapsed="false">
      <c r="A130" s="15" t="n">
        <f aca="false">Report!C187</f>
        <v>46207</v>
      </c>
      <c r="B130" s="1" t="str">
        <f aca="false">Report!E187</f>
        <v>EDMARA COMERCIO DE HIGIENE PESSOAL LTDA</v>
      </c>
      <c r="C130" s="17" t="n">
        <f aca="false">Report!U187</f>
        <v>496.03</v>
      </c>
      <c r="D130" s="1" t="str">
        <f aca="false">Report!X187</f>
        <v>NF 8058 2/3 - ALICIA </v>
      </c>
    </row>
    <row r="131" customFormat="false" ht="12.75" hidden="false" customHeight="true" outlineLevel="0" collapsed="false">
      <c r="A131" s="15" t="n">
        <f aca="false">Report!C188</f>
        <v>46207</v>
      </c>
      <c r="B131" s="1" t="str">
        <f aca="false">Report!E188</f>
        <v>AMAZON MILK IND. E COMERCIO LTDA</v>
      </c>
      <c r="C131" s="17" t="n">
        <f aca="false">Report!U188</f>
        <v>742.5</v>
      </c>
      <c r="D131" s="1" t="str">
        <f aca="false">Report!X188</f>
        <v>NF 202492 1/1 - ALICIA</v>
      </c>
    </row>
    <row r="132" customFormat="false" ht="12.75" hidden="false" customHeight="true" outlineLevel="0" collapsed="false">
      <c r="A132" s="15" t="n">
        <f aca="false">Report!C189</f>
        <v>46207</v>
      </c>
      <c r="B132" s="1" t="str">
        <f aca="false">Report!E189</f>
        <v>RCL COMERCIO DE PRODUTOS ALIMENTICIOS LT</v>
      </c>
      <c r="C132" s="17" t="n">
        <f aca="false">Report!U189</f>
        <v>572.7</v>
      </c>
      <c r="D132" s="1" t="str">
        <f aca="false">Report!X189</f>
        <v>NF 213912 2/2 - ALICIA</v>
      </c>
    </row>
    <row r="133" customFormat="false" ht="12.75" hidden="false" customHeight="true" outlineLevel="0" collapsed="false">
      <c r="A133" s="15" t="n">
        <f aca="false">Report!C190</f>
        <v>46207</v>
      </c>
      <c r="B133" s="1" t="str">
        <f aca="false">Report!E190</f>
        <v>CB COMERCIO E DISTRIBUIDORA DE ALIMENTOS</v>
      </c>
      <c r="C133" s="17" t="n">
        <f aca="false">Report!U190</f>
        <v>417</v>
      </c>
      <c r="D133" s="1" t="str">
        <f aca="false">Report!X190</f>
        <v>NF 843061 1/1 - ALICIA </v>
      </c>
    </row>
    <row r="134" customFormat="false" ht="12.75" hidden="false" customHeight="true" outlineLevel="0" collapsed="false">
      <c r="A134" s="15" t="n">
        <f aca="false">Report!C191</f>
        <v>46207</v>
      </c>
      <c r="B134" s="1" t="str">
        <f aca="false">Report!E191</f>
        <v>CB COMERCIO E DISTRIBUIDORA DE ALIMENTOS</v>
      </c>
      <c r="C134" s="17" t="n">
        <f aca="false">Report!U191</f>
        <v>504.27</v>
      </c>
      <c r="D134" s="1" t="str">
        <f aca="false">Report!X191</f>
        <v>NF 843062 2/3 - ALICIA </v>
      </c>
    </row>
    <row r="135" customFormat="false" ht="12.75" hidden="false" customHeight="true" outlineLevel="0" collapsed="false">
      <c r="A135" s="15" t="n">
        <f aca="false">Report!C192</f>
        <v>46207</v>
      </c>
      <c r="B135" s="1" t="str">
        <f aca="false">Report!E192</f>
        <v>ORIENTE COM. ATACADISTA E REPRES. LTDA</v>
      </c>
      <c r="C135" s="17" t="n">
        <f aca="false">Report!U192</f>
        <v>926.18</v>
      </c>
      <c r="D135" s="1" t="str">
        <f aca="false">Report!X192</f>
        <v>NF 1588 3/3 - ALICIA </v>
      </c>
    </row>
    <row r="136" customFormat="false" ht="12.75" hidden="false" customHeight="true" outlineLevel="0" collapsed="false">
      <c r="A136" s="15" t="n">
        <f aca="false">Report!C193</f>
        <v>46207</v>
      </c>
      <c r="B136" s="1" t="str">
        <f aca="false">Report!E193</f>
        <v>ATIVA COM E REP</v>
      </c>
      <c r="C136" s="17" t="n">
        <f aca="false">Report!U193</f>
        <v>467.19</v>
      </c>
      <c r="D136" s="1" t="str">
        <f aca="false">Report!X193</f>
        <v>NF 25331 2/2 - ALICIA </v>
      </c>
    </row>
    <row r="137" customFormat="false" ht="12.75" hidden="false" customHeight="true" outlineLevel="0" collapsed="false">
      <c r="A137" s="15" t="n">
        <f aca="false">Report!C194</f>
        <v>46207</v>
      </c>
      <c r="B137" s="1" t="str">
        <f aca="false">Report!E194</f>
        <v>H G NUNES REPRESENTAÇÃO E COMERCIO</v>
      </c>
      <c r="C137" s="17" t="n">
        <f aca="false">Report!U194</f>
        <v>1094.25</v>
      </c>
      <c r="D137" s="1" t="str">
        <f aca="false">Report!X194</f>
        <v>NF 54575 3/3 - ALICIA</v>
      </c>
    </row>
    <row r="138" customFormat="false" ht="12.75" hidden="false" customHeight="true" outlineLevel="0" collapsed="false">
      <c r="A138" s="15" t="n">
        <f aca="false">Report!C195</f>
        <v>46207</v>
      </c>
      <c r="B138" s="1" t="str">
        <f aca="false">Report!E195</f>
        <v>BF COMERCIO DE ALIMENTOS REPRESENTACAO L</v>
      </c>
      <c r="C138" s="17" t="n">
        <f aca="false">Report!U195</f>
        <v>442.01</v>
      </c>
      <c r="D138" s="1" t="str">
        <f aca="false">Report!X195</f>
        <v>NF 20916 1/3 - ALICIA </v>
      </c>
    </row>
    <row r="139" customFormat="false" ht="12.75" hidden="false" customHeight="true" outlineLevel="0" collapsed="false">
      <c r="A139" s="15" t="n">
        <f aca="false">Report!C196</f>
        <v>46207</v>
      </c>
      <c r="B139" s="1" t="str">
        <f aca="false">Report!E196</f>
        <v>FENNIX BRASIL DISTRIBUIDORA DE PRODUTOS</v>
      </c>
      <c r="C139" s="17" t="n">
        <f aca="false">Report!U196</f>
        <v>412.48</v>
      </c>
      <c r="D139" s="1" t="str">
        <f aca="false">Report!X196</f>
        <v>NF 395087 1/3 - ALICIA</v>
      </c>
    </row>
    <row r="140" customFormat="false" ht="12.75" hidden="false" customHeight="true" outlineLevel="0" collapsed="false">
      <c r="A140" s="15" t="n">
        <f aca="false">Report!C197</f>
        <v>46207</v>
      </c>
      <c r="B140" s="1" t="str">
        <f aca="false">Report!E197</f>
        <v>DUNORTE DISTRIBUIDORA DE PRODUTOS DE CONSUMO LTDA</v>
      </c>
      <c r="C140" s="17" t="n">
        <f aca="false">Report!U197</f>
        <v>357</v>
      </c>
      <c r="D140" s="1" t="str">
        <f aca="false">Report!X197</f>
        <v>NF 3204267 1/4 - ALICIA</v>
      </c>
    </row>
    <row r="141" customFormat="false" ht="12.75" hidden="false" customHeight="true" outlineLevel="0" collapsed="false">
      <c r="A141" s="15" t="n">
        <f aca="false">Report!C198</f>
        <v>46207</v>
      </c>
      <c r="B141" s="1" t="str">
        <f aca="false">Report!E198</f>
        <v>DUNORTE DISTRIBUIDORA DE PRODUTOS DE CONSUMO LTDA</v>
      </c>
      <c r="C141" s="17" t="n">
        <f aca="false">Report!U198</f>
        <v>1017.59</v>
      </c>
      <c r="D141" s="1" t="str">
        <f aca="false">Report!X198</f>
        <v>NF 3204268 1/3 - ALICIA </v>
      </c>
    </row>
    <row r="142" customFormat="false" ht="12.75" hidden="false" customHeight="true" outlineLevel="0" collapsed="false">
      <c r="A142" s="15" t="n">
        <f aca="false">Report!C199</f>
        <v>46207</v>
      </c>
      <c r="B142" s="1" t="str">
        <f aca="false">Report!E199</f>
        <v>DUNORTE DISTRIBUIDORA DE PRODUTOS DE CONSUMO LTDA</v>
      </c>
      <c r="C142" s="17" t="n">
        <f aca="false">Report!U199</f>
        <v>1096.02</v>
      </c>
      <c r="D142" s="1" t="str">
        <f aca="false">Report!X199</f>
        <v>NF 3204263 1/3 - ALICIA </v>
      </c>
    </row>
    <row r="143" customFormat="false" ht="12.75" hidden="false" customHeight="true" outlineLevel="0" collapsed="false">
      <c r="A143" s="15" t="n">
        <f aca="false">Report!C200</f>
        <v>46207</v>
      </c>
      <c r="B143" s="1" t="str">
        <f aca="false">Report!E200</f>
        <v>DUNORTE DISTRIBUIDORA DE PRODUTOS DE CONSUMO LTDA</v>
      </c>
      <c r="C143" s="17" t="n">
        <f aca="false">Report!U200</f>
        <v>804.51</v>
      </c>
      <c r="D143" s="1" t="str">
        <f aca="false">Report!X200</f>
        <v>NF 3204264 1/4 - ALICIA</v>
      </c>
    </row>
    <row r="144" customFormat="false" ht="12.75" hidden="false" customHeight="true" outlineLevel="0" collapsed="false">
      <c r="A144" s="15" t="n">
        <f aca="false">Report!C201</f>
        <v>46207</v>
      </c>
      <c r="B144" s="1" t="str">
        <f aca="false">Report!E201</f>
        <v>DUNORTE DISTRIBUIDORA DE PRODUTOS DE CONSUMO LTDA</v>
      </c>
      <c r="C144" s="17" t="n">
        <f aca="false">Report!U201</f>
        <v>1136.33</v>
      </c>
      <c r="D144" s="1" t="str">
        <f aca="false">Report!X201</f>
        <v>NF 3204269 1/3 - ALICIA</v>
      </c>
    </row>
    <row r="145" customFormat="false" ht="12.75" hidden="false" customHeight="true" outlineLevel="0" collapsed="false">
      <c r="A145" s="15" t="n">
        <f aca="false">Report!C202</f>
        <v>46207</v>
      </c>
      <c r="B145" s="1" t="str">
        <f aca="false">Report!E202</f>
        <v>OCIDENTAL COMERCIO DE FRIOS LTDA</v>
      </c>
      <c r="C145" s="17" t="n">
        <f aca="false">Report!U202</f>
        <v>930.35</v>
      </c>
      <c r="D145" s="1" t="str">
        <f aca="false">Report!X202</f>
        <v>NF 1238202 1/3 - ALICIA </v>
      </c>
    </row>
    <row r="146" customFormat="false" ht="12.75" hidden="false" customHeight="true" outlineLevel="0" collapsed="false">
      <c r="A146" s="15" t="n">
        <f aca="false">Report!C203</f>
        <v>46207</v>
      </c>
      <c r="B146" s="1" t="str">
        <f aca="false">Report!E203</f>
        <v>L S M COMERCIO DE ALIMENTOS E NAVEGACAO</v>
      </c>
      <c r="C146" s="17" t="n">
        <f aca="false">Report!U203</f>
        <v>391.4</v>
      </c>
      <c r="D146" s="1" t="str">
        <f aca="false">Report!X203</f>
        <v>NF 304792 1/3 - ALICIA </v>
      </c>
    </row>
    <row r="147" customFormat="false" ht="12.75" hidden="false" customHeight="true" outlineLevel="0" collapsed="false">
      <c r="A147" s="15" t="n">
        <f aca="false">Report!C205</f>
        <v>46207</v>
      </c>
      <c r="B147" s="1" t="str">
        <f aca="false">Report!E205</f>
        <v>COMERCIAL DE ESTIVAS REGO LTDA</v>
      </c>
      <c r="C147" s="17" t="n">
        <f aca="false">Report!U205</f>
        <v>782.57</v>
      </c>
      <c r="D147" s="1" t="str">
        <f aca="false">Report!X205</f>
        <v>NF 222263 1/4 - ALICIA </v>
      </c>
    </row>
    <row r="148" customFormat="false" ht="12.75" hidden="false" customHeight="true" outlineLevel="0" collapsed="false">
      <c r="A148" s="15" t="n">
        <f aca="false">Report!C206</f>
        <v>46207</v>
      </c>
      <c r="B148" s="1" t="str">
        <f aca="false">Report!E206</f>
        <v>MARTINS COM SERV DISTR SA</v>
      </c>
      <c r="C148" s="17" t="n">
        <f aca="false">Report!U206</f>
        <v>393.5</v>
      </c>
      <c r="D148" s="1" t="str">
        <f aca="false">Report!X206</f>
        <v>NF 1773256 1/3 - ALICIA</v>
      </c>
    </row>
    <row r="149" customFormat="false" ht="12.75" hidden="false" customHeight="true" outlineLevel="0" collapsed="false">
      <c r="A149" s="15" t="n">
        <f aca="false">Report!C207</f>
        <v>46207</v>
      </c>
      <c r="B149" s="1" t="str">
        <f aca="false">Report!E207</f>
        <v>IRMÃOS LIMA  ATACADO  DE ALIMENTOS LTDA</v>
      </c>
      <c r="C149" s="17" t="n">
        <f aca="false">Report!U207</f>
        <v>977.07</v>
      </c>
      <c r="D149" s="1" t="str">
        <f aca="false">Report!X207</f>
        <v>NF 293817 1/4 - ALICIA </v>
      </c>
    </row>
    <row r="150" customFormat="false" ht="12.75" hidden="false" customHeight="true" outlineLevel="0" collapsed="false">
      <c r="A150" s="15" t="n">
        <f aca="false">Report!C208</f>
        <v>46207</v>
      </c>
      <c r="B150" s="1" t="str">
        <f aca="false">Report!E208</f>
        <v>NESTLÉ BRASIL LTDA.</v>
      </c>
      <c r="C150" s="17" t="n">
        <f aca="false">Report!U208</f>
        <v>732.36</v>
      </c>
      <c r="D150" s="1" t="str">
        <f aca="false">Report!X208</f>
        <v>NF 1418632 1/1 - ALICIA</v>
      </c>
    </row>
    <row r="151" customFormat="false" ht="12.75" hidden="false" customHeight="true" outlineLevel="0" collapsed="false">
      <c r="A151" s="15" t="n">
        <f aca="false">Report!C210</f>
        <v>46207</v>
      </c>
      <c r="B151" s="1" t="str">
        <f aca="false">Report!E210</f>
        <v>AGL DISTRIBUIDORA LIMITADA MATRIZ</v>
      </c>
      <c r="C151" s="17" t="n">
        <f aca="false">Report!U210</f>
        <v>351.36</v>
      </c>
      <c r="D151" s="1" t="str">
        <f aca="false">Report!X210</f>
        <v>NF 12262 1/1 - ALICIA </v>
      </c>
    </row>
    <row r="152" customFormat="false" ht="12.75" hidden="false" customHeight="true" outlineLevel="0" collapsed="false">
      <c r="A152" s="15" t="n">
        <f aca="false">Report!C211</f>
        <v>46207</v>
      </c>
      <c r="B152" s="1" t="str">
        <f aca="false">Report!E211</f>
        <v>BROTHERS  INDUSTRIA DE ALIMENTOS LTDA</v>
      </c>
      <c r="C152" s="17" t="n">
        <f aca="false">Report!U211</f>
        <v>594.06</v>
      </c>
      <c r="D152" s="1" t="str">
        <f aca="false">Report!X211</f>
        <v>NF 1028803 1/1 - ALICIA </v>
      </c>
    </row>
    <row r="153" customFormat="false" ht="12.75" hidden="false" customHeight="true" outlineLevel="0" collapsed="false">
      <c r="A153" s="15" t="n">
        <f aca="false">Report!C212</f>
        <v>46207</v>
      </c>
      <c r="B153" s="1" t="str">
        <f aca="false">Report!E212</f>
        <v>ALEXANDRE DA SILVA RUFINO</v>
      </c>
      <c r="C153" s="17" t="n">
        <f aca="false">Report!U212</f>
        <v>240</v>
      </c>
      <c r="D153" s="1" t="str">
        <f aca="false">Report!X212</f>
        <v>S/NF COMPRAS CIGARROS </v>
      </c>
    </row>
    <row r="154" customFormat="false" ht="12.75" hidden="false" customHeight="true" outlineLevel="0" collapsed="false">
      <c r="A154" s="15" t="n">
        <f aca="false">Report!C213</f>
        <v>46207</v>
      </c>
      <c r="B154" s="1" t="str">
        <f aca="false">Report!E213</f>
        <v>ADICSO FABIAN GONZALEZ MONTILLA 70302186</v>
      </c>
      <c r="C154" s="17" t="n">
        <f aca="false">Report!U213</f>
        <v>240</v>
      </c>
      <c r="D154" s="1" t="str">
        <f aca="false">Report!X213</f>
        <v>NF 512 1/1 - ALICIA </v>
      </c>
    </row>
    <row r="155" customFormat="false" ht="12.75" hidden="false" customHeight="true" outlineLevel="0" collapsed="false">
      <c r="A155" s="15" t="n">
        <f aca="false">Report!C214</f>
        <v>46207</v>
      </c>
      <c r="B155" s="1" t="str">
        <f aca="false">Report!E214</f>
        <v>FALCAO INDUSTRIA DE ALIMENTOS LTDA</v>
      </c>
      <c r="C155" s="17" t="n">
        <f aca="false">Report!U214</f>
        <v>1651.2</v>
      </c>
      <c r="D155" s="1" t="str">
        <f aca="false">Report!X214</f>
        <v>NF 35032 1/2 - ALICIA</v>
      </c>
    </row>
    <row r="156" customFormat="false" ht="12.75" hidden="false" customHeight="true" outlineLevel="0" collapsed="false">
      <c r="A156" s="15" t="n">
        <f aca="false">Report!C215</f>
        <v>46207</v>
      </c>
      <c r="B156" s="1" t="str">
        <f aca="false">Report!E215</f>
        <v>FALCAO INDUSTRIA DE ALIMENTOS LTDA</v>
      </c>
      <c r="C156" s="17" t="n">
        <f aca="false">Report!U215</f>
        <v>1830.97</v>
      </c>
      <c r="D156" s="1" t="str">
        <f aca="false">Report!X215</f>
        <v>NF 30609 1/2 - ALICIA </v>
      </c>
    </row>
    <row r="157" customFormat="false" ht="12.75" hidden="false" customHeight="true" outlineLevel="0" collapsed="false">
      <c r="A157" s="15" t="n">
        <f aca="false">Report!C216</f>
        <v>46207</v>
      </c>
      <c r="B157" s="1" t="str">
        <f aca="false">Report!E216</f>
        <v>OLIVEIRA E SILVA LTDA</v>
      </c>
      <c r="C157" s="17" t="n">
        <f aca="false">Report!U216</f>
        <v>318</v>
      </c>
      <c r="D157" s="1" t="str">
        <f aca="false">Report!X216</f>
        <v>compras cheiro verde</v>
      </c>
    </row>
    <row r="158" customFormat="false" ht="12.75" hidden="false" customHeight="true" outlineLevel="0" collapsed="false">
      <c r="A158" s="15" t="n">
        <f aca="false">Report!C218</f>
        <v>46209</v>
      </c>
      <c r="B158" s="1" t="str">
        <f aca="false">Report!E218</f>
        <v>TOYA INDUSTRIA E COMERCIO LTDA.</v>
      </c>
      <c r="C158" s="17" t="n">
        <f aca="false">Report!U218</f>
        <v>541.26</v>
      </c>
      <c r="D158" s="1" t="str">
        <f aca="false">Report!X218</f>
        <v>NF 253203 1/1 - ALICIA </v>
      </c>
    </row>
    <row r="159" customFormat="false" ht="12.75" hidden="false" customHeight="true" outlineLevel="0" collapsed="false">
      <c r="A159" s="15" t="n">
        <f aca="false">Report!C220</f>
        <v>46209</v>
      </c>
      <c r="B159" s="1" t="str">
        <f aca="false">Report!E220</f>
        <v>DUNORTE DISTRIBUIDORA DE PRODUTOS DE CONSUMO LTDA</v>
      </c>
      <c r="C159" s="17" t="n">
        <f aca="false">Report!U220</f>
        <v>1317.18</v>
      </c>
      <c r="D159" s="1" t="str">
        <f aca="false">Report!X220</f>
        <v>NF 3204265 1/3 - ALICIA </v>
      </c>
    </row>
    <row r="160" customFormat="false" ht="12.75" hidden="false" customHeight="true" outlineLevel="0" collapsed="false">
      <c r="A160" s="15" t="n">
        <f aca="false">Report!C221</f>
        <v>46209</v>
      </c>
      <c r="B160" s="1" t="str">
        <f aca="false">Report!E221</f>
        <v>OLIVEIRA E SILVA LTDA</v>
      </c>
      <c r="C160" s="17" t="n">
        <f aca="false">Report!U221</f>
        <v>90</v>
      </c>
      <c r="D160" s="1" t="str">
        <f aca="false">Report!X221</f>
        <v>COMPRAS CHEIRO VERDE </v>
      </c>
    </row>
    <row r="161" customFormat="false" ht="12.75" hidden="false" customHeight="true" outlineLevel="0" collapsed="false">
      <c r="A161" s="15" t="n">
        <f aca="false">Report!C222</f>
        <v>46209</v>
      </c>
      <c r="B161" s="1" t="str">
        <f aca="false">Report!E222</f>
        <v>OLIVEIRA E SILVA LTDA</v>
      </c>
      <c r="C161" s="17" t="n">
        <f aca="false">Report!U222</f>
        <v>240</v>
      </c>
      <c r="D161" s="1" t="str">
        <f aca="false">Report!X222</f>
        <v>COMPRAS BANANAS </v>
      </c>
    </row>
    <row r="162" customFormat="false" ht="12.75" hidden="false" customHeight="true" outlineLevel="0" collapsed="false">
      <c r="A162" s="15" t="n">
        <f aca="false">Report!C256</f>
        <v>46209</v>
      </c>
      <c r="B162" s="1" t="str">
        <f aca="false">Report!E256</f>
        <v>J W N DOS SANTOS</v>
      </c>
      <c r="C162" s="17" t="n">
        <f aca="false">Report!U256</f>
        <v>320</v>
      </c>
      <c r="D162" s="1" t="str">
        <f aca="false">Report!X256</f>
        <v>NF 346 1/1 - ALICIA </v>
      </c>
    </row>
    <row r="163" customFormat="false" ht="12.75" hidden="false" customHeight="true" outlineLevel="0" collapsed="false">
      <c r="A163" s="15" t="n">
        <f aca="false">Report!C258</f>
        <v>46209</v>
      </c>
      <c r="B163" s="1" t="str">
        <f aca="false">Report!E258</f>
        <v>JUROS A FORNECEDOR</v>
      </c>
      <c r="C163" s="17" t="n">
        <f aca="false">Report!U258</f>
        <v>512.29</v>
      </c>
      <c r="D163" s="1" t="str">
        <f aca="false">Report!X258</f>
        <v>JUROS FORNECEDORES MO4</v>
      </c>
    </row>
    <row r="164" customFormat="false" ht="12.75" hidden="false" customHeight="true" outlineLevel="0" collapsed="false">
      <c r="A164" s="15" t="n">
        <f aca="false">Report!C262</f>
        <v>46210</v>
      </c>
      <c r="B164" s="1" t="str">
        <f aca="false">Report!E262</f>
        <v>J. A. F. DE LIMA</v>
      </c>
      <c r="C164" s="17" t="n">
        <f aca="false">Report!U262</f>
        <v>565.55</v>
      </c>
      <c r="D164" s="1" t="str">
        <f aca="false">Report!X262</f>
        <v>NF 154919 5/6 - ALICIA</v>
      </c>
    </row>
    <row r="165" customFormat="false" ht="12.75" hidden="false" customHeight="true" outlineLevel="0" collapsed="false">
      <c r="A165" s="15" t="n">
        <f aca="false">Report!C263</f>
        <v>46210</v>
      </c>
      <c r="B165" s="1" t="str">
        <f aca="false">Report!E263</f>
        <v>ADRIANA DISTRIBUIDORA DE PRODUTOS ALIMEN</v>
      </c>
      <c r="C165" s="17" t="n">
        <f aca="false">Report!U263</f>
        <v>434.48</v>
      </c>
      <c r="D165" s="1" t="str">
        <f aca="false">Report!X263</f>
        <v>NF 876315 3/3 - ALICIA</v>
      </c>
    </row>
    <row r="166" customFormat="false" ht="12.75" hidden="false" customHeight="true" outlineLevel="0" collapsed="false">
      <c r="A166" s="15" t="n">
        <f aca="false">Report!C264</f>
        <v>46210</v>
      </c>
      <c r="B166" s="1" t="str">
        <f aca="false">Report!E264</f>
        <v>NSB COMERCIO ATACADISTA E VAREJISTA DE P</v>
      </c>
      <c r="C166" s="17" t="n">
        <f aca="false">Report!U264</f>
        <v>755.9</v>
      </c>
      <c r="D166" s="1" t="str">
        <f aca="false">Report!X264</f>
        <v>NF 7711 3/3 - ALICIA</v>
      </c>
    </row>
    <row r="167" customFormat="false" ht="12.75" hidden="false" customHeight="true" outlineLevel="0" collapsed="false">
      <c r="A167" s="15" t="n">
        <f aca="false">Report!C266</f>
        <v>46210</v>
      </c>
      <c r="B167" s="1" t="str">
        <f aca="false">Report!E266</f>
        <v>L S M COMERCIO DE ALIMENTOS E NAVEGACAO</v>
      </c>
      <c r="C167" s="17" t="n">
        <f aca="false">Report!U266</f>
        <v>1244.8</v>
      </c>
      <c r="D167" s="1" t="str">
        <f aca="false">Report!X266</f>
        <v>NF 304174 2/3 - ALICIA</v>
      </c>
    </row>
    <row r="168" customFormat="false" ht="12.75" hidden="false" customHeight="true" outlineLevel="0" collapsed="false">
      <c r="A168" s="15" t="n">
        <f aca="false">Report!C267</f>
        <v>46210</v>
      </c>
      <c r="B168" s="1" t="str">
        <f aca="false">Report!E267</f>
        <v>VIA CERTA IMPORTACAO E DISTRIBUICAO DE A</v>
      </c>
      <c r="C168" s="17" t="n">
        <f aca="false">Report!U267</f>
        <v>991.48</v>
      </c>
      <c r="D168" s="1" t="str">
        <f aca="false">Report!X267</f>
        <v>NF 49883 2/3 - ALICIA </v>
      </c>
    </row>
    <row r="169" customFormat="false" ht="12.75" hidden="false" customHeight="true" outlineLevel="0" collapsed="false">
      <c r="A169" s="15" t="n">
        <f aca="false">Report!C268</f>
        <v>46210</v>
      </c>
      <c r="B169" s="1" t="str">
        <f aca="false">Report!E268</f>
        <v>AGM COMERCIO E DISTRIBUIDORA DE MATERIAS DE PERFUMARIA E LIMPEZA LTDA</v>
      </c>
      <c r="C169" s="17" t="n">
        <f aca="false">Report!U268</f>
        <v>870.75</v>
      </c>
      <c r="D169" s="1" t="str">
        <f aca="false">Report!X268</f>
        <v>NF 160778 2/4 - ALICIA </v>
      </c>
    </row>
    <row r="170" customFormat="false" ht="12.75" hidden="false" customHeight="true" outlineLevel="0" collapsed="false">
      <c r="A170" s="15" t="n">
        <f aca="false">Report!C269</f>
        <v>46210</v>
      </c>
      <c r="B170" s="1" t="str">
        <f aca="false">Report!E269</f>
        <v>DURAES DISTRIBUIDORA DE ESTIVAS LTDA</v>
      </c>
      <c r="C170" s="17" t="n">
        <f aca="false">Report!U269</f>
        <v>858.24</v>
      </c>
      <c r="D170" s="1" t="str">
        <f aca="false">Report!X269</f>
        <v>NF 645768 2/3 - ALICIA </v>
      </c>
    </row>
    <row r="171" customFormat="false" ht="12.75" hidden="false" customHeight="true" outlineLevel="0" collapsed="false">
      <c r="A171" s="15" t="n">
        <f aca="false">Report!C270</f>
        <v>46210</v>
      </c>
      <c r="B171" s="1" t="str">
        <f aca="false">Report!E270</f>
        <v>MARE DISTRIBUIDORA DE BEBIDAS E DE PRODUTOS ALIMENTICIOS LTDA</v>
      </c>
      <c r="C171" s="17" t="n">
        <f aca="false">Report!U270</f>
        <v>210</v>
      </c>
      <c r="D171" s="1" t="str">
        <f aca="false">Report!X270</f>
        <v>NF 1371725 2/2 - ALICIA</v>
      </c>
    </row>
    <row r="172" customFormat="false" ht="12.75" hidden="false" customHeight="true" outlineLevel="0" collapsed="false">
      <c r="A172" s="15" t="n">
        <f aca="false">Report!C271</f>
        <v>46210</v>
      </c>
      <c r="B172" s="1" t="str">
        <f aca="false">Report!E271</f>
        <v>GONCALES COMER DE HORT GRANJEIROS EIRELI</v>
      </c>
      <c r="C172" s="17" t="n">
        <f aca="false">Report!U271</f>
        <v>137.5</v>
      </c>
      <c r="D172" s="1" t="str">
        <f aca="false">Report!X271</f>
        <v>NF 39327 1/1 - ALICIA</v>
      </c>
    </row>
    <row r="173" customFormat="false" ht="12.75" hidden="false" customHeight="true" outlineLevel="0" collapsed="false">
      <c r="A173" s="15" t="n">
        <f aca="false">Report!C272</f>
        <v>46210</v>
      </c>
      <c r="B173" s="1" t="str">
        <f aca="false">Report!E272</f>
        <v>GONCALES COMER DE HORT GRANJEIROS EIRELI</v>
      </c>
      <c r="C173" s="17" t="n">
        <f aca="false">Report!U272</f>
        <v>105</v>
      </c>
      <c r="D173" s="1" t="str">
        <f aca="false">Report!X272</f>
        <v>NF 2414 1/1 - ALICIA</v>
      </c>
    </row>
    <row r="174" customFormat="false" ht="12.75" hidden="false" customHeight="true" outlineLevel="0" collapsed="false">
      <c r="A174" s="15" t="n">
        <f aca="false">Report!C273</f>
        <v>46210</v>
      </c>
      <c r="B174" s="1" t="str">
        <f aca="false">Report!E273</f>
        <v>BRAGA TABACARIA EIRELI ME</v>
      </c>
      <c r="C174" s="17" t="n">
        <f aca="false">Report!U273</f>
        <v>521.46</v>
      </c>
      <c r="D174" s="1" t="str">
        <f aca="false">Report!X273</f>
        <v>NF 18793 2/3 - ALICIA </v>
      </c>
    </row>
    <row r="175" customFormat="false" ht="12.75" hidden="false" customHeight="true" outlineLevel="0" collapsed="false">
      <c r="A175" s="15" t="n">
        <f aca="false">Report!C274</f>
        <v>46210</v>
      </c>
      <c r="B175" s="1" t="str">
        <f aca="false">Report!E274</f>
        <v>BRAGA TABACARIA EIRELI ME</v>
      </c>
      <c r="C175" s="17" t="n">
        <f aca="false">Report!U274</f>
        <v>126.96</v>
      </c>
      <c r="D175" s="1" t="str">
        <f aca="false">Report!X274</f>
        <v>S/NF COMPRAS BRAGA </v>
      </c>
    </row>
    <row r="176" customFormat="false" ht="12.75" hidden="false" customHeight="true" outlineLevel="0" collapsed="false">
      <c r="A176" s="15" t="n">
        <f aca="false">Report!C275</f>
        <v>46210</v>
      </c>
      <c r="B176" s="1" t="str">
        <f aca="false">Report!E275</f>
        <v>OLIVEIRA E SILVA LTDA</v>
      </c>
      <c r="C176" s="17" t="n">
        <f aca="false">Report!U275</f>
        <v>280</v>
      </c>
      <c r="D176" s="1" t="str">
        <f aca="false">Report!X275</f>
        <v>COMPRAS ACAI PGT PIX:92991892419 NAILSON GARCES</v>
      </c>
    </row>
    <row r="177" customFormat="false" ht="12.75" hidden="false" customHeight="true" outlineLevel="0" collapsed="false">
      <c r="A177" s="15" t="n">
        <f aca="false">Report!C276</f>
        <v>46210</v>
      </c>
      <c r="B177" s="1" t="str">
        <f aca="false">Report!E276</f>
        <v>OLIVEIRA E SILVA LTDA</v>
      </c>
      <c r="C177" s="17" t="n">
        <f aca="false">Report!U276</f>
        <v>1190</v>
      </c>
      <c r="D177" s="1" t="str">
        <f aca="false">Report!X276</f>
        <v>COMPRAS JOSE FARINHA PGT PIX</v>
      </c>
    </row>
    <row r="178" customFormat="false" ht="12.75" hidden="false" customHeight="true" outlineLevel="0" collapsed="false">
      <c r="A178" s="15" t="n">
        <f aca="false">Report!C277</f>
        <v>46210</v>
      </c>
      <c r="B178" s="1" t="str">
        <f aca="false">Report!E277</f>
        <v>OLIVEIRA E SILVA LTDA</v>
      </c>
      <c r="C178" s="17" t="n">
        <f aca="false">Report!U277</f>
        <v>1615</v>
      </c>
      <c r="D178" s="1" t="str">
        <f aca="false">Report!X277</f>
        <v>COMPRAS CARLOS VERDURAS - ALICIA </v>
      </c>
    </row>
    <row r="179" customFormat="false" ht="12.75" hidden="false" customHeight="true" outlineLevel="0" collapsed="false">
      <c r="A179" s="15" t="n">
        <f aca="false">Report!C278</f>
        <v>46210</v>
      </c>
      <c r="B179" s="1" t="str">
        <f aca="false">Report!E278</f>
        <v>CINTIA MACIEL PEREIRA SANTOS 95986138287</v>
      </c>
      <c r="C179" s="17" t="n">
        <f aca="false">Report!U278</f>
        <v>931.6</v>
      </c>
      <c r="D179" s="1" t="str">
        <f aca="false">Report!X278</f>
        <v>NF 1354 1/1 - ALICIA </v>
      </c>
    </row>
    <row r="180" customFormat="false" ht="12.75" hidden="false" customHeight="true" outlineLevel="0" collapsed="false">
      <c r="A180" s="15" t="n">
        <f aca="false">Report!C279</f>
        <v>46210</v>
      </c>
      <c r="B180" s="1" t="str">
        <f aca="false">Report!E279</f>
        <v>COMPRAS NA PORTA AVULSO</v>
      </c>
      <c r="C180" s="17" t="n">
        <f aca="false">Report!U279</f>
        <v>400</v>
      </c>
      <c r="D180" s="1" t="str">
        <f aca="false">Report!X279</f>
        <v>S/NF COMPRAS HARINA  PAN </v>
      </c>
    </row>
    <row r="181" customFormat="false" ht="12.75" hidden="false" customHeight="true" outlineLevel="0" collapsed="false">
      <c r="A181" s="15" t="n">
        <f aca="false">Report!C280</f>
        <v>46210</v>
      </c>
      <c r="B181" s="1" t="str">
        <f aca="false">Report!E280</f>
        <v>COMERCIO DE FRIOS MANAUS LTDA</v>
      </c>
      <c r="C181" s="17" t="n">
        <f aca="false">Report!U280</f>
        <v>3578.4</v>
      </c>
      <c r="D181" s="1" t="str">
        <f aca="false">Report!X280</f>
        <v>NF 172079 1/1 - ALICIA </v>
      </c>
    </row>
    <row r="182" customFormat="false" ht="12.75" hidden="false" customHeight="true" outlineLevel="0" collapsed="false">
      <c r="A182" s="15" t="n">
        <f aca="false">Report!C281</f>
        <v>46210</v>
      </c>
      <c r="B182" s="1" t="str">
        <f aca="false">Report!E281</f>
        <v>OLIVEIRA E SILVA LTDA</v>
      </c>
      <c r="C182" s="17" t="n">
        <f aca="false">Report!U281</f>
        <v>280</v>
      </c>
      <c r="D182" s="1" t="str">
        <f aca="false">Report!X281</f>
        <v>COMPRAS ACAI PIX:92991892419 NAILSON GARCES</v>
      </c>
    </row>
    <row r="183" customFormat="false" ht="12.75" hidden="false" customHeight="true" outlineLevel="0" collapsed="false">
      <c r="A183" s="15" t="n">
        <f aca="false">Report!C282</f>
        <v>46210</v>
      </c>
      <c r="B183" s="1" t="str">
        <f aca="false">Report!E282</f>
        <v>ALIANCA SERVICO E CLIMATIZACAO </v>
      </c>
      <c r="C183" s="17" t="n">
        <f aca="false">Report!U282</f>
        <v>2754</v>
      </c>
      <c r="D183" s="1" t="str">
        <f aca="false">Report!X282</f>
        <v>NFe 18 - MANUTENCAO AR CONDICIONADOS </v>
      </c>
    </row>
    <row r="184" customFormat="false" ht="12.75" hidden="false" customHeight="true" outlineLevel="0" collapsed="false">
      <c r="A184" s="15" t="n">
        <f aca="false">Report!C283</f>
        <v>46210</v>
      </c>
      <c r="B184" s="1" t="str">
        <f aca="false">Report!E283</f>
        <v>COMERCIO E TRANSPORTE BRANDAO LTDA</v>
      </c>
      <c r="C184" s="17" t="n">
        <f aca="false">Report!U283</f>
        <v>440</v>
      </c>
      <c r="D184" s="1" t="str">
        <f aca="false">Report!X283</f>
        <v>NF 14792 1/1 - COMPRAS CARLOS VERDURAS </v>
      </c>
    </row>
    <row r="185" customFormat="false" ht="12.75" hidden="false" customHeight="true" outlineLevel="0" collapsed="false">
      <c r="A185" s="15" t="n">
        <f aca="false">Report!C284</f>
        <v>46210</v>
      </c>
      <c r="B185" s="1" t="str">
        <f aca="false">Report!E284</f>
        <v>COMERCIO E TRANSPORTE BRANDAO LTDA</v>
      </c>
      <c r="C185" s="17" t="n">
        <f aca="false">Report!U284</f>
        <v>440</v>
      </c>
      <c r="D185" s="1" t="str">
        <f aca="false">Report!X284</f>
        <v>S/NF COMPRAS QUEIJO E CAMARAO CARLOS VERDURAS - ALICIA </v>
      </c>
    </row>
    <row r="186" customFormat="false" ht="12.75" hidden="false" customHeight="true" outlineLevel="0" collapsed="false">
      <c r="A186" s="15" t="n">
        <f aca="false">Report!C285</f>
        <v>46210</v>
      </c>
      <c r="B186" s="1" t="str">
        <f aca="false">Report!E285</f>
        <v>OLIVEIRA E SILVA LTDA</v>
      </c>
      <c r="C186" s="17" t="n">
        <f aca="false">Report!U285</f>
        <v>105</v>
      </c>
      <c r="D186" s="1" t="str">
        <f aca="false">Report!X285</f>
        <v>COMPRAS CHEIRO VERDE</v>
      </c>
    </row>
    <row r="187" customFormat="false" ht="12.75" hidden="false" customHeight="true" outlineLevel="0" collapsed="false">
      <c r="A187" s="15" t="n">
        <f aca="false">Report!C286</f>
        <v>46210</v>
      </c>
      <c r="B187" s="1" t="str">
        <f aca="false">Report!E286</f>
        <v>OLIVEIRA E SILVA LTDA</v>
      </c>
      <c r="C187" s="17" t="n">
        <f aca="false">Report!U286</f>
        <v>280</v>
      </c>
      <c r="D187" s="1" t="str">
        <f aca="false">Report!X286</f>
        <v>COMPRAS ACAI DE ANORI</v>
      </c>
    </row>
    <row r="188" customFormat="false" ht="12.75" hidden="false" customHeight="true" outlineLevel="0" collapsed="false">
      <c r="A188" s="15" t="n">
        <f aca="false">Report!C288</f>
        <v>46210</v>
      </c>
      <c r="B188" s="1" t="str">
        <f aca="false">Report!E288</f>
        <v>60.729.628 LAURENA NUNES CALIXTO</v>
      </c>
      <c r="C188" s="17" t="n">
        <f aca="false">Report!U288</f>
        <v>270</v>
      </c>
      <c r="D188" s="1" t="str">
        <f aca="false">Report!X288</f>
        <v>COMPRAS BRIGADEIRO </v>
      </c>
    </row>
    <row r="189" customFormat="false" ht="12.75" hidden="false" customHeight="true" outlineLevel="0" collapsed="false">
      <c r="A189" s="15" t="n">
        <f aca="false">Report!C289</f>
        <v>46211</v>
      </c>
      <c r="B189" s="1" t="str">
        <f aca="false">Report!E289</f>
        <v>MAXFRI DISTRIUIDORA LTDA</v>
      </c>
      <c r="C189" s="17" t="n">
        <f aca="false">Report!U289</f>
        <v>5950.93</v>
      </c>
      <c r="D189" s="1" t="str">
        <f aca="false">Report!X289</f>
        <v>NF 14528 2/2 - ALICIA</v>
      </c>
    </row>
    <row r="190" customFormat="false" ht="12.75" hidden="false" customHeight="true" outlineLevel="0" collapsed="false">
      <c r="A190" s="15" t="n">
        <f aca="false">Report!C290</f>
        <v>46211</v>
      </c>
      <c r="B190" s="1" t="str">
        <f aca="false">Report!E290</f>
        <v>OLIVEIRA E SILVA LTDA</v>
      </c>
      <c r="C190" s="17" t="n">
        <f aca="false">Report!U290</f>
        <v>240</v>
      </c>
      <c r="D190" s="1" t="str">
        <f aca="false">Report!X290</f>
        <v>COMPRAS BANANAS </v>
      </c>
    </row>
    <row r="191" customFormat="false" ht="12.75" hidden="false" customHeight="true" outlineLevel="0" collapsed="false">
      <c r="A191" s="15" t="n">
        <f aca="false">Report!C291</f>
        <v>46211</v>
      </c>
      <c r="B191" s="1" t="str">
        <f aca="false">Report!E291</f>
        <v>OLIVEIRA E SILVA LTDA</v>
      </c>
      <c r="C191" s="17" t="n">
        <f aca="false">Report!U291</f>
        <v>110</v>
      </c>
      <c r="D191" s="1" t="str">
        <f aca="false">Report!X291</f>
        <v>COMPRAS CHEIRO VERDE</v>
      </c>
    </row>
    <row r="192" customFormat="false" ht="12.75" hidden="false" customHeight="true" outlineLevel="0" collapsed="false">
      <c r="A192" s="15" t="n">
        <f aca="false">Report!C292</f>
        <v>46211</v>
      </c>
      <c r="B192" s="1" t="str">
        <f aca="false">Report!E292</f>
        <v>JUROS A FORNECEDOR</v>
      </c>
      <c r="C192" s="17" t="n">
        <f aca="false">Report!U292</f>
        <v>376.09</v>
      </c>
      <c r="D192" s="1" t="str">
        <f aca="false">Report!X292</f>
        <v>JUROS FORNECEDORES MO4-ANDREZA</v>
      </c>
    </row>
    <row r="193" customFormat="false" ht="12.75" hidden="false" customHeight="true" outlineLevel="0" collapsed="false">
      <c r="A193" s="15" t="n">
        <f aca="false">Report!C293</f>
        <v>46212</v>
      </c>
      <c r="B193" s="1" t="str">
        <f aca="false">Report!E293</f>
        <v>COMERCIO DE FRIOS MANAUS LTDA</v>
      </c>
      <c r="C193" s="17" t="n">
        <f aca="false">Report!U293</f>
        <v>8101.7</v>
      </c>
      <c r="D193" s="1" t="str">
        <f aca="false">Report!X293</f>
        <v>NF 172261 1/1 - ALICIA </v>
      </c>
    </row>
    <row r="194" customFormat="false" ht="12.75" hidden="false" customHeight="true" outlineLevel="0" collapsed="false">
      <c r="A194" s="15" t="n">
        <f aca="false">Report!C294</f>
        <v>46212</v>
      </c>
      <c r="B194" s="1" t="str">
        <f aca="false">Report!E294</f>
        <v>BRASIL NORTE BEBIDAS S/A</v>
      </c>
      <c r="C194" s="17" t="n">
        <f aca="false">Report!U294</f>
        <v>5599.16</v>
      </c>
      <c r="D194" s="1" t="str">
        <f aca="false">Report!X294</f>
        <v>NF 1909041 1/1 - ALICIA </v>
      </c>
    </row>
    <row r="195" customFormat="false" ht="12.75" hidden="false" customHeight="true" outlineLevel="0" collapsed="false">
      <c r="A195" s="15" t="n">
        <f aca="false">Report!C295</f>
        <v>46212</v>
      </c>
      <c r="B195" s="1" t="str">
        <f aca="false">Report!E295</f>
        <v>OLIVEIRA E SILVA LTDA</v>
      </c>
      <c r="C195" s="17" t="n">
        <f aca="false">Report!U295</f>
        <v>65</v>
      </c>
      <c r="D195" s="1" t="str">
        <f aca="false">Report!X295</f>
        <v>COMPRAS CHEIRO VERDE </v>
      </c>
    </row>
    <row r="196" customFormat="false" ht="12.75" hidden="false" customHeight="true" outlineLevel="0" collapsed="false">
      <c r="A196" s="15" t="n">
        <f aca="false">Report!C296</f>
        <v>46212</v>
      </c>
      <c r="B196" s="1" t="str">
        <f aca="false">Report!E296</f>
        <v>JUROS A FORNECEDOR</v>
      </c>
      <c r="C196" s="17" t="n">
        <f aca="false">Report!U296</f>
        <v>191.58</v>
      </c>
      <c r="D196" s="1" t="str">
        <f aca="false">Report!X296</f>
        <v>JUROS FORNECEDORES NO4-ANDREZA</v>
      </c>
    </row>
    <row r="197" customFormat="false" ht="12.75" hidden="false" customHeight="true" outlineLevel="0" collapsed="false">
      <c r="A197" s="15" t="n">
        <f aca="false">Report!C297</f>
        <v>46213</v>
      </c>
      <c r="B197" s="1" t="str">
        <f aca="false">Report!E297</f>
        <v>BRAGA DIST. E COM. DE PROD. ALIMENT</v>
      </c>
      <c r="C197" s="17" t="n">
        <f aca="false">Report!U297</f>
        <v>835.77</v>
      </c>
      <c r="D197" s="1" t="str">
        <f aca="false">Report!X297</f>
        <v>NF 18657 3/3 - ALICIA</v>
      </c>
    </row>
    <row r="198" customFormat="false" ht="12.75" hidden="false" customHeight="true" outlineLevel="0" collapsed="false">
      <c r="A198" s="15" t="n">
        <f aca="false">Report!C299</f>
        <v>46213</v>
      </c>
      <c r="B198" s="1" t="str">
        <f aca="false">Report!E299</f>
        <v>SL DISTRIBUIDORA COM. DE PROD. ALIMENTIC</v>
      </c>
      <c r="C198" s="17" t="n">
        <f aca="false">Report!U299</f>
        <v>593.7</v>
      </c>
      <c r="D198" s="1" t="str">
        <f aca="false">Report!X299</f>
        <v>NF 10244 3/4 - ALICIA </v>
      </c>
    </row>
    <row r="199" customFormat="false" ht="12.75" hidden="false" customHeight="true" outlineLevel="0" collapsed="false">
      <c r="A199" s="15" t="n">
        <f aca="false">Report!C300</f>
        <v>46213</v>
      </c>
      <c r="B199" s="1" t="str">
        <f aca="false">Report!E300</f>
        <v>MARTINS COM SERV DISTR SA</v>
      </c>
      <c r="C199" s="17" t="n">
        <f aca="false">Report!U300</f>
        <v>398.46</v>
      </c>
      <c r="D199" s="1" t="str">
        <f aca="false">Report!X300</f>
        <v>NF 1770429 3/3 - ALICIA </v>
      </c>
    </row>
    <row r="200" customFormat="false" ht="12.75" hidden="false" customHeight="true" outlineLevel="0" collapsed="false">
      <c r="A200" s="15" t="n">
        <f aca="false">Report!C301</f>
        <v>46213</v>
      </c>
      <c r="B200" s="1" t="str">
        <f aca="false">Report!E301</f>
        <v>OCIDENTAL COMERCIO DE FRIOS LTDA</v>
      </c>
      <c r="C200" s="17" t="n">
        <f aca="false">Report!U301</f>
        <v>1155.4</v>
      </c>
      <c r="D200" s="1" t="str">
        <f aca="false">Report!X301</f>
        <v>NF 12345657 3/3 - ALICIA </v>
      </c>
    </row>
    <row r="201" customFormat="false" ht="12.75" hidden="false" customHeight="true" outlineLevel="0" collapsed="false">
      <c r="A201" s="15" t="n">
        <f aca="false">Report!C302</f>
        <v>46213</v>
      </c>
      <c r="B201" s="1" t="str">
        <f aca="false">Report!E302</f>
        <v>TRES CORACOES ALIMENTOS S.A.</v>
      </c>
      <c r="C201" s="17" t="n">
        <f aca="false">Report!U302</f>
        <v>1108.39</v>
      </c>
      <c r="D201" s="1" t="str">
        <f aca="false">Report!X302</f>
        <v>NF 346035 3/3 - ALICIA </v>
      </c>
    </row>
    <row r="202" customFormat="false" ht="12.75" hidden="false" customHeight="true" outlineLevel="0" collapsed="false">
      <c r="A202" s="15" t="n">
        <f aca="false">Report!C303</f>
        <v>46213</v>
      </c>
      <c r="B202" s="1" t="str">
        <f aca="false">Report!E303</f>
        <v>J G COMERCIO DE PRODUTOS ALIMENTICIOS LTDA</v>
      </c>
      <c r="C202" s="17" t="n">
        <f aca="false">Report!U303</f>
        <v>2315.5</v>
      </c>
      <c r="D202" s="1" t="str">
        <f aca="false">Report!X303</f>
        <v>NF 386569 3/3 - ALICIA</v>
      </c>
    </row>
    <row r="203" customFormat="false" ht="12.75" hidden="false" customHeight="true" outlineLevel="0" collapsed="false">
      <c r="A203" s="15" t="n">
        <f aca="false">Report!C304</f>
        <v>46213</v>
      </c>
      <c r="B203" s="1" t="str">
        <f aca="false">Report!E304</f>
        <v>MARE DISTRIBUIDORA DE BEBIDAS E DE PRODUTOS ALIMENTICIOS LTDA</v>
      </c>
      <c r="C203" s="17" t="n">
        <f aca="false">Report!U304</f>
        <v>661.25</v>
      </c>
      <c r="D203" s="1" t="str">
        <f aca="false">Report!X304</f>
        <v>NF 1372173 2/2 - ALICIA</v>
      </c>
    </row>
    <row r="204" customFormat="false" ht="12.75" hidden="false" customHeight="true" outlineLevel="0" collapsed="false">
      <c r="A204" s="15" t="n">
        <f aca="false">Report!C305</f>
        <v>46213</v>
      </c>
      <c r="B204" s="1" t="str">
        <f aca="false">Report!E305</f>
        <v>BF COMERCIO DE ALIMENTOS REPRESENTACAO L</v>
      </c>
      <c r="C204" s="17" t="n">
        <f aca="false">Report!U305</f>
        <v>442.01</v>
      </c>
      <c r="D204" s="1" t="str">
        <f aca="false">Report!X305</f>
        <v>NF 20916 2/3 - ALICIA </v>
      </c>
    </row>
    <row r="205" customFormat="false" ht="12.75" hidden="false" customHeight="true" outlineLevel="0" collapsed="false">
      <c r="A205" s="15" t="n">
        <f aca="false">Report!C306</f>
        <v>46213</v>
      </c>
      <c r="B205" s="1" t="str">
        <f aca="false">Report!E306</f>
        <v>FENNIX BRASIL DISTRIBUIDORA DE PRODUTOS</v>
      </c>
      <c r="C205" s="17" t="n">
        <f aca="false">Report!U306</f>
        <v>412.49</v>
      </c>
      <c r="D205" s="1" t="str">
        <f aca="false">Report!X306</f>
        <v>NF 395087 2/3 - ALICIA</v>
      </c>
    </row>
    <row r="206" customFormat="false" ht="12.75" hidden="false" customHeight="true" outlineLevel="0" collapsed="false">
      <c r="A206" s="15" t="n">
        <f aca="false">Report!C307</f>
        <v>46213</v>
      </c>
      <c r="B206" s="1" t="str">
        <f aca="false">Report!E307</f>
        <v>OCIDENTAL COMERCIO DE FRIOS LTDA</v>
      </c>
      <c r="C206" s="17" t="n">
        <f aca="false">Report!U307</f>
        <v>930.35</v>
      </c>
      <c r="D206" s="1" t="str">
        <f aca="false">Report!X307</f>
        <v>NF 1238202 2/3 - ALICIA </v>
      </c>
    </row>
    <row r="207" customFormat="false" ht="12.75" hidden="false" customHeight="true" outlineLevel="0" collapsed="false">
      <c r="A207" s="15" t="n">
        <f aca="false">Report!C308</f>
        <v>46213</v>
      </c>
      <c r="B207" s="1" t="str">
        <f aca="false">Report!E308</f>
        <v>BRF S A</v>
      </c>
      <c r="C207" s="17" t="n">
        <f aca="false">Report!U308</f>
        <v>2027.28</v>
      </c>
      <c r="D207" s="1" t="str">
        <f aca="false">Report!X308</f>
        <v>NF 1598348 3/3 - ALICIA </v>
      </c>
    </row>
    <row r="208" customFormat="false" ht="12.75" hidden="false" customHeight="true" outlineLevel="0" collapsed="false">
      <c r="A208" s="15" t="n">
        <f aca="false">Report!C309</f>
        <v>46213</v>
      </c>
      <c r="B208" s="1" t="str">
        <f aca="false">Report!E309</f>
        <v>MARTINS COM SERV DISTR SA</v>
      </c>
      <c r="C208" s="17" t="n">
        <f aca="false">Report!U309</f>
        <v>393.5</v>
      </c>
      <c r="D208" s="1" t="str">
        <f aca="false">Report!X309</f>
        <v>NF 1773256 2/3 - ALICIA </v>
      </c>
    </row>
    <row r="209" customFormat="false" ht="12.75" hidden="false" customHeight="true" outlineLevel="0" collapsed="false">
      <c r="A209" s="15" t="n">
        <f aca="false">Report!C310</f>
        <v>46213</v>
      </c>
      <c r="B209" s="1" t="str">
        <f aca="false">Report!E310</f>
        <v>NESTLÉ BRASIL LTDA.</v>
      </c>
      <c r="C209" s="17" t="n">
        <f aca="false">Report!U310</f>
        <v>388.89</v>
      </c>
      <c r="D209" s="1" t="str">
        <f aca="false">Report!X310</f>
        <v>NF 1418633 1/1 - ALICIA </v>
      </c>
    </row>
    <row r="210" customFormat="false" ht="12.75" hidden="false" customHeight="true" outlineLevel="0" collapsed="false">
      <c r="A210" s="15" t="n">
        <f aca="false">Report!C311</f>
        <v>46213</v>
      </c>
      <c r="B210" s="1" t="str">
        <f aca="false">Report!E311</f>
        <v>MARE DISTRIBUIDORA DE BEBIDAS E DE PRODUTOS ALIMENTICIOS LTDA</v>
      </c>
      <c r="C210" s="17" t="n">
        <f aca="false">Report!U311</f>
        <v>696.25</v>
      </c>
      <c r="D210" s="1" t="str">
        <f aca="false">Report!X311</f>
        <v>NF 1376471 1/2 - ALICIA </v>
      </c>
    </row>
    <row r="211" customFormat="false" ht="12.75" hidden="false" customHeight="true" outlineLevel="0" collapsed="false">
      <c r="A211" s="15" t="n">
        <f aca="false">Report!C312</f>
        <v>46213</v>
      </c>
      <c r="B211" s="1" t="str">
        <f aca="false">Report!E312</f>
        <v>OCIDENTAL COMERCIO DE FRIOS LTDA</v>
      </c>
      <c r="C211" s="17" t="n">
        <f aca="false">Report!U312</f>
        <v>742.54</v>
      </c>
      <c r="D211" s="1" t="str">
        <f aca="false">Report!X312</f>
        <v>NF 1240473 1/3 - ALICIA</v>
      </c>
    </row>
    <row r="212" customFormat="false" ht="12.75" hidden="false" customHeight="true" outlineLevel="0" collapsed="false">
      <c r="A212" s="15" t="n">
        <f aca="false">Report!C313</f>
        <v>46213</v>
      </c>
      <c r="B212" s="1" t="str">
        <f aca="false">Report!E313</f>
        <v>J G COMERCIO DE PRODUTOS ALIMENTICIOS LTDA</v>
      </c>
      <c r="C212" s="17" t="n">
        <f aca="false">Report!U313</f>
        <v>1235.15</v>
      </c>
      <c r="D212" s="1" t="str">
        <f aca="false">Report!X313</f>
        <v>NF 388917 1/3 - ALICIA </v>
      </c>
    </row>
    <row r="213" customFormat="false" ht="12.75" hidden="false" customHeight="true" outlineLevel="0" collapsed="false">
      <c r="A213" s="15" t="n">
        <f aca="false">Report!C314</f>
        <v>46213</v>
      </c>
      <c r="B213" s="1" t="str">
        <f aca="false">Report!E314</f>
        <v>MARE DISTRIBUIDORA DE BEBIDAS E DE PRODUTOS ALIMENTICIOS LTDA</v>
      </c>
      <c r="C213" s="17" t="n">
        <f aca="false">Report!U314</f>
        <v>956.15</v>
      </c>
      <c r="D213" s="1" t="str">
        <f aca="false">Report!X314</f>
        <v>NF 1379833 1/2 - ALICIA </v>
      </c>
    </row>
    <row r="214" customFormat="false" ht="12.75" hidden="false" customHeight="true" outlineLevel="0" collapsed="false">
      <c r="A214" s="15" t="n">
        <f aca="false">Report!C315</f>
        <v>46213</v>
      </c>
      <c r="B214" s="1" t="str">
        <f aca="false">Report!E315</f>
        <v>COMERCIO DE FRIOS MANAUS LTDA</v>
      </c>
      <c r="C214" s="17" t="n">
        <f aca="false">Report!U315</f>
        <v>3672</v>
      </c>
      <c r="D214" s="1" t="str">
        <f aca="false">Report!X315</f>
        <v>NF 172209 1/1 - ALICIA </v>
      </c>
    </row>
    <row r="215" customFormat="false" ht="12.75" hidden="false" customHeight="true" outlineLevel="0" collapsed="false">
      <c r="A215" s="15" t="n">
        <f aca="false">Report!C316</f>
        <v>46213</v>
      </c>
      <c r="B215" s="1" t="str">
        <f aca="false">Report!E316</f>
        <v>COMERCIO DE FRIOS MANAUS LTDA</v>
      </c>
      <c r="C215" s="17" t="n">
        <f aca="false">Report!U316</f>
        <v>2176</v>
      </c>
      <c r="D215" s="1" t="str">
        <f aca="false">Report!X316</f>
        <v>NF 172145 1/1 - ALICIA</v>
      </c>
    </row>
    <row r="216" customFormat="false" ht="12.75" hidden="false" customHeight="true" outlineLevel="0" collapsed="false">
      <c r="A216" s="15" t="n">
        <f aca="false">Report!C317</f>
        <v>46213</v>
      </c>
      <c r="B216" s="1" t="str">
        <f aca="false">Report!E317</f>
        <v>SILVA E SANTOS FRIGORIFICO LTDA</v>
      </c>
      <c r="C216" s="17" t="n">
        <f aca="false">Report!U317</f>
        <v>1307.95</v>
      </c>
      <c r="D216" s="1" t="str">
        <f aca="false">Report!X317</f>
        <v>NF 31454 1/1 - ALICIA </v>
      </c>
    </row>
    <row r="217" customFormat="false" ht="12.75" hidden="false" customHeight="true" outlineLevel="0" collapsed="false">
      <c r="A217" s="15" t="n">
        <f aca="false">Report!C318</f>
        <v>46213</v>
      </c>
      <c r="B217" s="1" t="str">
        <f aca="false">Report!E318</f>
        <v>SILVA E SANTOS FRIGORIFICO LTDA</v>
      </c>
      <c r="C217" s="17" t="n">
        <f aca="false">Report!U318</f>
        <v>2224</v>
      </c>
      <c r="D217" s="1" t="str">
        <f aca="false">Report!X318</f>
        <v>NF 31455 1/1 - ALICIA </v>
      </c>
    </row>
    <row r="218" customFormat="false" ht="12.75" hidden="false" customHeight="true" outlineLevel="0" collapsed="false">
      <c r="A218" s="15" t="n">
        <f aca="false">Report!C319</f>
        <v>46213</v>
      </c>
      <c r="B218" s="1" t="str">
        <f aca="false">Report!E319</f>
        <v>BRASIL NORTE BEBIDAS S/A</v>
      </c>
      <c r="C218" s="17" t="n">
        <f aca="false">Report!U319</f>
        <v>1485.01</v>
      </c>
      <c r="D218" s="1" t="str">
        <f aca="false">Report!X319</f>
        <v>NF1181094 1/1 - ALICIA </v>
      </c>
    </row>
    <row r="219" customFormat="false" ht="12.75" hidden="false" customHeight="true" outlineLevel="0" collapsed="false">
      <c r="A219" s="15" t="n">
        <f aca="false">Report!C320</f>
        <v>46213</v>
      </c>
      <c r="B219" s="1" t="str">
        <f aca="false">Report!E320</f>
        <v>BRF S A</v>
      </c>
      <c r="C219" s="17" t="n">
        <f aca="false">Report!U320</f>
        <v>1398.81</v>
      </c>
      <c r="D219" s="1" t="str">
        <f aca="false">Report!X320</f>
        <v>NF 1602316 1/3 - ALICIA </v>
      </c>
    </row>
    <row r="220" customFormat="false" ht="12.75" hidden="false" customHeight="true" outlineLevel="0" collapsed="false">
      <c r="A220" s="15" t="n">
        <f aca="false">Report!C321</f>
        <v>46213</v>
      </c>
      <c r="B220" s="1" t="str">
        <f aca="false">Report!E321</f>
        <v>SOUZA CRUZ LTDA.</v>
      </c>
      <c r="C220" s="17" t="n">
        <f aca="false">Report!U321</f>
        <v>1891.66</v>
      </c>
      <c r="D220" s="1" t="str">
        <f aca="false">Report!X321</f>
        <v>NF 565626 1/2 - ALICIA </v>
      </c>
    </row>
    <row r="221" customFormat="false" ht="12.75" hidden="false" customHeight="true" outlineLevel="0" collapsed="false">
      <c r="A221" s="15" t="n">
        <f aca="false">Report!C322</f>
        <v>46213</v>
      </c>
      <c r="B221" s="1" t="str">
        <f aca="false">Report!E322</f>
        <v>SILVA E SANTOS FRIGORIFICO LTDA</v>
      </c>
      <c r="C221" s="17" t="n">
        <f aca="false">Report!U322</f>
        <v>3294</v>
      </c>
      <c r="D221" s="1" t="str">
        <f aca="false">Report!X322</f>
        <v>NF 31558 1/1 - ALICIA</v>
      </c>
    </row>
    <row r="222" customFormat="false" ht="12.75" hidden="false" customHeight="true" outlineLevel="0" collapsed="false">
      <c r="A222" s="15" t="n">
        <f aca="false">Report!C323</f>
        <v>46213</v>
      </c>
      <c r="B222" s="1" t="str">
        <f aca="false">Report!E323</f>
        <v>JUROS A FORNECEDOR</v>
      </c>
      <c r="C222" s="17" t="n">
        <f aca="false">Report!U323</f>
        <v>619.13</v>
      </c>
      <c r="D222" s="1" t="str">
        <f aca="false">Report!X323</f>
        <v>JUROS FORNECEDORES MO4-ANDREZA</v>
      </c>
    </row>
    <row r="223" customFormat="false" ht="12.75" hidden="false" customHeight="true" outlineLevel="0" collapsed="false">
      <c r="A223" s="15" t="n">
        <f aca="false">Report!C324</f>
        <v>46213</v>
      </c>
      <c r="B223" s="1" t="str">
        <f aca="false">Report!E324</f>
        <v>J W N DOS SANTOS</v>
      </c>
      <c r="C223" s="17" t="n">
        <f aca="false">Report!U324</f>
        <v>784</v>
      </c>
      <c r="D223" s="1" t="str">
        <f aca="false">Report!X324</f>
        <v>compras carvao </v>
      </c>
    </row>
    <row r="224" customFormat="false" ht="12.75" hidden="false" customHeight="true" outlineLevel="0" collapsed="false">
      <c r="A224" s="15" t="n">
        <f aca="false">Report!C325</f>
        <v>46213</v>
      </c>
      <c r="B224" s="1" t="str">
        <f aca="false">Report!E325</f>
        <v>RAYANE DE JESUS DA SILVA  ALVES</v>
      </c>
      <c r="C224" s="17" t="n">
        <f aca="false">Report!U325</f>
        <v>54</v>
      </c>
      <c r="D224" s="1" t="str">
        <f aca="false">Report!X325</f>
        <v>NF 45 1/1 / COMPRAS TUCUPI - ALICIA</v>
      </c>
    </row>
    <row r="225" customFormat="false" ht="12.75" hidden="false" customHeight="true" outlineLevel="0" collapsed="false">
      <c r="A225" s="15" t="n">
        <f aca="false">Report!C326</f>
        <v>46214</v>
      </c>
      <c r="B225" s="1" t="str">
        <f aca="false">Report!E326</f>
        <v>ADRIANA DISTRIBUIDORA DE PRODUTOS ALIMEN</v>
      </c>
      <c r="C225" s="17" t="n">
        <f aca="false">Report!U326</f>
        <v>616.08</v>
      </c>
      <c r="D225" s="1" t="str">
        <f aca="false">Report!X326</f>
        <v>NF 870127 3/3 - ALICIA</v>
      </c>
    </row>
    <row r="226" customFormat="false" ht="12.75" hidden="false" customHeight="true" outlineLevel="0" collapsed="false">
      <c r="A226" s="15" t="n">
        <f aca="false">Report!C328</f>
        <v>46214</v>
      </c>
      <c r="B226" s="1" t="str">
        <f aca="false">Report!E328</f>
        <v>FH DE OLIVEIRA PEIXOTO - EIRELI</v>
      </c>
      <c r="C226" s="17" t="n">
        <f aca="false">Report!U328</f>
        <v>406.15</v>
      </c>
      <c r="D226" s="1" t="str">
        <f aca="false">Report!X328</f>
        <v>NF 189865 3/3 - ALICIA</v>
      </c>
    </row>
    <row r="227" customFormat="false" ht="12.75" hidden="false" customHeight="true" outlineLevel="0" collapsed="false">
      <c r="A227" s="15" t="n">
        <f aca="false">Report!C329</f>
        <v>46214</v>
      </c>
      <c r="B227" s="1" t="str">
        <f aca="false">Report!E329</f>
        <v>FH DE OLIVEIRA PEIXOTO - EIRELI</v>
      </c>
      <c r="C227" s="17" t="n">
        <f aca="false">Report!U329</f>
        <v>485.14</v>
      </c>
      <c r="D227" s="1" t="str">
        <f aca="false">Report!X329</f>
        <v>NF 189799 3/3 - ALICIA</v>
      </c>
    </row>
    <row r="228" customFormat="false" ht="12.75" hidden="false" customHeight="true" outlineLevel="0" collapsed="false">
      <c r="A228" s="15" t="n">
        <f aca="false">Report!C330</f>
        <v>46214</v>
      </c>
      <c r="B228" s="1" t="str">
        <f aca="false">Report!E330</f>
        <v>RISADINHA LTDA</v>
      </c>
      <c r="C228" s="17" t="n">
        <f aca="false">Report!U330</f>
        <v>653.4</v>
      </c>
      <c r="D228" s="1" t="str">
        <f aca="false">Report!X330</f>
        <v>NF 656174 4/4 - ALICIA</v>
      </c>
    </row>
    <row r="229" customFormat="false" ht="12.75" hidden="false" customHeight="true" outlineLevel="0" collapsed="false">
      <c r="A229" s="15" t="n">
        <f aca="false">Report!C331</f>
        <v>46214</v>
      </c>
      <c r="B229" s="1" t="str">
        <f aca="false">Report!E331</f>
        <v>EMPRESA BRASILEIRA DE DISTRIBUICAO LTDA</v>
      </c>
      <c r="C229" s="17" t="n">
        <f aca="false">Report!U331</f>
        <v>350</v>
      </c>
      <c r="D229" s="1" t="str">
        <f aca="false">Report!X331</f>
        <v>NF 2290883 3/3 - ALICIA </v>
      </c>
    </row>
    <row r="230" customFormat="false" ht="12.75" hidden="false" customHeight="true" outlineLevel="0" collapsed="false">
      <c r="A230" s="15" t="n">
        <f aca="false">Report!C332</f>
        <v>46214</v>
      </c>
      <c r="B230" s="1" t="str">
        <f aca="false">Report!E332</f>
        <v>DUNORTE DISTRIBUIDORA DE PRODUTOS DE CONSUMO LTDA</v>
      </c>
      <c r="C230" s="17" t="n">
        <f aca="false">Report!U332</f>
        <v>326.65</v>
      </c>
      <c r="D230" s="1" t="str">
        <f aca="false">Report!X332</f>
        <v>NF 3198534 4/4 - ALICIA </v>
      </c>
    </row>
    <row r="231" customFormat="false" ht="12.75" hidden="false" customHeight="true" outlineLevel="0" collapsed="false">
      <c r="A231" s="15" t="n">
        <f aca="false">Report!C333</f>
        <v>46214</v>
      </c>
      <c r="B231" s="1" t="str">
        <f aca="false">Report!E333</f>
        <v>EDMARA COMERCIO DE HIGIENE PESSOAL LTDA</v>
      </c>
      <c r="C231" s="17" t="n">
        <f aca="false">Report!U333</f>
        <v>496.04</v>
      </c>
      <c r="D231" s="1" t="str">
        <f aca="false">Report!X333</f>
        <v>NF 8058 3/3 - ALICIA </v>
      </c>
    </row>
    <row r="232" customFormat="false" ht="12.75" hidden="false" customHeight="true" outlineLevel="0" collapsed="false">
      <c r="A232" s="15" t="n">
        <f aca="false">Report!C334</f>
        <v>46214</v>
      </c>
      <c r="B232" s="1" t="str">
        <f aca="false">Report!E334</f>
        <v>FUNNY PET DISTRIBUIDORA DE ALIMENTOS PAR</v>
      </c>
      <c r="C232" s="17" t="n">
        <f aca="false">Report!U334</f>
        <v>227.28</v>
      </c>
      <c r="D232" s="1" t="str">
        <f aca="false">Report!X334</f>
        <v>NF 20265 2/4 - ALICIA </v>
      </c>
    </row>
    <row r="233" customFormat="false" ht="12.75" hidden="false" customHeight="true" outlineLevel="0" collapsed="false">
      <c r="A233" s="15" t="n">
        <f aca="false">Report!C335</f>
        <v>46214</v>
      </c>
      <c r="B233" s="1" t="str">
        <f aca="false">Report!E335</f>
        <v>CB COMERCIO E DISTRIBUIDORA DE ALIMENTOS</v>
      </c>
      <c r="C233" s="17" t="n">
        <f aca="false">Report!U335</f>
        <v>504.26</v>
      </c>
      <c r="D233" s="1" t="str">
        <f aca="false">Report!X335</f>
        <v>NF 843062 3/3 - ALICIA </v>
      </c>
    </row>
    <row r="234" customFormat="false" ht="12.75" hidden="false" customHeight="true" outlineLevel="0" collapsed="false">
      <c r="A234" s="15" t="n">
        <f aca="false">Report!C336</f>
        <v>46214</v>
      </c>
      <c r="B234" s="1" t="str">
        <f aca="false">Report!E336</f>
        <v>ADRIANA DISTRIBUIDORA DE PRODUTOS ALIMEN</v>
      </c>
      <c r="C234" s="17" t="n">
        <f aca="false">Report!U336</f>
        <v>427.88</v>
      </c>
      <c r="D234" s="1" t="str">
        <f aca="false">Report!X336</f>
        <v>NF 878235 2/2 - ALICIA</v>
      </c>
    </row>
    <row r="235" customFormat="false" ht="12.75" hidden="false" customHeight="true" outlineLevel="0" collapsed="false">
      <c r="A235" s="15" t="n">
        <f aca="false">Report!C337</f>
        <v>46214</v>
      </c>
      <c r="B235" s="1" t="str">
        <f aca="false">Report!E337</f>
        <v>J G COMERCIO DE PRODUTOS ALIMENTICIOS LTDA</v>
      </c>
      <c r="C235" s="17" t="n">
        <f aca="false">Report!U337</f>
        <v>369</v>
      </c>
      <c r="D235" s="1" t="str">
        <f aca="false">Report!X337</f>
        <v>NF 387572 2/3 - ALICIA</v>
      </c>
    </row>
    <row r="236" customFormat="false" ht="12.75" hidden="false" customHeight="true" outlineLevel="0" collapsed="false">
      <c r="A236" s="15" t="n">
        <f aca="false">Report!C338</f>
        <v>46214</v>
      </c>
      <c r="B236" s="1" t="str">
        <f aca="false">Report!E338</f>
        <v>DUNORTE DISTRIBUIDORA DE PRODUTOS DE CONSUMO LTDA</v>
      </c>
      <c r="C236" s="17" t="n">
        <f aca="false">Report!U338</f>
        <v>358.9</v>
      </c>
      <c r="D236" s="1" t="str">
        <f aca="false">Report!X338</f>
        <v>NF 3204267 2/4 - ALICIA</v>
      </c>
    </row>
    <row r="237" customFormat="false" ht="12.75" hidden="false" customHeight="true" outlineLevel="0" collapsed="false">
      <c r="A237" s="15" t="n">
        <f aca="false">Report!C339</f>
        <v>46214</v>
      </c>
      <c r="B237" s="1" t="str">
        <f aca="false">Report!E339</f>
        <v>TOYA INDUSTRIA E COMERCIO LTDA.</v>
      </c>
      <c r="C237" s="17" t="n">
        <f aca="false">Report!U339</f>
        <v>352.46</v>
      </c>
      <c r="D237" s="1" t="str">
        <f aca="false">Report!X339</f>
        <v>NF 253629 1/1 - ALICIA</v>
      </c>
    </row>
    <row r="238" customFormat="false" ht="12.75" hidden="false" customHeight="true" outlineLevel="0" collapsed="false">
      <c r="A238" s="15" t="n">
        <f aca="false">Report!C340</f>
        <v>46214</v>
      </c>
      <c r="B238" s="1" t="str">
        <f aca="false">Report!E340</f>
        <v>L S M COMERCIO DE ALIMENTOS E NAVEGACAO</v>
      </c>
      <c r="C238" s="17" t="n">
        <f aca="false">Report!U340</f>
        <v>391.4</v>
      </c>
      <c r="D238" s="1" t="str">
        <f aca="false">Report!X340</f>
        <v>NF 304792 2/3 - ALICIA</v>
      </c>
    </row>
    <row r="239" customFormat="false" ht="12.75" hidden="false" customHeight="true" outlineLevel="0" collapsed="false">
      <c r="A239" s="15" t="n">
        <f aca="false">Report!C342</f>
        <v>46214</v>
      </c>
      <c r="B239" s="1" t="str">
        <f aca="false">Report!E342</f>
        <v>H.V.M. XAVIER ALIMENTOS</v>
      </c>
      <c r="C239" s="17" t="n">
        <f aca="false">Report!U342</f>
        <v>320.4</v>
      </c>
      <c r="D239" s="1" t="str">
        <f aca="false">Report!X342</f>
        <v>NF 133055 1/1 - ALICIA </v>
      </c>
    </row>
    <row r="240" customFormat="false" ht="12.75" hidden="false" customHeight="true" outlineLevel="0" collapsed="false">
      <c r="A240" s="15" t="n">
        <f aca="false">Report!C343</f>
        <v>46214</v>
      </c>
      <c r="B240" s="1" t="str">
        <f aca="false">Report!E343</f>
        <v>DISTRIBUIDORA LOPES LTDA</v>
      </c>
      <c r="C240" s="17" t="n">
        <f aca="false">Report!U343</f>
        <v>338.66</v>
      </c>
      <c r="D240" s="1" t="str">
        <f aca="false">Report!X343</f>
        <v>NF 1678840 1/3 - ALICIA </v>
      </c>
    </row>
    <row r="241" customFormat="false" ht="12.75" hidden="false" customHeight="true" outlineLevel="0" collapsed="false">
      <c r="A241" s="15" t="n">
        <f aca="false">Report!C344</f>
        <v>46214</v>
      </c>
      <c r="B241" s="1" t="str">
        <f aca="false">Report!E344</f>
        <v>A M A DE LIMA FRIOS ME</v>
      </c>
      <c r="C241" s="17" t="n">
        <f aca="false">Report!U344</f>
        <v>431</v>
      </c>
      <c r="D241" s="1" t="str">
        <f aca="false">Report!X344</f>
        <v>NF 16675 2/2 - ALICIA </v>
      </c>
    </row>
    <row r="242" customFormat="false" ht="12.75" hidden="false" customHeight="true" outlineLevel="0" collapsed="false">
      <c r="A242" s="15" t="n">
        <f aca="false">Report!C345</f>
        <v>46214</v>
      </c>
      <c r="B242" s="1" t="str">
        <f aca="false">Report!E345</f>
        <v>DISTRIBUIDORA ESTRELA LTDA</v>
      </c>
      <c r="C242" s="17" t="n">
        <f aca="false">Report!U345</f>
        <v>534.8</v>
      </c>
      <c r="D242" s="1" t="str">
        <f aca="false">Report!X345</f>
        <v>NF 34237 1/1 - ALICIA</v>
      </c>
    </row>
    <row r="243" customFormat="false" ht="12.75" hidden="false" customHeight="true" outlineLevel="0" collapsed="false">
      <c r="A243" s="15" t="n">
        <f aca="false">Report!C346</f>
        <v>46214</v>
      </c>
      <c r="B243" s="1" t="str">
        <f aca="false">Report!E346</f>
        <v>T A DE MATTOS COMIM EIRELI</v>
      </c>
      <c r="C243" s="17" t="n">
        <f aca="false">Report!U346</f>
        <v>266</v>
      </c>
      <c r="D243" s="1" t="str">
        <f aca="false">Report!X346</f>
        <v>NF 10638 1/1 - ALICIA </v>
      </c>
    </row>
    <row r="244" customFormat="false" ht="12.75" hidden="false" customHeight="true" outlineLevel="0" collapsed="false">
      <c r="A244" s="15" t="n">
        <f aca="false">Report!C347</f>
        <v>46214</v>
      </c>
      <c r="B244" s="1" t="str">
        <f aca="false">Report!E347</f>
        <v>TOYA INDUSTRIA E COMERCIO LTDA.</v>
      </c>
      <c r="C244" s="17" t="n">
        <f aca="false">Report!U347</f>
        <v>324.28</v>
      </c>
      <c r="D244" s="1" t="str">
        <f aca="false">Report!X347</f>
        <v>NF 254081 2/2 - ALICIA </v>
      </c>
    </row>
    <row r="245" customFormat="false" ht="12.75" hidden="false" customHeight="true" outlineLevel="0" collapsed="false">
      <c r="A245" s="15" t="n">
        <f aca="false">Report!C348</f>
        <v>46214</v>
      </c>
      <c r="B245" s="1" t="str">
        <f aca="false">Report!E348</f>
        <v>VICTORIA COMERCIO INTERNACIONAL DE ALIME</v>
      </c>
      <c r="C245" s="17" t="n">
        <f aca="false">Report!U348</f>
        <v>431.88</v>
      </c>
      <c r="D245" s="1" t="str">
        <f aca="false">Report!X348</f>
        <v>NF 11957 2/3 - ALICIA </v>
      </c>
    </row>
    <row r="246" customFormat="false" ht="12.75" hidden="false" customHeight="true" outlineLevel="0" collapsed="false">
      <c r="A246" s="15" t="n">
        <f aca="false">Report!C349</f>
        <v>46214</v>
      </c>
      <c r="B246" s="1" t="str">
        <f aca="false">Report!E349</f>
        <v>DUBOM FRAC. E IND. DE CEREAIS LTDA EPP</v>
      </c>
      <c r="C246" s="17" t="n">
        <f aca="false">Report!U349</f>
        <v>637.32</v>
      </c>
      <c r="D246" s="1" t="str">
        <f aca="false">Report!X349</f>
        <v>NF 332759 1/3 - ALICIA </v>
      </c>
    </row>
    <row r="247" customFormat="false" ht="12.75" hidden="false" customHeight="true" outlineLevel="0" collapsed="false">
      <c r="A247" s="15" t="n">
        <f aca="false">Report!C350</f>
        <v>46214</v>
      </c>
      <c r="B247" s="1" t="str">
        <f aca="false">Report!E350</f>
        <v>DURAES DISTRIBUIDORA DE ESTIVAS LTDA</v>
      </c>
      <c r="C247" s="17" t="n">
        <f aca="false">Report!U350</f>
        <v>553.36</v>
      </c>
      <c r="D247" s="1" t="str">
        <f aca="false">Report!X350</f>
        <v>NF 647403 1/3 - ALICIA </v>
      </c>
    </row>
    <row r="248" customFormat="false" ht="12.75" hidden="false" customHeight="true" outlineLevel="0" collapsed="false">
      <c r="A248" s="15" t="n">
        <f aca="false">Report!C351</f>
        <v>46214</v>
      </c>
      <c r="B248" s="1" t="str">
        <f aca="false">Report!E351</f>
        <v>JANETE DE LIMA ROOL 80938280287</v>
      </c>
      <c r="C248" s="17" t="n">
        <f aca="false">Report!U351</f>
        <v>303</v>
      </c>
      <c r="D248" s="1" t="str">
        <f aca="false">Report!X351</f>
        <v>NF 6686 1/1 - ALICIA </v>
      </c>
    </row>
    <row r="249" customFormat="false" ht="12.75" hidden="false" customHeight="true" outlineLevel="0" collapsed="false">
      <c r="A249" s="15" t="n">
        <f aca="false">Report!C352</f>
        <v>46214</v>
      </c>
      <c r="B249" s="1" t="str">
        <f aca="false">Report!E352</f>
        <v>TOYA INDUSTRIA E COMERCIO LTDA.</v>
      </c>
      <c r="C249" s="17" t="n">
        <f aca="false">Report!U352</f>
        <v>325</v>
      </c>
      <c r="D249" s="1" t="str">
        <f aca="false">Report!X352</f>
        <v>NF 254512 1/2 - ALICIA </v>
      </c>
    </row>
    <row r="250" customFormat="false" ht="12.75" hidden="false" customHeight="true" outlineLevel="0" collapsed="false">
      <c r="A250" s="15" t="n">
        <f aca="false">Report!C353</f>
        <v>46214</v>
      </c>
      <c r="B250" s="1" t="str">
        <f aca="false">Report!E353</f>
        <v>AGL DISTRIBUIDORA LIMITADA MATRIZ</v>
      </c>
      <c r="C250" s="17" t="n">
        <f aca="false">Report!U353</f>
        <v>328.41</v>
      </c>
      <c r="D250" s="1" t="str">
        <f aca="false">Report!X353</f>
        <v>NF 12547 1/1 - ALICIA </v>
      </c>
    </row>
    <row r="251" customFormat="false" ht="12.75" hidden="false" customHeight="true" outlineLevel="0" collapsed="false">
      <c r="A251" s="15" t="n">
        <f aca="false">Report!C354</f>
        <v>46214</v>
      </c>
      <c r="B251" s="1" t="str">
        <f aca="false">Report!E354</f>
        <v>BROTHERS  INDUSTRIA DE ALIMENTOS LTDA</v>
      </c>
      <c r="C251" s="17" t="n">
        <f aca="false">Report!U354</f>
        <v>542.46</v>
      </c>
      <c r="D251" s="1" t="str">
        <f aca="false">Report!X354</f>
        <v>NF1029881 1/1 - ALICIA </v>
      </c>
    </row>
    <row r="252" customFormat="false" ht="12.75" hidden="false" customHeight="true" outlineLevel="0" collapsed="false">
      <c r="A252" s="15" t="n">
        <f aca="false">Report!C355</f>
        <v>46214</v>
      </c>
      <c r="B252" s="1" t="str">
        <f aca="false">Report!E355</f>
        <v>FAZENDA SAO JOSE</v>
      </c>
      <c r="C252" s="17" t="n">
        <f aca="false">Report!U355</f>
        <v>249.77</v>
      </c>
      <c r="D252" s="1" t="str">
        <f aca="false">Report!X355</f>
        <v>NF 3211 1/1 - ALICIA</v>
      </c>
    </row>
    <row r="253" customFormat="false" ht="12.75" hidden="false" customHeight="true" outlineLevel="0" collapsed="false">
      <c r="A253" s="15" t="n">
        <f aca="false">Report!C356</f>
        <v>46214</v>
      </c>
      <c r="B253" s="1" t="str">
        <f aca="false">Report!E356</f>
        <v>ELFORT FRUIT COMERCIO DE PRODUTOS ALIME</v>
      </c>
      <c r="C253" s="17" t="n">
        <f aca="false">Report!U356</f>
        <v>587.63</v>
      </c>
      <c r="D253" s="1" t="str">
        <f aca="false">Report!X356</f>
        <v>NF 27252 1/2 - ALICIA</v>
      </c>
    </row>
    <row r="254" customFormat="false" ht="12.75" hidden="false" customHeight="true" outlineLevel="0" collapsed="false">
      <c r="A254" s="15" t="n">
        <f aca="false">Report!C357</f>
        <v>46214</v>
      </c>
      <c r="B254" s="1" t="str">
        <f aca="false">Report!E357</f>
        <v>S E PEREIRA BARBOSA ME</v>
      </c>
      <c r="C254" s="17" t="n">
        <f aca="false">Report!U357</f>
        <v>291.6</v>
      </c>
      <c r="D254" s="1" t="str">
        <f aca="false">Report!X357</f>
        <v>NF 18065 1/1 - ALICIA </v>
      </c>
    </row>
    <row r="255" customFormat="false" ht="12.75" hidden="false" customHeight="true" outlineLevel="0" collapsed="false">
      <c r="A255" s="15" t="n">
        <f aca="false">Report!C358</f>
        <v>46214</v>
      </c>
      <c r="B255" s="1" t="str">
        <f aca="false">Report!E358</f>
        <v>ADICSO FABIAN GONZALEZ MONTILLA 70302186</v>
      </c>
      <c r="C255" s="17" t="n">
        <f aca="false">Report!U358</f>
        <v>300</v>
      </c>
      <c r="D255" s="1" t="str">
        <f aca="false">Report!X358</f>
        <v>NF 521 1/1 - ALICIA </v>
      </c>
    </row>
    <row r="256" customFormat="false" ht="12.75" hidden="false" customHeight="true" outlineLevel="0" collapsed="false">
      <c r="A256" s="15" t="n">
        <f aca="false">Report!C360</f>
        <v>46214</v>
      </c>
      <c r="B256" s="1" t="str">
        <f aca="false">Report!E360</f>
        <v>COMERCIO E TRANSPORTE BRANDAO LTDA</v>
      </c>
      <c r="C256" s="17" t="n">
        <f aca="false">Report!U360</f>
        <v>448</v>
      </c>
      <c r="D256" s="1" t="str">
        <f aca="false">Report!X360</f>
        <v>S/NF COMPRAS QUEIJO E CAMARAO / CARLOS VERDURAS  - ALICIA </v>
      </c>
    </row>
    <row r="257" customFormat="false" ht="12.75" hidden="false" customHeight="true" outlineLevel="0" collapsed="false">
      <c r="A257" s="15" t="n">
        <f aca="false">Report!C361</f>
        <v>46214</v>
      </c>
      <c r="B257" s="1" t="str">
        <f aca="false">Report!E361</f>
        <v>COMERCIO E TRANSPORTE BRANDAO LTDA</v>
      </c>
      <c r="C257" s="17" t="n">
        <f aca="false">Report!U361</f>
        <v>450</v>
      </c>
      <c r="D257" s="1" t="str">
        <f aca="false">Report!X361</f>
        <v>NF 14810 1/1 - COMPRAS CARLOS VERDURAS </v>
      </c>
    </row>
    <row r="258" customFormat="false" ht="12.75" hidden="false" customHeight="true" outlineLevel="0" collapsed="false">
      <c r="A258" s="15" t="n">
        <f aca="false">Report!C362</f>
        <v>46214</v>
      </c>
      <c r="B258" s="1" t="str">
        <f aca="false">Report!E362</f>
        <v>OLIVEIRA E SILVA LTDA</v>
      </c>
      <c r="C258" s="17" t="n">
        <f aca="false">Report!U362</f>
        <v>1818</v>
      </c>
      <c r="D258" s="1" t="str">
        <f aca="false">Report!X362</f>
        <v>COMPRAS CARLOS VERDURAS </v>
      </c>
    </row>
    <row r="259" customFormat="false" ht="12.75" hidden="false" customHeight="true" outlineLevel="0" collapsed="false">
      <c r="A259" s="15" t="n">
        <f aca="false">Report!C363</f>
        <v>46214</v>
      </c>
      <c r="B259" s="1" t="str">
        <f aca="false">Report!E363</f>
        <v>OLIVEIRA E SILVA LTDA</v>
      </c>
      <c r="C259" s="17" t="n">
        <f aca="false">Report!U363</f>
        <v>128</v>
      </c>
      <c r="D259" s="1" t="str">
        <f aca="false">Report!X363</f>
        <v>COMPRAS CHEIRO VERDE </v>
      </c>
    </row>
    <row r="260" customFormat="false" ht="12.75" hidden="false" customHeight="true" outlineLevel="0" collapsed="false">
      <c r="A260" s="15" t="n">
        <f aca="false">Report!C364</f>
        <v>46214</v>
      </c>
      <c r="B260" s="1" t="str">
        <f aca="false">Report!E364</f>
        <v>OLIVEIRA E SILVA LTDA</v>
      </c>
      <c r="C260" s="17" t="n">
        <f aca="false">Report!U364</f>
        <v>280</v>
      </c>
      <c r="D260" s="1" t="str">
        <f aca="false">Report!X364</f>
        <v>compras acai de anori </v>
      </c>
    </row>
    <row r="261" customFormat="false" ht="12.75" hidden="false" customHeight="true" outlineLevel="0" collapsed="false">
      <c r="A261" s="15" t="n">
        <f aca="false">Report!C365</f>
        <v>46214</v>
      </c>
      <c r="B261" s="1" t="str">
        <f aca="false">Report!E365</f>
        <v>OLIVEIRA E SILVA LTDA</v>
      </c>
      <c r="C261" s="17" t="n">
        <f aca="false">Report!U365</f>
        <v>330</v>
      </c>
      <c r="D261" s="1" t="str">
        <f aca="false">Report!X365</f>
        <v>compras cheiro verde </v>
      </c>
    </row>
    <row r="262" customFormat="false" ht="12.75" hidden="false" customHeight="true" outlineLevel="0" collapsed="false">
      <c r="A262" s="15" t="n">
        <f aca="false">Report!C366</f>
        <v>46214</v>
      </c>
      <c r="B262" s="1" t="str">
        <f aca="false">Report!E366</f>
        <v>OLIVEIRA E SILVA LTDA</v>
      </c>
      <c r="C262" s="17" t="n">
        <f aca="false">Report!U366</f>
        <v>41.44</v>
      </c>
      <c r="D262" s="1" t="str">
        <f aca="false">Report!X366</f>
        <v>compras pimenta malagueta </v>
      </c>
    </row>
    <row r="263" customFormat="false" ht="12.75" hidden="false" customHeight="true" outlineLevel="0" collapsed="false">
      <c r="A263" s="15" t="n">
        <f aca="false">Report!C367</f>
        <v>46214</v>
      </c>
      <c r="B263" s="1" t="str">
        <f aca="false">Report!E367</f>
        <v>OLIVEIRA E SILVA LTDA</v>
      </c>
      <c r="C263" s="17" t="n">
        <f aca="false">Report!U367</f>
        <v>120</v>
      </c>
      <c r="D263" s="1" t="str">
        <f aca="false">Report!X367</f>
        <v>COMPRAS BANANAS </v>
      </c>
    </row>
    <row r="264" customFormat="false" ht="12.75" hidden="false" customHeight="true" outlineLevel="0" collapsed="false">
      <c r="A264" s="15" t="n">
        <f aca="false">Report!C370</f>
        <v>46216</v>
      </c>
      <c r="B264" s="1" t="str">
        <f aca="false">Report!E370</f>
        <v>OLIVEIRA E SILVA LTDA</v>
      </c>
      <c r="C264" s="17" t="n">
        <f aca="false">Report!U370</f>
        <v>20</v>
      </c>
      <c r="D264" s="1" t="str">
        <f aca="false">Report!X370</f>
        <v>COMPRAS COUVE - ALICIA </v>
      </c>
    </row>
    <row r="265" customFormat="false" ht="12.75" hidden="false" customHeight="true" outlineLevel="0" collapsed="false">
      <c r="A265" s="15" t="n">
        <f aca="false">Report!C371</f>
        <v>46216</v>
      </c>
      <c r="B265" s="1" t="str">
        <f aca="false">Report!E371</f>
        <v>OLIVEIRA E SILVA LTDA</v>
      </c>
      <c r="C265" s="17" t="n">
        <f aca="false">Report!U371</f>
        <v>240</v>
      </c>
      <c r="D265" s="1" t="str">
        <f aca="false">Report!X371</f>
        <v>COMPRAS BANANAS - ALICIA</v>
      </c>
    </row>
    <row r="266" customFormat="false" ht="12.75" hidden="false" customHeight="true" outlineLevel="0" collapsed="false">
      <c r="A266" s="15" t="n">
        <f aca="false">Report!C372</f>
        <v>46216</v>
      </c>
      <c r="B266" s="1" t="str">
        <f aca="false">Report!E372</f>
        <v>GELO DANGELO FABRICACAO DE GELO LTDA</v>
      </c>
      <c r="C266" s="17" t="n">
        <f aca="false">Report!U372</f>
        <v>524.3</v>
      </c>
      <c r="D266" s="1" t="str">
        <f aca="false">Report!X372</f>
        <v>NF 367 1/1 ALICIA </v>
      </c>
    </row>
    <row r="267" customFormat="false" ht="12.75" hidden="false" customHeight="true" outlineLevel="0" collapsed="false">
      <c r="A267" s="15" t="n">
        <f aca="false">Report!C373</f>
        <v>46216</v>
      </c>
      <c r="B267" s="1" t="str">
        <f aca="false">Report!E373</f>
        <v>JUROS A FORNECEDOR</v>
      </c>
      <c r="C267" s="17" t="n">
        <f aca="false">Report!U373</f>
        <v>276.87</v>
      </c>
      <c r="D267" s="1" t="str">
        <f aca="false">Report!X373</f>
        <v>juros fornecedores itau mo4-andreza</v>
      </c>
    </row>
    <row r="268" customFormat="false" ht="12.75" hidden="false" customHeight="true" outlineLevel="0" collapsed="false">
      <c r="A268" s="15" t="n">
        <f aca="false">Report!C374</f>
        <v>46217</v>
      </c>
      <c r="B268" s="1" t="str">
        <f aca="false">Report!E374</f>
        <v>MARTINS COM SERV DISTR SA</v>
      </c>
      <c r="C268" s="17" t="n">
        <f aca="false">Report!U374</f>
        <v>591.83</v>
      </c>
      <c r="D268" s="1" t="str">
        <f aca="false">Report!X374</f>
        <v>NF 1740358 4/4 - ALICIA </v>
      </c>
    </row>
    <row r="269" customFormat="false" ht="12.75" hidden="false" customHeight="true" outlineLevel="0" collapsed="false">
      <c r="A269" s="15" t="n">
        <f aca="false">Report!C375</f>
        <v>46217</v>
      </c>
      <c r="B269" s="1" t="str">
        <f aca="false">Report!E375</f>
        <v>J. A. F. DE LIMA</v>
      </c>
      <c r="C269" s="17" t="n">
        <f aca="false">Report!U375</f>
        <v>565.55</v>
      </c>
      <c r="D269" s="1" t="str">
        <f aca="false">Report!X375</f>
        <v>NF 154919 6/6 - ALICIA</v>
      </c>
    </row>
    <row r="270" customFormat="false" ht="12.75" hidden="false" customHeight="true" outlineLevel="0" collapsed="false">
      <c r="A270" s="15" t="n">
        <f aca="false">Report!C376</f>
        <v>46217</v>
      </c>
      <c r="B270" s="1" t="str">
        <f aca="false">Report!E376</f>
        <v>MARQUES &amp; MELO LTDA - FILIAL</v>
      </c>
      <c r="C270" s="17" t="n">
        <f aca="false">Report!U376</f>
        <v>750.72</v>
      </c>
      <c r="D270" s="1" t="str">
        <f aca="false">Report!X376</f>
        <v>NF 491042 5/5 - ALICIA</v>
      </c>
    </row>
    <row r="271" customFormat="false" ht="12.75" hidden="false" customHeight="true" outlineLevel="0" collapsed="false">
      <c r="A271" s="15" t="n">
        <f aca="false">Report!C377</f>
        <v>46217</v>
      </c>
      <c r="B271" s="1" t="str">
        <f aca="false">Report!E377</f>
        <v>SB COMERCIO LTDA</v>
      </c>
      <c r="C271" s="17" t="n">
        <f aca="false">Report!U377</f>
        <v>1624.38</v>
      </c>
      <c r="D271" s="1" t="str">
        <f aca="false">Report!X377</f>
        <v>NF 1954061 5/5 - ALICIA</v>
      </c>
    </row>
    <row r="272" customFormat="false" ht="12.75" hidden="false" customHeight="true" outlineLevel="0" collapsed="false">
      <c r="A272" s="15" t="n">
        <f aca="false">Report!C378</f>
        <v>46217</v>
      </c>
      <c r="B272" s="1" t="str">
        <f aca="false">Report!E378</f>
        <v>FH DE OLIVEIRA PEIXOTO - EIRELI</v>
      </c>
      <c r="C272" s="17" t="n">
        <f aca="false">Report!U378</f>
        <v>1138.78</v>
      </c>
      <c r="D272" s="1" t="str">
        <f aca="false">Report!X378</f>
        <v>NF 189797 3/3 - ALICIA</v>
      </c>
    </row>
    <row r="273" customFormat="false" ht="12.75" hidden="false" customHeight="true" outlineLevel="0" collapsed="false">
      <c r="A273" s="15" t="n">
        <f aca="false">Report!C379</f>
        <v>46217</v>
      </c>
      <c r="B273" s="1" t="str">
        <f aca="false">Report!E379</f>
        <v>DISTRIBUIDORA LOPES LTDA</v>
      </c>
      <c r="C273" s="17" t="n">
        <f aca="false">Report!U379</f>
        <v>1135.24</v>
      </c>
      <c r="D273" s="1" t="str">
        <f aca="false">Report!X379</f>
        <v>NF 1668832 3/3 - ALICIA </v>
      </c>
    </row>
    <row r="274" customFormat="false" ht="12.75" hidden="false" customHeight="true" outlineLevel="0" collapsed="false">
      <c r="A274" s="15" t="n">
        <f aca="false">Report!C380</f>
        <v>46217</v>
      </c>
      <c r="B274" s="1" t="str">
        <f aca="false">Report!E380</f>
        <v>ATACADAO S.A.</v>
      </c>
      <c r="C274" s="17" t="n">
        <f aca="false">Report!U380</f>
        <v>863.1</v>
      </c>
      <c r="D274" s="1" t="str">
        <f aca="false">Report!X380</f>
        <v>NF 1888475 1/1 - ALICIA</v>
      </c>
    </row>
    <row r="275" customFormat="false" ht="12.75" hidden="false" customHeight="true" outlineLevel="0" collapsed="false">
      <c r="A275" s="15" t="n">
        <f aca="false">Report!C381</f>
        <v>46217</v>
      </c>
      <c r="B275" s="1" t="str">
        <f aca="false">Report!E381</f>
        <v>SL DISTRIBUIDORA COM. DE PROD. ALIMENTIC</v>
      </c>
      <c r="C275" s="17" t="n">
        <f aca="false">Report!U381</f>
        <v>593.7</v>
      </c>
      <c r="D275" s="1" t="str">
        <f aca="false">Report!X381</f>
        <v>NF 10244 4/4 - ALICIA </v>
      </c>
    </row>
    <row r="276" customFormat="false" ht="12.75" hidden="false" customHeight="true" outlineLevel="0" collapsed="false">
      <c r="A276" s="15" t="n">
        <f aca="false">Report!C382</f>
        <v>46217</v>
      </c>
      <c r="B276" s="1" t="str">
        <f aca="false">Report!E382</f>
        <v>NATUREZA COMERCIO DE DESCARTAVEIS LTDA</v>
      </c>
      <c r="C276" s="17" t="n">
        <f aca="false">Report!U382</f>
        <v>648.23</v>
      </c>
      <c r="D276" s="1" t="str">
        <f aca="false">Report!X382</f>
        <v>NF 726963 3/3 - ALICIA </v>
      </c>
    </row>
    <row r="277" customFormat="false" ht="12.75" hidden="false" customHeight="true" outlineLevel="0" collapsed="false">
      <c r="A277" s="15" t="n">
        <f aca="false">Report!C383</f>
        <v>46217</v>
      </c>
      <c r="B277" s="1" t="str">
        <f aca="false">Report!E383</f>
        <v>FUNNY PET DISTRIBUIDORA DE ALIMENTOS PAR</v>
      </c>
      <c r="C277" s="17" t="n">
        <f aca="false">Report!U383</f>
        <v>2206.52</v>
      </c>
      <c r="D277" s="1" t="str">
        <f aca="false">Report!X383</f>
        <v>NF 20265 2/3 - ALICIA </v>
      </c>
    </row>
    <row r="278" customFormat="false" ht="12.75" hidden="false" customHeight="true" outlineLevel="0" collapsed="false">
      <c r="A278" s="15" t="n">
        <f aca="false">Report!C384</f>
        <v>46217</v>
      </c>
      <c r="B278" s="1" t="str">
        <f aca="false">Report!E384</f>
        <v>L S M COMERCIO DE ALIMENTOS E NAVEGACAO</v>
      </c>
      <c r="C278" s="17" t="n">
        <f aca="false">Report!U384</f>
        <v>1244.8</v>
      </c>
      <c r="D278" s="1" t="str">
        <f aca="false">Report!X384</f>
        <v>NF 304174 3/3 - ALICIA</v>
      </c>
    </row>
    <row r="279" customFormat="false" ht="12.75" hidden="false" customHeight="true" outlineLevel="0" collapsed="false">
      <c r="A279" s="15" t="n">
        <f aca="false">Report!C385</f>
        <v>46217</v>
      </c>
      <c r="B279" s="1" t="str">
        <f aca="false">Report!E385</f>
        <v>MARTINS COM SERV DISTR SA</v>
      </c>
      <c r="C279" s="17" t="n">
        <f aca="false">Report!U385</f>
        <v>1718.77</v>
      </c>
      <c r="D279" s="1" t="str">
        <f aca="false">Report!X385</f>
        <v>NF 1771475 1/4 - ALICIA</v>
      </c>
    </row>
    <row r="280" customFormat="false" ht="12.75" hidden="false" customHeight="true" outlineLevel="0" collapsed="false">
      <c r="A280" s="15" t="n">
        <f aca="false">Report!C386</f>
        <v>46217</v>
      </c>
      <c r="B280" s="1" t="str">
        <f aca="false">Report!E386</f>
        <v>VIA CERTA IMPORTACAO E DISTRIBUICAO DE A</v>
      </c>
      <c r="C280" s="17" t="n">
        <f aca="false">Report!U386</f>
        <v>991.48</v>
      </c>
      <c r="D280" s="1" t="str">
        <f aca="false">Report!X386</f>
        <v>NF 49883 3/3 - ALICIA</v>
      </c>
    </row>
    <row r="281" customFormat="false" ht="12.75" hidden="false" customHeight="true" outlineLevel="0" collapsed="false">
      <c r="A281" s="15" t="n">
        <f aca="false">Report!C387</f>
        <v>46217</v>
      </c>
      <c r="B281" s="1" t="str">
        <f aca="false">Report!E387</f>
        <v>AGM COMERCIO E DISTRIBUIDORA DE MATERIAS DE PERFUMARIA E LIMPEZA LTDA</v>
      </c>
      <c r="C281" s="17" t="n">
        <f aca="false">Report!U387</f>
        <v>870.75</v>
      </c>
      <c r="D281" s="1" t="str">
        <f aca="false">Report!X387</f>
        <v>NF 160778 3/4 - ALICIA </v>
      </c>
    </row>
    <row r="282" customFormat="false" ht="12.75" hidden="false" customHeight="true" outlineLevel="0" collapsed="false">
      <c r="A282" s="15" t="n">
        <f aca="false">Report!C388</f>
        <v>46217</v>
      </c>
      <c r="B282" s="1" t="str">
        <f aca="false">Report!E388</f>
        <v>DURAES DISTRIBUIDORA DE ESTIVAS LTDA</v>
      </c>
      <c r="C282" s="17" t="n">
        <f aca="false">Report!U388</f>
        <v>858.24</v>
      </c>
      <c r="D282" s="1" t="str">
        <f aca="false">Report!X388</f>
        <v>NF 645768 3/3 - ALICIA </v>
      </c>
    </row>
    <row r="283" customFormat="false" ht="12.75" hidden="false" customHeight="true" outlineLevel="0" collapsed="false">
      <c r="A283" s="15" t="n">
        <f aca="false">Report!C389</f>
        <v>46217</v>
      </c>
      <c r="B283" s="1" t="str">
        <f aca="false">Report!E389</f>
        <v>AGM INDUSTRIA COMERCIO E REPRESENTACAO LTDA</v>
      </c>
      <c r="C283" s="17" t="n">
        <f aca="false">Report!U389</f>
        <v>781.5</v>
      </c>
      <c r="D283" s="1" t="str">
        <f aca="false">Report!X389</f>
        <v>NF 47411 1/1 - ALICIA </v>
      </c>
    </row>
    <row r="284" customFormat="false" ht="12.75" hidden="false" customHeight="true" outlineLevel="0" collapsed="false">
      <c r="A284" s="15" t="n">
        <f aca="false">Report!C390</f>
        <v>46217</v>
      </c>
      <c r="B284" s="1" t="str">
        <f aca="false">Report!E390</f>
        <v>ATACADAO S.A.</v>
      </c>
      <c r="C284" s="17" t="n">
        <f aca="false">Report!U390</f>
        <v>1799</v>
      </c>
      <c r="D284" s="1" t="str">
        <f aca="false">Report!X390</f>
        <v>NF 1890866 1/1 - ALICIA</v>
      </c>
    </row>
    <row r="285" customFormat="false" ht="12.75" hidden="false" customHeight="true" outlineLevel="0" collapsed="false">
      <c r="A285" s="15" t="n">
        <f aca="false">Report!C391</f>
        <v>46217</v>
      </c>
      <c r="B285" s="1" t="str">
        <f aca="false">Report!E391</f>
        <v>ATACADAO S.A.</v>
      </c>
      <c r="C285" s="17" t="n">
        <f aca="false">Report!U391</f>
        <v>1103.52</v>
      </c>
      <c r="D285" s="1" t="str">
        <f aca="false">Report!X391</f>
        <v>NF 1890865 1/1 - ALICIA</v>
      </c>
    </row>
    <row r="286" customFormat="false" ht="12.75" hidden="false" customHeight="true" outlineLevel="0" collapsed="false">
      <c r="A286" s="15" t="n">
        <f aca="false">Report!C392</f>
        <v>46217</v>
      </c>
      <c r="B286" s="1" t="str">
        <f aca="false">Report!E392</f>
        <v>J G COMERCIO DE PRODUTOS ALIMENTICIOS LTDA</v>
      </c>
      <c r="C286" s="17" t="n">
        <f aca="false">Report!U392</f>
        <v>369</v>
      </c>
      <c r="D286" s="1" t="str">
        <f aca="false">Report!X392</f>
        <v>NF 387572 3/3 - ALICIA</v>
      </c>
    </row>
    <row r="287" customFormat="false" ht="12.75" hidden="false" customHeight="true" outlineLevel="0" collapsed="false">
      <c r="A287" s="15" t="n">
        <f aca="false">Report!C393</f>
        <v>46217</v>
      </c>
      <c r="B287" s="1" t="str">
        <f aca="false">Report!E393</f>
        <v>DUNORTE DISTRIBUIDORA DE PRODUTOS DE CONSUMO LTDA</v>
      </c>
      <c r="C287" s="17" t="n">
        <f aca="false">Report!U393</f>
        <v>1019.5</v>
      </c>
      <c r="D287" s="1" t="str">
        <f aca="false">Report!X393</f>
        <v>NF 3204268 2/3 - ALICIA</v>
      </c>
    </row>
    <row r="288" customFormat="false" ht="12.75" hidden="false" customHeight="true" outlineLevel="0" collapsed="false">
      <c r="A288" s="15" t="n">
        <f aca="false">Report!C394</f>
        <v>46217</v>
      </c>
      <c r="B288" s="1" t="str">
        <f aca="false">Report!E394</f>
        <v>DUNORTE DISTRIBUIDORA DE PRODUTOS DE CONSUMO LTDA</v>
      </c>
      <c r="C288" s="17" t="n">
        <f aca="false">Report!U394</f>
        <v>1319.07</v>
      </c>
      <c r="D288" s="1" t="str">
        <f aca="false">Report!X394</f>
        <v>NF 3204265 2/3 - ALICIA </v>
      </c>
    </row>
    <row r="289" customFormat="false" ht="12.75" hidden="false" customHeight="true" outlineLevel="0" collapsed="false">
      <c r="A289" s="15" t="n">
        <f aca="false">Report!C395</f>
        <v>46217</v>
      </c>
      <c r="B289" s="1" t="str">
        <f aca="false">Report!E395</f>
        <v>DUNORTE DISTRIBUIDORA DE PRODUTOS DE CONSUMO LTDA</v>
      </c>
      <c r="C289" s="17" t="n">
        <f aca="false">Report!U395</f>
        <v>1097.93</v>
      </c>
      <c r="D289" s="1" t="str">
        <f aca="false">Report!X395</f>
        <v>NF 3204263 2/3 - ALICIA</v>
      </c>
    </row>
    <row r="290" customFormat="false" ht="12.75" hidden="false" customHeight="true" outlineLevel="0" collapsed="false">
      <c r="A290" s="15" t="n">
        <f aca="false">Report!C396</f>
        <v>46217</v>
      </c>
      <c r="B290" s="1" t="str">
        <f aca="false">Report!E396</f>
        <v>DUNORTE DISTRIBUIDORA DE PRODUTOS DE CONSUMO LTDA</v>
      </c>
      <c r="C290" s="17" t="n">
        <f aca="false">Report!U396</f>
        <v>806.43</v>
      </c>
      <c r="D290" s="1" t="str">
        <f aca="false">Report!X396</f>
        <v>NF 3204264 2/4 - ALICIA</v>
      </c>
    </row>
    <row r="291" customFormat="false" ht="12.75" hidden="false" customHeight="true" outlineLevel="0" collapsed="false">
      <c r="A291" s="15" t="n">
        <f aca="false">Report!C397</f>
        <v>46217</v>
      </c>
      <c r="B291" s="1" t="str">
        <f aca="false">Report!E397</f>
        <v>DUNORTE DISTRIBUIDORA DE PRODUTOS DE CONSUMO LTDA</v>
      </c>
      <c r="C291" s="17" t="n">
        <f aca="false">Report!U397</f>
        <v>1138.24</v>
      </c>
      <c r="D291" s="1" t="str">
        <f aca="false">Report!X397</f>
        <v>NF 3204269 2/3 - ALICIA</v>
      </c>
    </row>
    <row r="292" customFormat="false" ht="12.75" hidden="false" customHeight="true" outlineLevel="0" collapsed="false">
      <c r="A292" s="15" t="n">
        <f aca="false">Report!C398</f>
        <v>46217</v>
      </c>
      <c r="B292" s="1" t="str">
        <f aca="false">Report!E398</f>
        <v>COMERCIAL DE ESTIVAS REGO LTDA</v>
      </c>
      <c r="C292" s="17" t="n">
        <f aca="false">Report!U398</f>
        <v>782.56</v>
      </c>
      <c r="D292" s="1" t="str">
        <f aca="false">Report!X398</f>
        <v>NF 222263 2/4 - ALICIA </v>
      </c>
    </row>
    <row r="293" customFormat="false" ht="12.75" hidden="false" customHeight="true" outlineLevel="0" collapsed="false">
      <c r="A293" s="15" t="n">
        <f aca="false">Report!C399</f>
        <v>46217</v>
      </c>
      <c r="B293" s="1" t="str">
        <f aca="false">Report!E399</f>
        <v>GONCALES COMER DE HORT GRANJEIROS EIRELI</v>
      </c>
      <c r="C293" s="17" t="n">
        <f aca="false">Report!U399</f>
        <v>1613</v>
      </c>
      <c r="D293" s="1" t="str">
        <f aca="false">Report!X399</f>
        <v>NF 39436 1/1 - ALICIA </v>
      </c>
    </row>
    <row r="294" customFormat="false" ht="12.75" hidden="false" customHeight="true" outlineLevel="0" collapsed="false">
      <c r="A294" s="15" t="n">
        <f aca="false">Report!C400</f>
        <v>46217</v>
      </c>
      <c r="B294" s="1" t="str">
        <f aca="false">Report!E400</f>
        <v>IRMÃOS LIMA  ATACADO  DE ALIMENTOS LTDA</v>
      </c>
      <c r="C294" s="17" t="n">
        <f aca="false">Report!U400</f>
        <v>977.07</v>
      </c>
      <c r="D294" s="1" t="str">
        <f aca="false">Report!X400</f>
        <v>NF 293817 2/4 - ALICIA </v>
      </c>
    </row>
    <row r="295" customFormat="false" ht="12.75" hidden="false" customHeight="true" outlineLevel="0" collapsed="false">
      <c r="A295" s="15" t="n">
        <f aca="false">Report!C401</f>
        <v>46217</v>
      </c>
      <c r="B295" s="1" t="str">
        <f aca="false">Report!E401</f>
        <v>BRAGA TABACARIA EIRELI ME</v>
      </c>
      <c r="C295" s="17" t="n">
        <f aca="false">Report!U401</f>
        <v>521.45</v>
      </c>
      <c r="D295" s="1" t="str">
        <f aca="false">Report!X401</f>
        <v>NF 18793 3/3 - ALICIA</v>
      </c>
    </row>
    <row r="296" customFormat="false" ht="12.75" hidden="false" customHeight="true" outlineLevel="0" collapsed="false">
      <c r="A296" s="15" t="n">
        <f aca="false">Report!C402</f>
        <v>46217</v>
      </c>
      <c r="B296" s="1" t="str">
        <f aca="false">Report!E402</f>
        <v>DISTRIBUIDORA LOPES LTDA</v>
      </c>
      <c r="C296" s="17" t="n">
        <f aca="false">Report!U402</f>
        <v>1189.33</v>
      </c>
      <c r="D296" s="1" t="str">
        <f aca="false">Report!X402</f>
        <v>NF 1678500 3/3 - ALICIA </v>
      </c>
    </row>
    <row r="297" customFormat="false" ht="12.75" hidden="false" customHeight="true" outlineLevel="0" collapsed="false">
      <c r="A297" s="15" t="n">
        <f aca="false">Report!C403</f>
        <v>46217</v>
      </c>
      <c r="B297" s="1" t="str">
        <f aca="false">Report!E403</f>
        <v>MARE DISTRIBUIDORA DE BEBIDAS E DE PRODUTOS ALIMENTICIOS LTDA</v>
      </c>
      <c r="C297" s="17" t="n">
        <f aca="false">Report!U403</f>
        <v>696.25</v>
      </c>
      <c r="D297" s="1" t="str">
        <f aca="false">Report!X403</f>
        <v>NF 1376471 2/2 - ALICIA</v>
      </c>
    </row>
    <row r="298" customFormat="false" ht="12.75" hidden="false" customHeight="true" outlineLevel="0" collapsed="false">
      <c r="A298" s="15" t="n">
        <f aca="false">Report!C404</f>
        <v>46217</v>
      </c>
      <c r="B298" s="1" t="str">
        <f aca="false">Report!E404</f>
        <v>RCL COMERCIO DE PRODUTOS ALIMENTICIOS LT</v>
      </c>
      <c r="C298" s="17" t="n">
        <f aca="false">Report!U404</f>
        <v>675.92</v>
      </c>
      <c r="D298" s="1" t="str">
        <f aca="false">Report!X404</f>
        <v>NF 215700 1/2 - ALICIA</v>
      </c>
    </row>
    <row r="299" customFormat="false" ht="12.75" hidden="false" customHeight="true" outlineLevel="0" collapsed="false">
      <c r="A299" s="15" t="n">
        <f aca="false">Report!C405</f>
        <v>46217</v>
      </c>
      <c r="B299" s="1" t="str">
        <f aca="false">Report!E405</f>
        <v>ADRIANA G MACIEL COMERCIO</v>
      </c>
      <c r="C299" s="17" t="n">
        <f aca="false">Report!U405</f>
        <v>1279.8</v>
      </c>
      <c r="D299" s="1" t="str">
        <f aca="false">Report!X405</f>
        <v>NF 364 1/1 - ALICIA </v>
      </c>
    </row>
    <row r="300" customFormat="false" ht="12.75" hidden="false" customHeight="true" outlineLevel="0" collapsed="false">
      <c r="A300" s="15" t="n">
        <f aca="false">Report!C406</f>
        <v>46217</v>
      </c>
      <c r="B300" s="1" t="str">
        <f aca="false">Report!E406</f>
        <v>ADRIANA DISTRIBUIDORA DE PRODUTOS ALIMEN</v>
      </c>
      <c r="C300" s="17" t="n">
        <f aca="false">Report!U406</f>
        <v>764.34</v>
      </c>
      <c r="D300" s="1" t="str">
        <f aca="false">Report!X406</f>
        <v>NF 881224 1/3 - ALICIA </v>
      </c>
    </row>
    <row r="301" customFormat="false" ht="12.75" hidden="false" customHeight="true" outlineLevel="0" collapsed="false">
      <c r="A301" s="15" t="n">
        <f aca="false">Report!C407</f>
        <v>46217</v>
      </c>
      <c r="B301" s="1" t="str">
        <f aca="false">Report!E407</f>
        <v>L S M COMERCIO DE ALIMENTOS E NAVEGACAO</v>
      </c>
      <c r="C301" s="17" t="n">
        <f aca="false">Report!U407</f>
        <v>649.18</v>
      </c>
      <c r="D301" s="1" t="str">
        <f aca="false">Report!X407</f>
        <v>NF 305918 1/3 - ALICIA </v>
      </c>
    </row>
    <row r="302" customFormat="false" ht="12.75" hidden="false" customHeight="true" outlineLevel="0" collapsed="false">
      <c r="A302" s="15" t="n">
        <f aca="false">Report!C408</f>
        <v>46217</v>
      </c>
      <c r="B302" s="1" t="str">
        <f aca="false">Report!E408</f>
        <v>OESA COMERCIO E REPRESENTACOES S/A</v>
      </c>
      <c r="C302" s="17" t="n">
        <f aca="false">Report!U408</f>
        <v>709.47</v>
      </c>
      <c r="D302" s="1" t="str">
        <f aca="false">Report!X408</f>
        <v>NF 4217651 1/3 - ALICIA </v>
      </c>
    </row>
    <row r="303" customFormat="false" ht="12.75" hidden="false" customHeight="true" outlineLevel="0" collapsed="false">
      <c r="A303" s="15" t="n">
        <f aca="false">Report!C409</f>
        <v>46217</v>
      </c>
      <c r="B303" s="1" t="str">
        <f aca="false">Report!E409</f>
        <v>COARI DISTRIBUIDORA DE BEBIDAS LTDA</v>
      </c>
      <c r="C303" s="17" t="n">
        <f aca="false">Report!U409</f>
        <v>653.6</v>
      </c>
      <c r="D303" s="1" t="str">
        <f aca="false">Report!X409</f>
        <v>NF 436 1/1 - ALICIA </v>
      </c>
    </row>
    <row r="304" customFormat="false" ht="12.75" hidden="false" customHeight="true" outlineLevel="0" collapsed="false">
      <c r="A304" s="15" t="n">
        <f aca="false">Report!C410</f>
        <v>46217</v>
      </c>
      <c r="B304" s="1" t="str">
        <f aca="false">Report!E410</f>
        <v>GONCALES COMER DE HORT GRANJEIROS EIRELI</v>
      </c>
      <c r="C304" s="17" t="n">
        <f aca="false">Report!U410</f>
        <v>105</v>
      </c>
      <c r="D304" s="1" t="str">
        <f aca="false">Report!X410</f>
        <v>NF 2465 1/1 - ALICIA</v>
      </c>
    </row>
    <row r="305" customFormat="false" ht="12.75" hidden="false" customHeight="true" outlineLevel="0" collapsed="false">
      <c r="A305" s="15" t="n">
        <f aca="false">Report!C411</f>
        <v>46217</v>
      </c>
      <c r="B305" s="1" t="str">
        <f aca="false">Report!E411</f>
        <v>GONCALES COMER DE HORT GRANJEIROS EIRELI</v>
      </c>
      <c r="C305" s="17" t="n">
        <f aca="false">Report!U411</f>
        <v>137.5</v>
      </c>
      <c r="D305" s="1" t="str">
        <f aca="false">Report!X411</f>
        <v>NF 39536 1/1 - ALICIA </v>
      </c>
    </row>
    <row r="306" customFormat="false" ht="12.75" hidden="false" customHeight="true" outlineLevel="0" collapsed="false">
      <c r="A306" s="15" t="n">
        <f aca="false">Report!C412</f>
        <v>46217</v>
      </c>
      <c r="B306" s="1" t="str">
        <f aca="false">Report!E412</f>
        <v>FALCAO INDUSTRIA DE ALIMENTOS LTDA</v>
      </c>
      <c r="C306" s="17" t="n">
        <f aca="false">Report!U412</f>
        <v>1651.2</v>
      </c>
      <c r="D306" s="1" t="str">
        <f aca="false">Report!X412</f>
        <v>NF 35032 2/2 - ALICIA </v>
      </c>
    </row>
    <row r="307" customFormat="false" ht="12.75" hidden="false" customHeight="true" outlineLevel="0" collapsed="false">
      <c r="A307" s="15" t="n">
        <f aca="false">Report!C413</f>
        <v>46217</v>
      </c>
      <c r="B307" s="1" t="str">
        <f aca="false">Report!E413</f>
        <v>FALCAO INDUSTRIA DE ALIMENTOS LTDA</v>
      </c>
      <c r="C307" s="17" t="n">
        <f aca="false">Report!U413</f>
        <v>1830.96</v>
      </c>
      <c r="D307" s="1" t="str">
        <f aca="false">Report!X413</f>
        <v>NF 30609 2/2 - ALICIA </v>
      </c>
    </row>
    <row r="308" customFormat="false" ht="12.75" hidden="false" customHeight="true" outlineLevel="0" collapsed="false">
      <c r="A308" s="15" t="n">
        <f aca="false">Report!C414</f>
        <v>46217</v>
      </c>
      <c r="B308" s="1" t="str">
        <f aca="false">Report!E414</f>
        <v>H. L. DO NASCIMENTO</v>
      </c>
      <c r="C308" s="17" t="n">
        <f aca="false">Report!U414</f>
        <v>728</v>
      </c>
      <c r="D308" s="1" t="str">
        <f aca="false">Report!X414</f>
        <v>NF 5718 1/1 - ALICIA </v>
      </c>
    </row>
    <row r="309" customFormat="false" ht="12.75" hidden="false" customHeight="true" outlineLevel="0" collapsed="false">
      <c r="A309" s="15" t="n">
        <f aca="false">Report!C415</f>
        <v>46217</v>
      </c>
      <c r="B309" s="1" t="str">
        <f aca="false">Report!E415</f>
        <v>COMERCIO DE FRIOS MANAUS LTDA</v>
      </c>
      <c r="C309" s="17" t="n">
        <f aca="false">Report!U415</f>
        <v>4742.4</v>
      </c>
      <c r="D309" s="1" t="str">
        <f aca="false">Report!X415</f>
        <v>NF 172355 1/1 - ALICIA </v>
      </c>
    </row>
    <row r="310" customFormat="false" ht="12.75" hidden="false" customHeight="true" outlineLevel="0" collapsed="false">
      <c r="A310" s="15" t="n">
        <f aca="false">Report!C416</f>
        <v>46217</v>
      </c>
      <c r="B310" s="1" t="str">
        <f aca="false">Report!E416</f>
        <v>BRF S A</v>
      </c>
      <c r="C310" s="17" t="n">
        <f aca="false">Report!U416</f>
        <v>1398.81</v>
      </c>
      <c r="D310" s="1" t="str">
        <f aca="false">Report!X416</f>
        <v>NF 1602316 2/3 - ALICIA </v>
      </c>
    </row>
    <row r="311" customFormat="false" ht="12.75" hidden="false" customHeight="true" outlineLevel="0" collapsed="false">
      <c r="A311" s="15" t="n">
        <f aca="false">Report!C417</f>
        <v>46217</v>
      </c>
      <c r="B311" s="1" t="str">
        <f aca="false">Report!E417</f>
        <v>COMERCIO DE FRIOS MANAUS LTDA</v>
      </c>
      <c r="C311" s="17" t="n">
        <f aca="false">Report!U417</f>
        <v>2305.6</v>
      </c>
      <c r="D311" s="1" t="str">
        <f aca="false">Report!X417</f>
        <v>NF 172431 1/1 - ALICIA </v>
      </c>
    </row>
    <row r="312" customFormat="false" ht="12.75" hidden="false" customHeight="true" outlineLevel="0" collapsed="false">
      <c r="A312" s="15" t="n">
        <f aca="false">Report!C418</f>
        <v>46217</v>
      </c>
      <c r="B312" s="1" t="str">
        <f aca="false">Report!E418</f>
        <v>COMERCIO DE FRIOS MANAUS LTDA</v>
      </c>
      <c r="C312" s="17" t="n">
        <f aca="false">Report!U418</f>
        <v>1971.2</v>
      </c>
      <c r="D312" s="1" t="str">
        <f aca="false">Report!X418</f>
        <v>NF 172512 1/1 - ALICIA </v>
      </c>
    </row>
    <row r="313" customFormat="false" ht="12.75" hidden="false" customHeight="true" outlineLevel="0" collapsed="false">
      <c r="A313" s="15" t="n">
        <f aca="false">Report!C419</f>
        <v>46217</v>
      </c>
      <c r="B313" s="1" t="str">
        <f aca="false">Report!E419</f>
        <v>ORIENTE COM. ATACADISTA E REPRES. LTDA</v>
      </c>
      <c r="C313" s="17" t="n">
        <f aca="false">Report!U419</f>
        <v>1598.87</v>
      </c>
      <c r="D313" s="1" t="str">
        <f aca="false">Report!X419</f>
        <v>NF 2144 1/3 - ALICIA </v>
      </c>
    </row>
    <row r="314" customFormat="false" ht="12.75" hidden="false" customHeight="true" outlineLevel="0" collapsed="false">
      <c r="A314" s="15" t="n">
        <f aca="false">Report!C420</f>
        <v>46217</v>
      </c>
      <c r="B314" s="1" t="str">
        <f aca="false">Report!E420</f>
        <v>ELZILENE DA SILVA</v>
      </c>
      <c r="C314" s="17" t="n">
        <f aca="false">Report!U420</f>
        <v>1815</v>
      </c>
      <c r="D314" s="1" t="str">
        <f aca="false">Report!X420</f>
        <v>NF 2423 1/1 - ALICIA </v>
      </c>
    </row>
    <row r="315" customFormat="false" ht="12.75" hidden="false" customHeight="true" outlineLevel="0" collapsed="false">
      <c r="A315" s="15" t="n">
        <f aca="false">Report!C421</f>
        <v>46217</v>
      </c>
      <c r="B315" s="1" t="str">
        <f aca="false">Report!E421</f>
        <v>CINTIA MACIEL PEREIRA SANTOS 95986138287</v>
      </c>
      <c r="C315" s="17" t="n">
        <f aca="false">Report!U421</f>
        <v>937.9</v>
      </c>
      <c r="D315" s="1" t="str">
        <f aca="false">Report!X421</f>
        <v>NF 1365 1/1- ALICIA </v>
      </c>
    </row>
    <row r="316" customFormat="false" ht="12.75" hidden="false" customHeight="true" outlineLevel="0" collapsed="false">
      <c r="A316" s="15" t="n">
        <f aca="false">Report!C422</f>
        <v>46217</v>
      </c>
      <c r="B316" s="1" t="str">
        <f aca="false">Report!E422</f>
        <v>COMERCIO DE FRIOS MANAUS LTDA</v>
      </c>
      <c r="C316" s="17" t="n">
        <f aca="false">Report!U422</f>
        <v>5615.6</v>
      </c>
      <c r="D316" s="1" t="str">
        <f aca="false">Report!X422</f>
        <v>NF 172594 1/1 - ALICIA </v>
      </c>
    </row>
    <row r="317" customFormat="false" ht="12.75" hidden="false" customHeight="true" outlineLevel="0" collapsed="false">
      <c r="A317" s="15" t="n">
        <f aca="false">Report!C423</f>
        <v>46217</v>
      </c>
      <c r="B317" s="1" t="str">
        <f aca="false">Report!E423</f>
        <v>RV TECNOLOGIA E SISTEMAS S.A</v>
      </c>
      <c r="C317" s="17" t="n">
        <f aca="false">Report!U423</f>
        <v>667.9</v>
      </c>
      <c r="D317" s="1" t="str">
        <f aca="false">Report!X423</f>
        <v>RECARGA TELEFONICA E CHIP - ALICIA </v>
      </c>
    </row>
    <row r="318" customFormat="false" ht="12.75" hidden="false" customHeight="true" outlineLevel="0" collapsed="false">
      <c r="A318" s="15" t="n">
        <f aca="false">Report!C424</f>
        <v>46217</v>
      </c>
      <c r="B318" s="1" t="str">
        <f aca="false">Report!E424</f>
        <v>CRBS S/A</v>
      </c>
      <c r="C318" s="17" t="n">
        <f aca="false">Report!U424</f>
        <v>4203.32</v>
      </c>
      <c r="D318" s="1" t="str">
        <f aca="false">Report!X424</f>
        <v>NF 888740 1/1 - ALICIA </v>
      </c>
    </row>
    <row r="319" customFormat="false" ht="12.75" hidden="false" customHeight="true" outlineLevel="0" collapsed="false">
      <c r="A319" s="15" t="n">
        <f aca="false">Report!C425</f>
        <v>46217</v>
      </c>
      <c r="B319" s="1" t="str">
        <f aca="false">Report!E425</f>
        <v>CRBS S/A</v>
      </c>
      <c r="C319" s="17" t="n">
        <f aca="false">Report!U425</f>
        <v>1.55</v>
      </c>
      <c r="D319" s="1" t="str">
        <f aca="false">Report!X425</f>
        <v>NF 888740 -TAXA BOLETO AMBEV - ALICIA</v>
      </c>
    </row>
    <row r="320" customFormat="false" ht="12.75" hidden="false" customHeight="true" outlineLevel="0" collapsed="false">
      <c r="A320" s="15" t="n">
        <f aca="false">Report!C426</f>
        <v>46217</v>
      </c>
      <c r="B320" s="1" t="str">
        <f aca="false">Report!E426</f>
        <v>RV TECNOLOGIA E SISTEMAS S.A</v>
      </c>
      <c r="C320" s="17" t="n">
        <f aca="false">Report!U426</f>
        <v>143.99</v>
      </c>
      <c r="D320" s="1" t="str">
        <f aca="false">Report!X426</f>
        <v>RECARGA TELEFONICA </v>
      </c>
    </row>
    <row r="321" customFormat="false" ht="12.75" hidden="false" customHeight="true" outlineLevel="0" collapsed="false">
      <c r="A321" s="15" t="n">
        <f aca="false">Report!C427</f>
        <v>46217</v>
      </c>
      <c r="B321" s="1" t="str">
        <f aca="false">Report!E427</f>
        <v>OLIVEIRA E SILVA LTDA</v>
      </c>
      <c r="C321" s="17" t="n">
        <f aca="false">Report!U427</f>
        <v>148</v>
      </c>
      <c r="D321" s="1" t="str">
        <f aca="false">Report!X427</f>
        <v>COMPRAS CHEIRO VERDE , ALFACE - ALICIA </v>
      </c>
    </row>
    <row r="322" customFormat="false" ht="12.75" hidden="false" customHeight="true" outlineLevel="0" collapsed="false">
      <c r="A322" s="15" t="n">
        <f aca="false">Report!C428</f>
        <v>46217</v>
      </c>
      <c r="B322" s="1" t="str">
        <f aca="false">Report!E428</f>
        <v>JUROS A FORNECEDOR</v>
      </c>
      <c r="C322" s="17" t="n">
        <f aca="false">Report!U428</f>
        <v>1384.47</v>
      </c>
      <c r="D322" s="1" t="str">
        <f aca="false">Report!X428</f>
        <v>juJUROS FORNECEDORES MO4-ANDREZA</v>
      </c>
    </row>
    <row r="323" customFormat="false" ht="12.75" hidden="false" customHeight="true" outlineLevel="0" collapsed="false">
      <c r="A323" s="15" t="n">
        <f aca="false">Report!C429</f>
        <v>46217</v>
      </c>
      <c r="B323" s="1" t="str">
        <f aca="false">Report!E429</f>
        <v>60.729.628 LAURENA NUNES CALIXTO</v>
      </c>
      <c r="C323" s="17" t="n">
        <f aca="false">Report!U429</f>
        <v>270</v>
      </c>
      <c r="D323" s="1" t="str">
        <f aca="false">Report!X429</f>
        <v>NF 774 1/1 COMPRAS BRIGADEIRO - ALICIA</v>
      </c>
    </row>
    <row r="324" customFormat="false" ht="12.75" hidden="false" customHeight="true" outlineLevel="0" collapsed="false">
      <c r="A324" s="15" t="n">
        <f aca="false">Report!C431</f>
        <v>46218</v>
      </c>
      <c r="B324" s="1" t="str">
        <f aca="false">Report!E431</f>
        <v>OLIVEIRA E SILVA LTDA</v>
      </c>
      <c r="C324" s="17" t="n">
        <f aca="false">Report!U431</f>
        <v>1190</v>
      </c>
      <c r="D324" s="1" t="str">
        <f aca="false">Report!X431</f>
        <v> COMPRAS JOSE FARINHA PGT PIX </v>
      </c>
    </row>
    <row r="325" customFormat="false" ht="12.75" hidden="false" customHeight="true" outlineLevel="0" collapsed="false">
      <c r="A325" s="15" t="n">
        <f aca="false">Report!C432</f>
        <v>46218</v>
      </c>
      <c r="B325" s="1" t="str">
        <f aca="false">Report!E432</f>
        <v>OLIVEIRA E SILVA LTDA</v>
      </c>
      <c r="C325" s="17" t="n">
        <f aca="false">Report!U432</f>
        <v>1904</v>
      </c>
      <c r="D325" s="1" t="str">
        <f aca="false">Report!X432</f>
        <v>COMPRAS CARLOS VERDURAS - ALICIA</v>
      </c>
    </row>
    <row r="326" customFormat="false" ht="12.75" hidden="false" customHeight="true" outlineLevel="0" collapsed="false">
      <c r="A326" s="15" t="n">
        <f aca="false">Report!C433</f>
        <v>46218</v>
      </c>
      <c r="B326" s="1" t="str">
        <f aca="false">Report!E433</f>
        <v>COMERCIO E TRANSPORTE BRANDAO LTDA</v>
      </c>
      <c r="C326" s="17" t="n">
        <f aca="false">Report!U433</f>
        <v>140</v>
      </c>
      <c r="D326" s="1" t="str">
        <f aca="false">Report!X433</f>
        <v>COMPRAS CAMARAO / CARLOS VERDURAS - ALICIA </v>
      </c>
    </row>
    <row r="327" customFormat="false" ht="12.75" hidden="false" customHeight="true" outlineLevel="0" collapsed="false">
      <c r="A327" s="15" t="n">
        <f aca="false">Report!C434</f>
        <v>46218</v>
      </c>
      <c r="B327" s="1" t="str">
        <f aca="false">Report!E434</f>
        <v>COMERCIO E TRANSPORTE BRANDAO LTDA</v>
      </c>
      <c r="C327" s="17" t="n">
        <f aca="false">Report!U434</f>
        <v>440</v>
      </c>
      <c r="D327" s="1" t="str">
        <f aca="false">Report!X434</f>
        <v>COMPRAS CARLOS VERDURAS - ALICIA </v>
      </c>
    </row>
    <row r="328" customFormat="false" ht="12.75" hidden="false" customHeight="true" outlineLevel="0" collapsed="false">
      <c r="A328" s="15" t="n">
        <f aca="false">Report!C435</f>
        <v>46218</v>
      </c>
      <c r="B328" s="1" t="str">
        <f aca="false">Report!E435</f>
        <v>OLIVEIRA E SILVA LTDA</v>
      </c>
      <c r="C328" s="17" t="n">
        <f aca="false">Report!U435</f>
        <v>100</v>
      </c>
      <c r="D328" s="1" t="str">
        <f aca="false">Report!X435</f>
        <v>COMPRAS CHEIRO VERDE </v>
      </c>
    </row>
    <row r="329" customFormat="false" ht="12.75" hidden="false" customHeight="true" outlineLevel="0" collapsed="false">
      <c r="A329" s="15" t="n">
        <f aca="false">Report!C436</f>
        <v>46218</v>
      </c>
      <c r="B329" s="1" t="str">
        <f aca="false">Report!E436</f>
        <v>OLIVEIRA E SILVA LTDA</v>
      </c>
      <c r="C329" s="17" t="n">
        <f aca="false">Report!U436</f>
        <v>120</v>
      </c>
      <c r="D329" s="1" t="str">
        <f aca="false">Report!X436</f>
        <v>COMPRAS 1 CX DE BANANAS </v>
      </c>
    </row>
    <row r="330" customFormat="false" ht="12.75" hidden="false" customHeight="true" outlineLevel="0" collapsed="false">
      <c r="A330" s="15" t="n">
        <f aca="false">Report!C438</f>
        <v>46219</v>
      </c>
      <c r="B330" s="1" t="str">
        <f aca="false">Report!E438</f>
        <v>OLIVEIRA E SILVA LTDA</v>
      </c>
      <c r="C330" s="17" t="n">
        <f aca="false">Report!U438</f>
        <v>85</v>
      </c>
      <c r="D330" s="1" t="str">
        <f aca="false">Report!X438</f>
        <v>COMPRAS CHEIRO VERDE - ALICIA</v>
      </c>
    </row>
    <row r="331" customFormat="false" ht="12.75" hidden="false" customHeight="true" outlineLevel="0" collapsed="false">
      <c r="A331" s="15" t="n">
        <f aca="false">Report!C439</f>
        <v>46219</v>
      </c>
      <c r="B331" s="1" t="str">
        <f aca="false">Report!E439</f>
        <v>OLIVEIRA E SILVA LTDA</v>
      </c>
      <c r="C331" s="17" t="n">
        <f aca="false">Report!U439</f>
        <v>59.95</v>
      </c>
      <c r="D331" s="1" t="str">
        <f aca="false">Report!X439</f>
        <v>COMPRAS JERIMUM - ALICIA</v>
      </c>
    </row>
    <row r="332" customFormat="false" ht="12.75" hidden="false" customHeight="true" outlineLevel="0" collapsed="false">
      <c r="A332" s="15" t="n">
        <f aca="false">Report!C440</f>
        <v>46220</v>
      </c>
      <c r="B332" s="1" t="str">
        <f aca="false">Report!E440</f>
        <v>BF COMERCIO DE ALIMENTOS REPRESENTACAO L</v>
      </c>
      <c r="C332" s="17" t="n">
        <f aca="false">Report!U440</f>
        <v>508.25</v>
      </c>
      <c r="D332" s="1" t="str">
        <f aca="false">Report!X440</f>
        <v>NF 20803 1/3 - ALICIA</v>
      </c>
    </row>
    <row r="333" customFormat="false" ht="12.75" hidden="false" customHeight="true" outlineLevel="0" collapsed="false">
      <c r="A333" s="15" t="n">
        <f aca="false">Report!C441</f>
        <v>46220</v>
      </c>
      <c r="B333" s="1" t="str">
        <f aca="false">Report!E441</f>
        <v>BF COMERCIO DE ALIMENTOS REPRESENTACAO L</v>
      </c>
      <c r="C333" s="17" t="n">
        <f aca="false">Report!U441</f>
        <v>508.25</v>
      </c>
      <c r="D333" s="1" t="str">
        <f aca="false">Report!X441</f>
        <v>NF 20803 2/3 - ALICIA</v>
      </c>
    </row>
    <row r="334" customFormat="false" ht="12.75" hidden="false" customHeight="true" outlineLevel="0" collapsed="false">
      <c r="A334" s="15" t="n">
        <f aca="false">Report!C442</f>
        <v>46220</v>
      </c>
      <c r="B334" s="1" t="str">
        <f aca="false">Report!E442</f>
        <v>BF COMERCIO DE ALIMENTOS REPRESENTACAO L</v>
      </c>
      <c r="C334" s="17" t="n">
        <f aca="false">Report!U442</f>
        <v>508.26</v>
      </c>
      <c r="D334" s="1" t="str">
        <f aca="false">Report!X442</f>
        <v>NF 20803 3/3 - ALICIA</v>
      </c>
    </row>
    <row r="335" customFormat="false" ht="12.75" hidden="false" customHeight="true" outlineLevel="0" collapsed="false">
      <c r="A335" s="15" t="n">
        <f aca="false">Report!C443</f>
        <v>46220</v>
      </c>
      <c r="B335" s="1" t="str">
        <f aca="false">Report!E443</f>
        <v>FUNNY PET DISTRIBUIDORA DE ALIMENTOS PAR</v>
      </c>
      <c r="C335" s="17" t="n">
        <f aca="false">Report!U443</f>
        <v>227.28</v>
      </c>
      <c r="D335" s="1" t="str">
        <f aca="false">Report!X443</f>
        <v>NF 20265 3/4 - ALICIA </v>
      </c>
    </row>
    <row r="336" customFormat="false" ht="12.75" hidden="false" customHeight="true" outlineLevel="0" collapsed="false">
      <c r="A336" s="15" t="n">
        <f aca="false">Report!C444</f>
        <v>46220</v>
      </c>
      <c r="B336" s="1" t="str">
        <f aca="false">Report!E444</f>
        <v>FUNNY PET DISTRIBUIDORA DE ALIMENTOS PAR</v>
      </c>
      <c r="C336" s="17" t="n">
        <f aca="false">Report!U444</f>
        <v>2206.52</v>
      </c>
      <c r="D336" s="1" t="str">
        <f aca="false">Report!X444</f>
        <v>NF 20265 1/3 - ALICIA </v>
      </c>
    </row>
    <row r="337" customFormat="false" ht="12.75" hidden="false" customHeight="true" outlineLevel="0" collapsed="false">
      <c r="A337" s="15" t="n">
        <f aca="false">Report!C445</f>
        <v>46220</v>
      </c>
      <c r="B337" s="1" t="str">
        <f aca="false">Report!E445</f>
        <v>AGM COMERCIO E DISTRIBUIDORA DE MATERIAS DE PERFUMARIA E LIMPEZA LTDA</v>
      </c>
      <c r="C337" s="17" t="n">
        <f aca="false">Report!U445</f>
        <v>870.75</v>
      </c>
      <c r="D337" s="1" t="str">
        <f aca="false">Report!X445</f>
        <v>NF 160778 4/4 - ALICIA </v>
      </c>
    </row>
    <row r="338" customFormat="false" ht="12.75" hidden="false" customHeight="true" outlineLevel="0" collapsed="false">
      <c r="A338" s="15" t="n">
        <f aca="false">Report!C447</f>
        <v>46220</v>
      </c>
      <c r="B338" s="1" t="str">
        <f aca="false">Report!E447</f>
        <v>BF COMERCIO DE ALIMENTOS REPRESENTACAO L</v>
      </c>
      <c r="C338" s="17" t="n">
        <f aca="false">Report!U447</f>
        <v>442</v>
      </c>
      <c r="D338" s="1" t="str">
        <f aca="false">Report!X447</f>
        <v>NF 20916 3/3 - ALICIA</v>
      </c>
    </row>
    <row r="339" customFormat="false" ht="12.75" hidden="false" customHeight="true" outlineLevel="0" collapsed="false">
      <c r="A339" s="15" t="n">
        <f aca="false">Report!C448</f>
        <v>46220</v>
      </c>
      <c r="B339" s="1" t="str">
        <f aca="false">Report!E448</f>
        <v>FENNIX BRASIL DISTRIBUIDORA DE PRODUTOS</v>
      </c>
      <c r="C339" s="17" t="n">
        <f aca="false">Report!U448</f>
        <v>412.49</v>
      </c>
      <c r="D339" s="1" t="str">
        <f aca="false">Report!X448</f>
        <v>NF 395087 3/3 - ALICIA</v>
      </c>
    </row>
    <row r="340" customFormat="false" ht="12.75" hidden="false" customHeight="true" outlineLevel="0" collapsed="false">
      <c r="A340" s="15" t="n">
        <f aca="false">Report!C449</f>
        <v>46220</v>
      </c>
      <c r="B340" s="1" t="str">
        <f aca="false">Report!E449</f>
        <v>DUNORTE DISTRIBUIDORA DE PRODUTOS DE CONSUMO LTDA</v>
      </c>
      <c r="C340" s="17" t="n">
        <f aca="false">Report!U449</f>
        <v>358.9</v>
      </c>
      <c r="D340" s="1" t="str">
        <f aca="false">Report!X449</f>
        <v>NF 3204267 3/4 - ALICIA</v>
      </c>
    </row>
    <row r="341" customFormat="false" ht="12.75" hidden="false" customHeight="true" outlineLevel="0" collapsed="false">
      <c r="A341" s="15" t="n">
        <f aca="false">Report!C450</f>
        <v>46220</v>
      </c>
      <c r="B341" s="1" t="str">
        <f aca="false">Report!E450</f>
        <v>DUNORTE DISTRIBUIDORA DE PRODUTOS DE CONSUMO LTDA</v>
      </c>
      <c r="C341" s="17" t="n">
        <f aca="false">Report!U450</f>
        <v>1019.5</v>
      </c>
      <c r="D341" s="1" t="str">
        <f aca="false">Report!X450</f>
        <v>NF 3204268 3/3 - ALICIA</v>
      </c>
    </row>
    <row r="342" customFormat="false" ht="12.75" hidden="false" customHeight="true" outlineLevel="0" collapsed="false">
      <c r="A342" s="15" t="n">
        <f aca="false">Report!C451</f>
        <v>46220</v>
      </c>
      <c r="B342" s="1" t="str">
        <f aca="false">Report!E451</f>
        <v>DUNORTE DISTRIBUIDORA DE PRODUTOS DE CONSUMO LTDA</v>
      </c>
      <c r="C342" s="17" t="n">
        <f aca="false">Report!U451</f>
        <v>1319.07</v>
      </c>
      <c r="D342" s="1" t="str">
        <f aca="false">Report!X451</f>
        <v>NF 320465 3/3 - ALICIA</v>
      </c>
    </row>
    <row r="343" customFormat="false" ht="12.75" hidden="false" customHeight="true" outlineLevel="0" collapsed="false">
      <c r="A343" s="15" t="n">
        <f aca="false">Report!C452</f>
        <v>46220</v>
      </c>
      <c r="B343" s="1" t="str">
        <f aca="false">Report!E452</f>
        <v>DUNORTE DISTRIBUIDORA DE PRODUTOS DE CONSUMO LTDA</v>
      </c>
      <c r="C343" s="17" t="n">
        <f aca="false">Report!U452</f>
        <v>1097.93</v>
      </c>
      <c r="D343" s="1" t="str">
        <f aca="false">Report!X452</f>
        <v>NF 3204263 3/3 - ALICIA</v>
      </c>
    </row>
    <row r="344" customFormat="false" ht="12.75" hidden="false" customHeight="true" outlineLevel="0" collapsed="false">
      <c r="A344" s="15" t="n">
        <f aca="false">Report!C453</f>
        <v>46220</v>
      </c>
      <c r="B344" s="1" t="str">
        <f aca="false">Report!E453</f>
        <v>DUNORTE DISTRIBUIDORA DE PRODUTOS DE CONSUMO LTDA</v>
      </c>
      <c r="C344" s="17" t="n">
        <f aca="false">Report!U453</f>
        <v>806.43</v>
      </c>
      <c r="D344" s="1" t="str">
        <f aca="false">Report!X453</f>
        <v>NF 3204264 3/4 - ALICIA</v>
      </c>
    </row>
    <row r="345" customFormat="false" ht="12.75" hidden="false" customHeight="true" outlineLevel="0" collapsed="false">
      <c r="A345" s="15" t="n">
        <f aca="false">Report!C454</f>
        <v>46220</v>
      </c>
      <c r="B345" s="1" t="str">
        <f aca="false">Report!E454</f>
        <v>DUNORTE DISTRIBUIDORA DE PRODUTOS DE CONSUMO LTDA</v>
      </c>
      <c r="C345" s="17" t="n">
        <f aca="false">Report!U454</f>
        <v>1138.24</v>
      </c>
      <c r="D345" s="1" t="str">
        <f aca="false">Report!X454</f>
        <v>NF 3204269 3/3 - ALICIA</v>
      </c>
    </row>
    <row r="346" customFormat="false" ht="12.75" hidden="false" customHeight="true" outlineLevel="0" collapsed="false">
      <c r="A346" s="15" t="n">
        <f aca="false">Report!C455</f>
        <v>46220</v>
      </c>
      <c r="B346" s="1" t="str">
        <f aca="false">Report!E455</f>
        <v>OCIDENTAL COMERCIO DE FRIOS LTDA</v>
      </c>
      <c r="C346" s="17" t="n">
        <f aca="false">Report!U455</f>
        <v>930.35</v>
      </c>
      <c r="D346" s="1" t="str">
        <f aca="false">Report!X455</f>
        <v>NF 1238202 3/3 - ALICIA</v>
      </c>
    </row>
    <row r="347" customFormat="false" ht="12.75" hidden="false" customHeight="true" outlineLevel="0" collapsed="false">
      <c r="A347" s="15" t="n">
        <f aca="false">Report!C456</f>
        <v>46220</v>
      </c>
      <c r="B347" s="1" t="str">
        <f aca="false">Report!E456</f>
        <v>L S M COMERCIO DE ALIMENTOS E NAVEGACAO</v>
      </c>
      <c r="C347" s="17" t="n">
        <f aca="false">Report!U456</f>
        <v>391.4</v>
      </c>
      <c r="D347" s="1" t="str">
        <f aca="false">Report!X456</f>
        <v>NF 304792 3/3 - ALICIA </v>
      </c>
    </row>
    <row r="348" customFormat="false" ht="12.75" hidden="false" customHeight="true" outlineLevel="0" collapsed="false">
      <c r="A348" s="15" t="n">
        <f aca="false">Report!C458</f>
        <v>46220</v>
      </c>
      <c r="B348" s="1" t="str">
        <f aca="false">Report!E458</f>
        <v>SB COMERCIO LTDA</v>
      </c>
      <c r="C348" s="17" t="n">
        <f aca="false">Report!U458</f>
        <v>595.62</v>
      </c>
      <c r="D348" s="1" t="str">
        <f aca="false">Report!X458</f>
        <v>NF 1959198 1/1 - ALICIA </v>
      </c>
    </row>
    <row r="349" customFormat="false" ht="12.75" hidden="false" customHeight="true" outlineLevel="0" collapsed="false">
      <c r="A349" s="15" t="n">
        <f aca="false">Report!C459</f>
        <v>46220</v>
      </c>
      <c r="B349" s="1" t="str">
        <f aca="false">Report!E459</f>
        <v>COMERCIAL DE ESTIVAS REGO LTDA</v>
      </c>
      <c r="C349" s="17" t="n">
        <f aca="false">Report!U459</f>
        <v>782.56</v>
      </c>
      <c r="D349" s="1" t="str">
        <f aca="false">Report!X459</f>
        <v>NF 222263 3/4 - ALICIA </v>
      </c>
    </row>
    <row r="350" customFormat="false" ht="12.75" hidden="false" customHeight="true" outlineLevel="0" collapsed="false">
      <c r="A350" s="15" t="n">
        <f aca="false">Report!C460</f>
        <v>46220</v>
      </c>
      <c r="B350" s="1" t="str">
        <f aca="false">Report!E460</f>
        <v>MARTINS COM SERV DISTR SA</v>
      </c>
      <c r="C350" s="17" t="n">
        <f aca="false">Report!U460</f>
        <v>393.5</v>
      </c>
      <c r="D350" s="1" t="str">
        <f aca="false">Report!X460</f>
        <v>NF 1773256 3/3 - ALICIA </v>
      </c>
    </row>
    <row r="351" customFormat="false" ht="12.75" hidden="false" customHeight="true" outlineLevel="0" collapsed="false">
      <c r="A351" s="15" t="n">
        <f aca="false">Report!C462</f>
        <v>46220</v>
      </c>
      <c r="B351" s="1" t="str">
        <f aca="false">Report!E462</f>
        <v>IRMÃOS LIMA  ATACADO  DE ALIMENTOS LTDA</v>
      </c>
      <c r="C351" s="17" t="n">
        <f aca="false">Report!U462</f>
        <v>977.07</v>
      </c>
      <c r="D351" s="1" t="str">
        <f aca="false">Report!X462</f>
        <v>NF 293817 3/4 - ALICIA </v>
      </c>
    </row>
    <row r="352" customFormat="false" ht="12.75" hidden="false" customHeight="true" outlineLevel="0" collapsed="false">
      <c r="A352" s="15" t="n">
        <f aca="false">Report!C463</f>
        <v>46220</v>
      </c>
      <c r="B352" s="1" t="str">
        <f aca="false">Report!E463</f>
        <v>DISTRIBUIDORA LOPES LTDA</v>
      </c>
      <c r="C352" s="17" t="n">
        <f aca="false">Report!U463</f>
        <v>1189.33</v>
      </c>
      <c r="D352" s="1" t="str">
        <f aca="false">Report!X463</f>
        <v>NF 1678500 2/3 - ALICIA </v>
      </c>
    </row>
    <row r="353" customFormat="false" ht="12.75" hidden="false" customHeight="true" outlineLevel="0" collapsed="false">
      <c r="A353" s="15" t="n">
        <f aca="false">Report!C464</f>
        <v>46220</v>
      </c>
      <c r="B353" s="1" t="str">
        <f aca="false">Report!E464</f>
        <v>DISTRIBUIDORA LOPES LTDA</v>
      </c>
      <c r="C353" s="17" t="n">
        <f aca="false">Report!U464</f>
        <v>338.67</v>
      </c>
      <c r="D353" s="1" t="str">
        <f aca="false">Report!X464</f>
        <v>NF 1678840 2/3 - ALICIA </v>
      </c>
    </row>
    <row r="354" customFormat="false" ht="12.75" hidden="false" customHeight="true" outlineLevel="0" collapsed="false">
      <c r="A354" s="15" t="n">
        <f aca="false">Report!C465</f>
        <v>46220</v>
      </c>
      <c r="B354" s="1" t="str">
        <f aca="false">Report!E465</f>
        <v>RCL COMERCIO DE PRODUTOS ALIMENTICIOS LT</v>
      </c>
      <c r="C354" s="17" t="n">
        <f aca="false">Report!U465</f>
        <v>675.92</v>
      </c>
      <c r="D354" s="1" t="str">
        <f aca="false">Report!X465</f>
        <v>NF 215700 2/2 - ALICIA </v>
      </c>
    </row>
    <row r="355" customFormat="false" ht="12.75" hidden="false" customHeight="true" outlineLevel="0" collapsed="false">
      <c r="A355" s="15" t="n">
        <f aca="false">Report!C466</f>
        <v>46220</v>
      </c>
      <c r="B355" s="1" t="str">
        <f aca="false">Report!E466</f>
        <v>TOYA INDUSTRIA E COMERCIO LTDA.</v>
      </c>
      <c r="C355" s="17" t="n">
        <f aca="false">Report!U466</f>
        <v>469.93</v>
      </c>
      <c r="D355" s="1" t="str">
        <f aca="false">Report!X466</f>
        <v>NF 254082 1/1 - ALICIA </v>
      </c>
    </row>
    <row r="356" customFormat="false" ht="12.75" hidden="false" customHeight="true" outlineLevel="0" collapsed="false">
      <c r="A356" s="15" t="n">
        <f aca="false">Report!C467</f>
        <v>46220</v>
      </c>
      <c r="B356" s="1" t="str">
        <f aca="false">Report!E467</f>
        <v>VICTORIA COMERCIO INTERNACIONAL DE ALIME</v>
      </c>
      <c r="C356" s="17" t="n">
        <f aca="false">Report!U467</f>
        <v>431.88</v>
      </c>
      <c r="D356" s="1" t="str">
        <f aca="false">Report!X467</f>
        <v>NF 11957 3/3 - ALICIA </v>
      </c>
    </row>
    <row r="357" customFormat="false" ht="12.75" hidden="false" customHeight="true" outlineLevel="0" collapsed="false">
      <c r="A357" s="15" t="n">
        <f aca="false">Report!C468</f>
        <v>46220</v>
      </c>
      <c r="B357" s="1" t="str">
        <f aca="false">Report!E468</f>
        <v>OCIDENTAL COMERCIO DE FRIOS LTDA</v>
      </c>
      <c r="C357" s="17" t="n">
        <f aca="false">Report!U468</f>
        <v>742.53</v>
      </c>
      <c r="D357" s="1" t="str">
        <f aca="false">Report!X468</f>
        <v>NF 1240473 2/3 - ALICIA </v>
      </c>
    </row>
    <row r="358" customFormat="false" ht="12.75" hidden="false" customHeight="true" outlineLevel="0" collapsed="false">
      <c r="A358" s="15" t="n">
        <f aca="false">Report!C469</f>
        <v>46220</v>
      </c>
      <c r="B358" s="1" t="str">
        <f aca="false">Report!E469</f>
        <v>ADRIANA DISTRIBUIDORA DE PRODUTOS ALIMEN</v>
      </c>
      <c r="C358" s="17" t="n">
        <f aca="false">Report!U469</f>
        <v>764.33</v>
      </c>
      <c r="D358" s="1" t="str">
        <f aca="false">Report!X469</f>
        <v>NF 881224 2/3 - ALICIA </v>
      </c>
    </row>
    <row r="359" customFormat="false" ht="12.75" hidden="false" customHeight="true" outlineLevel="0" collapsed="false">
      <c r="A359" s="15" t="n">
        <f aca="false">Report!C470</f>
        <v>46220</v>
      </c>
      <c r="B359" s="1" t="str">
        <f aca="false">Report!E470</f>
        <v>DUBOM FRAC. E IND. DE CEREAIS LTDA EPP</v>
      </c>
      <c r="C359" s="17" t="n">
        <f aca="false">Report!U470</f>
        <v>637.31</v>
      </c>
      <c r="D359" s="1" t="str">
        <f aca="false">Report!X470</f>
        <v>NF 332759 2/3 - ALICIA </v>
      </c>
    </row>
    <row r="360" customFormat="false" ht="12.75" hidden="false" customHeight="true" outlineLevel="0" collapsed="false">
      <c r="A360" s="15" t="n">
        <f aca="false">Report!C471</f>
        <v>46220</v>
      </c>
      <c r="B360" s="1" t="str">
        <f aca="false">Report!E471</f>
        <v>J G COMERCIO DE PRODUTOS ALIMENTICIOS LTDA</v>
      </c>
      <c r="C360" s="17" t="n">
        <f aca="false">Report!U471</f>
        <v>1235.12</v>
      </c>
      <c r="D360" s="1" t="str">
        <f aca="false">Report!X471</f>
        <v>NF 388917 2/3 - ALICIA </v>
      </c>
    </row>
    <row r="361" customFormat="false" ht="12.75" hidden="false" customHeight="true" outlineLevel="0" collapsed="false">
      <c r="A361" s="15" t="n">
        <f aca="false">Report!C472</f>
        <v>46220</v>
      </c>
      <c r="B361" s="1" t="str">
        <f aca="false">Report!E472</f>
        <v>MARE DISTRIBUIDORA DE BEBIDAS E DE PRODUTOS ALIMENTICIOS LTDA</v>
      </c>
      <c r="C361" s="17" t="n">
        <f aca="false">Report!U472</f>
        <v>956.15</v>
      </c>
      <c r="D361" s="1" t="str">
        <f aca="false">Report!X472</f>
        <v>NF 1379833 2/2 - ALICIA </v>
      </c>
    </row>
    <row r="362" customFormat="false" ht="12.75" hidden="false" customHeight="true" outlineLevel="0" collapsed="false">
      <c r="A362" s="15" t="n">
        <f aca="false">Report!C473</f>
        <v>46220</v>
      </c>
      <c r="B362" s="1" t="str">
        <f aca="false">Report!E473</f>
        <v>OESA COMERCIO E REPRESENTACOES S/A</v>
      </c>
      <c r="C362" s="17" t="n">
        <f aca="false">Report!U473</f>
        <v>709.48</v>
      </c>
      <c r="D362" s="1" t="str">
        <f aca="false">Report!X473</f>
        <v>NF 421765 2/3 - ALICIA</v>
      </c>
    </row>
    <row r="363" customFormat="false" ht="12.75" hidden="false" customHeight="true" outlineLevel="0" collapsed="false">
      <c r="A363" s="15" t="n">
        <f aca="false">Report!C474</f>
        <v>46220</v>
      </c>
      <c r="B363" s="1" t="str">
        <f aca="false">Report!E474</f>
        <v>DURAES DISTRIBUIDORA DE ESTIVAS LTDA</v>
      </c>
      <c r="C363" s="17" t="n">
        <f aca="false">Report!U474</f>
        <v>553.36</v>
      </c>
      <c r="D363" s="1" t="str">
        <f aca="false">Report!X474</f>
        <v>NF 647403 2/3 - ALICIA </v>
      </c>
    </row>
    <row r="364" customFormat="false" ht="12.75" hidden="false" customHeight="true" outlineLevel="0" collapsed="false">
      <c r="A364" s="15" t="n">
        <f aca="false">Report!C475</f>
        <v>46220</v>
      </c>
      <c r="B364" s="1" t="str">
        <f aca="false">Report!E475</f>
        <v>OLIVEIRA E SILVA LTDA</v>
      </c>
      <c r="C364" s="17" t="n">
        <f aca="false">Report!U475</f>
        <v>250</v>
      </c>
      <c r="D364" s="1" t="str">
        <f aca="false">Report!X475</f>
        <v>COMPRAS BANANA PACOVAN PIX:94667152249 MANOEL DE JESUS FRANCO COSTA</v>
      </c>
    </row>
    <row r="365" customFormat="false" ht="12.75" hidden="false" customHeight="true" outlineLevel="0" collapsed="false">
      <c r="A365" s="15" t="n">
        <f aca="false">Report!C476</f>
        <v>46220</v>
      </c>
      <c r="B365" s="1" t="str">
        <f aca="false">Report!E476</f>
        <v>FH DISTRIBUIDORA DE ALIM. E BEBIDAS LTDA</v>
      </c>
      <c r="C365" s="17" t="n">
        <f aca="false">Report!U476</f>
        <v>288.36</v>
      </c>
      <c r="D365" s="1" t="str">
        <f aca="false">Report!X476</f>
        <v>NF 327464 1/3 - ALICIA </v>
      </c>
    </row>
    <row r="366" customFormat="false" ht="12.75" hidden="false" customHeight="true" outlineLevel="0" collapsed="false">
      <c r="A366" s="15" t="n">
        <f aca="false">Report!C477</f>
        <v>46220</v>
      </c>
      <c r="B366" s="1" t="str">
        <f aca="false">Report!E477</f>
        <v>TOYA INDUSTRIA E COMERCIO LTDA.</v>
      </c>
      <c r="C366" s="17" t="n">
        <f aca="false">Report!U477</f>
        <v>325.35</v>
      </c>
      <c r="D366" s="1" t="str">
        <f aca="false">Report!X477</f>
        <v>NF 254512 2/2 - ALICIA </v>
      </c>
    </row>
    <row r="367" customFormat="false" ht="12.75" hidden="false" customHeight="true" outlineLevel="0" collapsed="false">
      <c r="A367" s="15" t="n">
        <f aca="false">Report!C478</f>
        <v>46220</v>
      </c>
      <c r="B367" s="1" t="str">
        <f aca="false">Report!E478</f>
        <v>OCIDENTAL COMERCIO DE FRIOS LTDA</v>
      </c>
      <c r="C367" s="17" t="n">
        <f aca="false">Report!U478</f>
        <v>683</v>
      </c>
      <c r="D367" s="1" t="str">
        <f aca="false">Report!X478</f>
        <v>NF 1242824 1/3 - ALICIA </v>
      </c>
    </row>
    <row r="368" customFormat="false" ht="12.75" hidden="false" customHeight="true" outlineLevel="0" collapsed="false">
      <c r="A368" s="15" t="n">
        <f aca="false">Report!C479</f>
        <v>46220</v>
      </c>
      <c r="B368" s="1" t="str">
        <f aca="false">Report!E479</f>
        <v>OCIDENTAL COMERCIO DE FRIOS LTDA</v>
      </c>
      <c r="C368" s="17" t="n">
        <f aca="false">Report!U479</f>
        <v>764</v>
      </c>
      <c r="D368" s="1" t="str">
        <f aca="false">Report!X479</f>
        <v>NF 1242825 1/3 - ALICIA </v>
      </c>
    </row>
    <row r="369" customFormat="false" ht="12.75" hidden="false" customHeight="true" outlineLevel="0" collapsed="false">
      <c r="A369" s="15" t="n">
        <f aca="false">Report!C480</f>
        <v>46220</v>
      </c>
      <c r="B369" s="1" t="str">
        <f aca="false">Report!E480</f>
        <v>OCIDENTAL COMERCIO DE FRIOS LTDA</v>
      </c>
      <c r="C369" s="17" t="n">
        <f aca="false">Report!U480</f>
        <v>502.2</v>
      </c>
      <c r="D369" s="1" t="str">
        <f aca="false">Report!X480</f>
        <v>NF 1242823 1/1 - ALICIA </v>
      </c>
    </row>
    <row r="370" customFormat="false" ht="12.75" hidden="false" customHeight="true" outlineLevel="0" collapsed="false">
      <c r="A370" s="15" t="n">
        <f aca="false">Report!C482</f>
        <v>46220</v>
      </c>
      <c r="B370" s="1" t="str">
        <f aca="false">Report!E482</f>
        <v>NARA BARRETO DE SOUZA</v>
      </c>
      <c r="C370" s="17" t="n">
        <f aca="false">Report!U482</f>
        <v>450</v>
      </c>
      <c r="D370" s="1" t="str">
        <f aca="false">Report!X482</f>
        <v>NF 4 1/1 / PIX:03684996000270 NARA BARRETO </v>
      </c>
    </row>
    <row r="371" customFormat="false" ht="12.75" hidden="false" customHeight="true" outlineLevel="0" collapsed="false">
      <c r="A371" s="15" t="n">
        <f aca="false">Report!C483</f>
        <v>46220</v>
      </c>
      <c r="B371" s="1" t="str">
        <f aca="false">Report!E483</f>
        <v>ORIENTE COM. ATACADISTA E REPRES. LTDA</v>
      </c>
      <c r="C371" s="17" t="n">
        <f aca="false">Report!U483</f>
        <v>1598.87</v>
      </c>
      <c r="D371" s="1" t="str">
        <f aca="false">Report!X483</f>
        <v>NF 2144 2/3 - ALICIA </v>
      </c>
    </row>
    <row r="372" customFormat="false" ht="12.75" hidden="false" customHeight="true" outlineLevel="0" collapsed="false">
      <c r="A372" s="15" t="n">
        <f aca="false">Report!C485</f>
        <v>46220</v>
      </c>
      <c r="B372" s="1" t="str">
        <f aca="false">Report!E485</f>
        <v>SOUZA CRUZ LTDA.</v>
      </c>
      <c r="C372" s="17" t="n">
        <f aca="false">Report!U485</f>
        <v>1891.66</v>
      </c>
      <c r="D372" s="1" t="str">
        <f aca="false">Report!X485</f>
        <v>NF 565626 2/2 - ALICIA </v>
      </c>
    </row>
    <row r="373" customFormat="false" ht="12.75" hidden="false" customHeight="true" outlineLevel="0" collapsed="false">
      <c r="A373" s="15" t="n">
        <f aca="false">Report!C486</f>
        <v>46220</v>
      </c>
      <c r="B373" s="1" t="str">
        <f aca="false">Report!E486</f>
        <v>OLIVEIRA E SILVA LTDA</v>
      </c>
      <c r="C373" s="17" t="n">
        <f aca="false">Report!U486</f>
        <v>280</v>
      </c>
      <c r="D373" s="1" t="str">
        <f aca="false">Report!X486</f>
        <v>COMPRAS ACAI PIX:92991892419 NAILSON GARCES</v>
      </c>
    </row>
    <row r="374" customFormat="false" ht="12.75" hidden="false" customHeight="true" outlineLevel="0" collapsed="false">
      <c r="A374" s="15" t="n">
        <f aca="false">Report!C487</f>
        <v>46220</v>
      </c>
      <c r="B374" s="1" t="str">
        <f aca="false">Report!E487</f>
        <v>AMERICANA DISTRIBUIDORA DE BEBIDAS E MERCADORIAS LTDA</v>
      </c>
      <c r="C374" s="17" t="n">
        <f aca="false">Report!U487</f>
        <v>323.78</v>
      </c>
      <c r="D374" s="1" t="str">
        <f aca="false">Report!X487</f>
        <v>NF 78422 1/3 - ALICIA </v>
      </c>
    </row>
    <row r="375" customFormat="false" ht="12.75" hidden="false" customHeight="true" outlineLevel="0" collapsed="false">
      <c r="A375" s="15" t="n">
        <f aca="false">Report!C488</f>
        <v>46220</v>
      </c>
      <c r="B375" s="1" t="str">
        <f aca="false">Report!E488</f>
        <v>GONCALES COMER DE HORT GRANJEIROS EIRELI</v>
      </c>
      <c r="C375" s="17" t="n">
        <f aca="false">Report!U488</f>
        <v>1440</v>
      </c>
      <c r="D375" s="1" t="str">
        <f aca="false">Report!X488</f>
        <v>NF 39618 1/1 - ALICIA </v>
      </c>
    </row>
    <row r="376" customFormat="false" ht="12.75" hidden="false" customHeight="true" outlineLevel="0" collapsed="false">
      <c r="A376" s="15" t="n">
        <f aca="false">Report!C489</f>
        <v>46220</v>
      </c>
      <c r="B376" s="1" t="str">
        <f aca="false">Report!E489</f>
        <v>GONCALES COMER DE HORT GRANJEIROS EIRELI</v>
      </c>
      <c r="C376" s="17" t="n">
        <f aca="false">Report!U489</f>
        <v>105</v>
      </c>
      <c r="D376" s="1" t="str">
        <f aca="false">Report!X489</f>
        <v>NF 2477 1/1 - ALICIA </v>
      </c>
    </row>
    <row r="377" customFormat="false" ht="12.75" hidden="false" customHeight="true" outlineLevel="0" collapsed="false">
      <c r="A377" s="15" t="n">
        <f aca="false">Report!C490</f>
        <v>46220</v>
      </c>
      <c r="B377" s="1" t="str">
        <f aca="false">Report!E490</f>
        <v>GONCALES COMER DE HORT GRANJEIROS EIRELI</v>
      </c>
      <c r="C377" s="17" t="n">
        <f aca="false">Report!U490</f>
        <v>249.5</v>
      </c>
      <c r="D377" s="1" t="str">
        <f aca="false">Report!X490</f>
        <v>NF 39615 1/1- ALICIA </v>
      </c>
    </row>
    <row r="378" customFormat="false" ht="12.75" hidden="false" customHeight="true" outlineLevel="0" collapsed="false">
      <c r="A378" s="15" t="n">
        <f aca="false">Report!C491</f>
        <v>46220</v>
      </c>
      <c r="B378" s="1" t="str">
        <f aca="false">Report!E491</f>
        <v>J G COMERCIO DE PRODUTOS ALIMENTICIOS LTDA</v>
      </c>
      <c r="C378" s="17" t="n">
        <f aca="false">Report!U491</f>
        <v>2508.91</v>
      </c>
      <c r="D378" s="1" t="str">
        <f aca="false">Report!X491</f>
        <v>NF 390537 1/3 - ALICIA </v>
      </c>
    </row>
    <row r="379" customFormat="false" ht="12.75" hidden="false" customHeight="true" outlineLevel="0" collapsed="false">
      <c r="A379" s="15" t="n">
        <f aca="false">Report!C492</f>
        <v>46220</v>
      </c>
      <c r="B379" s="1" t="str">
        <f aca="false">Report!E492</f>
        <v>NESTLÉ BRASIL LTDA.</v>
      </c>
      <c r="C379" s="17" t="n">
        <f aca="false">Report!U492</f>
        <v>914.42</v>
      </c>
      <c r="D379" s="1" t="str">
        <f aca="false">Report!X492</f>
        <v>NF 1424293 1/1 - ALICIA </v>
      </c>
    </row>
    <row r="380" customFormat="false" ht="12.75" hidden="false" customHeight="true" outlineLevel="0" collapsed="false">
      <c r="A380" s="15" t="n">
        <f aca="false">Report!C493</f>
        <v>46220</v>
      </c>
      <c r="B380" s="1" t="str">
        <f aca="false">Report!E493</f>
        <v>COMERCIO DE FRIOS MANAUS LTDA</v>
      </c>
      <c r="C380" s="17" t="n">
        <f aca="false">Report!U493</f>
        <v>5232.9</v>
      </c>
      <c r="D380" s="1" t="str">
        <f aca="false">Report!X493</f>
        <v>NF 172669 1/1- ALICIA</v>
      </c>
    </row>
    <row r="381" customFormat="false" ht="12.75" hidden="false" customHeight="true" outlineLevel="0" collapsed="false">
      <c r="A381" s="15" t="n">
        <f aca="false">Report!C494</f>
        <v>46220</v>
      </c>
      <c r="B381" s="1" t="str">
        <f aca="false">Report!E494</f>
        <v>COMERCIO DE FRIOS MANAUS LTDA</v>
      </c>
      <c r="C381" s="17" t="n">
        <f aca="false">Report!U494</f>
        <v>1151.7</v>
      </c>
      <c r="D381" s="1" t="str">
        <f aca="false">Report!X494</f>
        <v>NF 172701 1/1 - ALICIA</v>
      </c>
    </row>
    <row r="382" customFormat="false" ht="12.75" hidden="false" customHeight="true" outlineLevel="0" collapsed="false">
      <c r="A382" s="15" t="n">
        <f aca="false">Report!C495</f>
        <v>46220</v>
      </c>
      <c r="B382" s="1" t="str">
        <f aca="false">Report!E495</f>
        <v>REAL BEBIDAS DA AMAZONIA LTDA</v>
      </c>
      <c r="C382" s="17" t="n">
        <f aca="false">Report!U495</f>
        <v>309.25</v>
      </c>
      <c r="D382" s="1" t="str">
        <f aca="false">Report!X495</f>
        <v>NF 598141 1/2 - ALICIA </v>
      </c>
    </row>
    <row r="383" customFormat="false" ht="12.75" hidden="false" customHeight="true" outlineLevel="0" collapsed="false">
      <c r="A383" s="15" t="n">
        <f aca="false">Report!C496</f>
        <v>46220</v>
      </c>
      <c r="B383" s="1" t="str">
        <f aca="false">Report!E496</f>
        <v>OLIVEIRA E SILVA LTDA</v>
      </c>
      <c r="C383" s="17" t="n">
        <f aca="false">Report!U496</f>
        <v>600</v>
      </c>
      <c r="D383" s="1" t="str">
        <f aca="false">Report!X496</f>
        <v>COMPRAS JOSE FARINHA </v>
      </c>
    </row>
    <row r="384" customFormat="false" ht="12.75" hidden="false" customHeight="true" outlineLevel="0" collapsed="false">
      <c r="A384" s="15" t="n">
        <f aca="false">Report!C497</f>
        <v>46220</v>
      </c>
      <c r="B384" s="1" t="str">
        <f aca="false">Report!E497</f>
        <v>S E PEREIRA BARBOSA ME</v>
      </c>
      <c r="C384" s="17" t="n">
        <f aca="false">Report!U497</f>
        <v>259</v>
      </c>
      <c r="D384" s="1" t="str">
        <f aca="false">Report!X497</f>
        <v>NF 18119 1/1 - ALICIA </v>
      </c>
    </row>
    <row r="385" customFormat="false" ht="12.75" hidden="false" customHeight="true" outlineLevel="0" collapsed="false">
      <c r="A385" s="15" t="n">
        <f aca="false">Report!C500</f>
        <v>46220</v>
      </c>
      <c r="B385" s="1" t="str">
        <f aca="false">Report!E500</f>
        <v>BRASIL NORTE BEBIDAS S/A</v>
      </c>
      <c r="C385" s="17" t="n">
        <f aca="false">Report!U500</f>
        <v>806.21</v>
      </c>
      <c r="D385" s="1" t="str">
        <f aca="false">Report!X500</f>
        <v>NF 11931787 1/1 - ALICIA </v>
      </c>
    </row>
    <row r="386" customFormat="false" ht="12.75" hidden="false" customHeight="true" outlineLevel="0" collapsed="false">
      <c r="A386" s="15" t="n">
        <f aca="false">Report!C501</f>
        <v>46220</v>
      </c>
      <c r="B386" s="1" t="str">
        <f aca="false">Report!E501</f>
        <v>BRASIL NORTE BEBIDAS S/A</v>
      </c>
      <c r="C386" s="17" t="n">
        <f aca="false">Report!U501</f>
        <v>82.27</v>
      </c>
      <c r="D386" s="1" t="str">
        <f aca="false">Report!X501</f>
        <v>NF 1193153 1/1 - ALICIA</v>
      </c>
    </row>
    <row r="387" customFormat="false" ht="12.75" hidden="false" customHeight="true" outlineLevel="0" collapsed="false">
      <c r="A387" s="15" t="n">
        <f aca="false">Report!C502</f>
        <v>46220</v>
      </c>
      <c r="B387" s="1" t="str">
        <f aca="false">Report!E502</f>
        <v>BRASIL NORTE BEBIDAS S/A</v>
      </c>
      <c r="C387" s="17" t="n">
        <f aca="false">Report!U502</f>
        <v>510.87</v>
      </c>
      <c r="D387" s="1" t="str">
        <f aca="false">Report!X502</f>
        <v>NF 1193179 1/1 - ALICIA </v>
      </c>
    </row>
    <row r="388" customFormat="false" ht="12.75" hidden="false" customHeight="true" outlineLevel="0" collapsed="false">
      <c r="A388" s="15" t="n">
        <f aca="false">Report!C503</f>
        <v>46220</v>
      </c>
      <c r="B388" s="1" t="str">
        <f aca="false">Report!E503</f>
        <v>BRASIL NORTE BEBIDAS S/A</v>
      </c>
      <c r="C388" s="17" t="n">
        <f aca="false">Report!U503</f>
        <v>4501.19</v>
      </c>
      <c r="D388" s="1" t="str">
        <f aca="false">Report!X503</f>
        <v>NF 1924041 1/1 - ALICIA </v>
      </c>
    </row>
    <row r="389" customFormat="false" ht="12.75" hidden="false" customHeight="true" outlineLevel="0" collapsed="false">
      <c r="A389" s="15" t="n">
        <f aca="false">Report!C504</f>
        <v>46220</v>
      </c>
      <c r="B389" s="1" t="str">
        <f aca="false">Report!E504</f>
        <v>BRASIL NORTE BEBIDAS S/A</v>
      </c>
      <c r="C389" s="17" t="n">
        <f aca="false">Report!U504</f>
        <v>653.29</v>
      </c>
      <c r="D389" s="1" t="str">
        <f aca="false">Report!X504</f>
        <v>NF 1193175 1/1 - ALICIA </v>
      </c>
    </row>
    <row r="390" customFormat="false" ht="12.75" hidden="false" customHeight="true" outlineLevel="0" collapsed="false">
      <c r="A390" s="15" t="n">
        <f aca="false">Report!C505</f>
        <v>46220</v>
      </c>
      <c r="B390" s="1" t="str">
        <f aca="false">Report!E505</f>
        <v>JANETE DE LIMA ROOL 80938280287</v>
      </c>
      <c r="C390" s="17" t="n">
        <f aca="false">Report!U505</f>
        <v>199</v>
      </c>
      <c r="D390" s="1" t="str">
        <f aca="false">Report!X505</f>
        <v>NF 6756 1/1 - ALICIA </v>
      </c>
    </row>
    <row r="391" customFormat="false" ht="12.75" hidden="false" customHeight="true" outlineLevel="0" collapsed="false">
      <c r="A391" s="15" t="n">
        <f aca="false">Report!C506</f>
        <v>46220</v>
      </c>
      <c r="B391" s="1" t="str">
        <f aca="false">Report!E506</f>
        <v>TOYA INDUSTRIA E COMERCIO LTDA.</v>
      </c>
      <c r="C391" s="17" t="n">
        <f aca="false">Report!U506</f>
        <v>439</v>
      </c>
      <c r="D391" s="1" t="str">
        <f aca="false">Report!X506</f>
        <v>NF 255009 1/2 - ALICIA</v>
      </c>
    </row>
    <row r="392" customFormat="false" ht="12.75" hidden="false" customHeight="true" outlineLevel="0" collapsed="false">
      <c r="A392" s="15" t="n">
        <f aca="false">Report!C507</f>
        <v>46220</v>
      </c>
      <c r="B392" s="1" t="str">
        <f aca="false">Report!E507</f>
        <v>BROTHERS  INDUSTRIA DE ALIMENTOS LTDA</v>
      </c>
      <c r="C392" s="17" t="n">
        <f aca="false">Report!U507</f>
        <v>501.3</v>
      </c>
      <c r="D392" s="1" t="str">
        <f aca="false">Report!X507</f>
        <v>NF 1031024 1/1 - ALICIA </v>
      </c>
    </row>
    <row r="393" customFormat="false" ht="12.75" hidden="false" customHeight="true" outlineLevel="0" collapsed="false">
      <c r="A393" s="15" t="n">
        <f aca="false">Report!C508</f>
        <v>46220</v>
      </c>
      <c r="B393" s="1" t="str">
        <f aca="false">Report!E508</f>
        <v>GONCALES COMER DE HORT GRANJEIROS EIRELI</v>
      </c>
      <c r="C393" s="17" t="n">
        <f aca="false">Report!U508</f>
        <v>1100</v>
      </c>
      <c r="D393" s="1" t="str">
        <f aca="false">Report!X508</f>
        <v>NF 39713 1/2 - ALICIA </v>
      </c>
    </row>
    <row r="394" customFormat="false" ht="12.75" hidden="false" customHeight="true" outlineLevel="0" collapsed="false">
      <c r="A394" s="15" t="n">
        <f aca="false">Report!C509</f>
        <v>46220</v>
      </c>
      <c r="B394" s="1" t="str">
        <f aca="false">Report!E509</f>
        <v>COMERCIO DE FRIOS MANAUS LTDA</v>
      </c>
      <c r="C394" s="17" t="n">
        <f aca="false">Report!U509</f>
        <v>2772</v>
      </c>
      <c r="D394" s="1" t="str">
        <f aca="false">Report!X509</f>
        <v>NF 172782 1/1 - ALICIA </v>
      </c>
    </row>
    <row r="395" customFormat="false" ht="12.75" hidden="false" customHeight="true" outlineLevel="0" collapsed="false">
      <c r="A395" s="15" t="n">
        <f aca="false">Report!C510</f>
        <v>46220</v>
      </c>
      <c r="B395" s="1" t="str">
        <f aca="false">Report!E510</f>
        <v>COMPRAS NA PORTA AVULSO</v>
      </c>
      <c r="C395" s="17" t="n">
        <f aca="false">Report!U510</f>
        <v>440</v>
      </c>
      <c r="D395" s="1" t="str">
        <f aca="false">Report!X510</f>
        <v>S/NF COMPRAS HARINA PAN - ALICIA </v>
      </c>
    </row>
    <row r="396" customFormat="false" ht="12.75" hidden="false" customHeight="true" outlineLevel="0" collapsed="false">
      <c r="A396" s="15" t="n">
        <f aca="false">Report!C511</f>
        <v>46220</v>
      </c>
      <c r="B396" s="1" t="str">
        <f aca="false">Report!E511</f>
        <v>AGL DISTRIBUIDORA LIMITADA MATRIZ</v>
      </c>
      <c r="C396" s="17" t="n">
        <f aca="false">Report!U511</f>
        <v>173.66</v>
      </c>
      <c r="D396" s="1" t="str">
        <f aca="false">Report!X511</f>
        <v>NF 12783 1/1 - ALICIA</v>
      </c>
    </row>
    <row r="397" customFormat="false" ht="12.75" hidden="false" customHeight="true" outlineLevel="0" collapsed="false">
      <c r="A397" s="15" t="n">
        <f aca="false">Report!C512</f>
        <v>46220</v>
      </c>
      <c r="B397" s="1" t="str">
        <f aca="false">Report!E512</f>
        <v>RCL COMERCIO DE PRODUTOS ALIMENTICIOS LT</v>
      </c>
      <c r="C397" s="17" t="n">
        <f aca="false">Report!U512</f>
        <v>357.27</v>
      </c>
      <c r="D397" s="1" t="str">
        <f aca="false">Report!X512</f>
        <v>NF 217864 1/3 - ALICIA </v>
      </c>
    </row>
    <row r="398" customFormat="false" ht="12.75" hidden="false" customHeight="true" outlineLevel="0" collapsed="false">
      <c r="A398" s="15" t="n">
        <f aca="false">Report!C513</f>
        <v>46220</v>
      </c>
      <c r="B398" s="1" t="str">
        <f aca="false">Report!E513</f>
        <v>ALEXANDRE DA SILVA RUFINO</v>
      </c>
      <c r="C398" s="17" t="n">
        <f aca="false">Report!U513</f>
        <v>368</v>
      </c>
      <c r="D398" s="1" t="str">
        <f aca="false">Report!X513</f>
        <v>S/NF COMPRAS CIGARRO 1/1 - ALICIA </v>
      </c>
    </row>
    <row r="399" customFormat="false" ht="12.75" hidden="false" customHeight="true" outlineLevel="0" collapsed="false">
      <c r="A399" s="15" t="n">
        <f aca="false">Report!C514</f>
        <v>46220</v>
      </c>
      <c r="B399" s="1" t="str">
        <f aca="false">Report!E514</f>
        <v>ELZILENE DA SILVA</v>
      </c>
      <c r="C399" s="17" t="n">
        <f aca="false">Report!U514</f>
        <v>1815</v>
      </c>
      <c r="D399" s="1" t="str">
        <f aca="false">Report!X514</f>
        <v>NF 2459 1/1 - ALICIA </v>
      </c>
    </row>
    <row r="400" customFormat="false" ht="12.75" hidden="false" customHeight="true" outlineLevel="0" collapsed="false">
      <c r="A400" s="15" t="n">
        <f aca="false">Report!C515</f>
        <v>46220</v>
      </c>
      <c r="B400" s="1" t="str">
        <f aca="false">Report!E515</f>
        <v>CINTIA MACIEL PEREIRA SANTOS 95986138287</v>
      </c>
      <c r="C400" s="17" t="n">
        <f aca="false">Report!U515</f>
        <v>700.4</v>
      </c>
      <c r="D400" s="1" t="str">
        <f aca="false">Report!X515</f>
        <v>NF 1378 1/1 - ALICIA </v>
      </c>
    </row>
    <row r="401" customFormat="false" ht="12.75" hidden="false" customHeight="true" outlineLevel="0" collapsed="false">
      <c r="A401" s="15" t="n">
        <f aca="false">Report!C516</f>
        <v>46220</v>
      </c>
      <c r="B401" s="1" t="str">
        <f aca="false">Report!E516</f>
        <v>H. L. DO NASCIMENTO</v>
      </c>
      <c r="C401" s="17" t="n">
        <f aca="false">Report!U516</f>
        <v>859</v>
      </c>
      <c r="D401" s="1" t="str">
        <f aca="false">Report!X516</f>
        <v>NF 5789 1/1 - ALICIA </v>
      </c>
    </row>
    <row r="402" customFormat="false" ht="12.75" hidden="false" customHeight="true" outlineLevel="0" collapsed="false">
      <c r="A402" s="15" t="n">
        <f aca="false">Report!C517</f>
        <v>46220</v>
      </c>
      <c r="B402" s="1" t="str">
        <f aca="false">Report!E517</f>
        <v>SOUZA CRUZ LTDA.</v>
      </c>
      <c r="C402" s="17" t="n">
        <f aca="false">Report!U517</f>
        <v>1901.93</v>
      </c>
      <c r="D402" s="1" t="str">
        <f aca="false">Report!X517</f>
        <v>NF 566717 1/2 - ALICIA </v>
      </c>
    </row>
    <row r="403" customFormat="false" ht="12.75" hidden="false" customHeight="true" outlineLevel="0" collapsed="false">
      <c r="A403" s="15" t="n">
        <f aca="false">Report!C518</f>
        <v>46220</v>
      </c>
      <c r="B403" s="1" t="str">
        <f aca="false">Report!E518</f>
        <v>J M GADZISKI LTDA</v>
      </c>
      <c r="C403" s="17" t="n">
        <f aca="false">Report!U518</f>
        <v>210</v>
      </c>
      <c r="D403" s="1" t="str">
        <f aca="false">Report!X518</f>
        <v>NF 861 1/1 - ALICIA </v>
      </c>
    </row>
    <row r="404" customFormat="false" ht="12.75" hidden="false" customHeight="true" outlineLevel="0" collapsed="false">
      <c r="A404" s="15" t="n">
        <f aca="false">Report!C519</f>
        <v>46220</v>
      </c>
      <c r="B404" s="1" t="str">
        <f aca="false">Report!E519</f>
        <v>S E PEREIRA BARBOSA ME</v>
      </c>
      <c r="C404" s="17" t="n">
        <f aca="false">Report!U519</f>
        <v>202.4</v>
      </c>
      <c r="D404" s="1" t="str">
        <f aca="false">Report!X519</f>
        <v>NF 18164 1/1 - ALICIA </v>
      </c>
    </row>
    <row r="405" customFormat="false" ht="12.75" hidden="false" customHeight="true" outlineLevel="0" collapsed="false">
      <c r="A405" s="15" t="n">
        <f aca="false">Report!C520</f>
        <v>46220</v>
      </c>
      <c r="B405" s="1" t="str">
        <f aca="false">Report!E520</f>
        <v>ADICSO FABIAN GONZALEZ MONTILLA 70302186</v>
      </c>
      <c r="C405" s="17" t="n">
        <f aca="false">Report!U520</f>
        <v>300</v>
      </c>
      <c r="D405" s="1" t="str">
        <f aca="false">Report!X520</f>
        <v>NF 528 1/1 - ALICIA </v>
      </c>
    </row>
    <row r="406" customFormat="false" ht="12.75" hidden="false" customHeight="true" outlineLevel="0" collapsed="false">
      <c r="A406" s="15" t="n">
        <f aca="false">Report!C521</f>
        <v>46220</v>
      </c>
      <c r="B406" s="1" t="str">
        <f aca="false">Report!E521</f>
        <v>BRASIL NORTE BEBIDAS S/A</v>
      </c>
      <c r="C406" s="17" t="n">
        <f aca="false">Report!U521</f>
        <v>2686.59</v>
      </c>
      <c r="D406" s="1" t="str">
        <f aca="false">Report!X521</f>
        <v>NF 1929985 1/1 - ALICIA </v>
      </c>
    </row>
    <row r="407" customFormat="false" ht="12.75" hidden="false" customHeight="true" outlineLevel="0" collapsed="false">
      <c r="A407" s="15" t="n">
        <f aca="false">Report!C522</f>
        <v>46220</v>
      </c>
      <c r="B407" s="1" t="str">
        <f aca="false">Report!E522</f>
        <v>OLIVEIRA E SILVA LTDA</v>
      </c>
      <c r="C407" s="17" t="n">
        <f aca="false">Report!U522</f>
        <v>1738.5</v>
      </c>
      <c r="D407" s="1" t="str">
        <f aca="false">Report!X522</f>
        <v>COMPRAS CARLOS VERDURAS - ALICIA</v>
      </c>
    </row>
    <row r="408" customFormat="false" ht="12.75" hidden="false" customHeight="true" outlineLevel="0" collapsed="false">
      <c r="A408" s="15" t="n">
        <f aca="false">Report!C523</f>
        <v>46220</v>
      </c>
      <c r="B408" s="1" t="str">
        <f aca="false">Report!E523</f>
        <v>COMERCIO E TRANSPORTE BRANDAO LTDA</v>
      </c>
      <c r="C408" s="17" t="n">
        <f aca="false">Report!U523</f>
        <v>540</v>
      </c>
      <c r="D408" s="1" t="str">
        <f aca="false">Report!X523</f>
        <v>NF 14863 1/1 / CARLOS VERDURAS - ALICIA</v>
      </c>
    </row>
    <row r="409" customFormat="false" ht="12.75" hidden="false" customHeight="true" outlineLevel="0" collapsed="false">
      <c r="A409" s="15" t="n">
        <f aca="false">Report!C524</f>
        <v>46220</v>
      </c>
      <c r="B409" s="1" t="str">
        <f aca="false">Report!E524</f>
        <v>COMERCIO E TRANSPORTE BRANDAO LTDA</v>
      </c>
      <c r="C409" s="17" t="n">
        <f aca="false">Report!U524</f>
        <v>140</v>
      </c>
      <c r="D409" s="1" t="str">
        <f aca="false">Report!X524</f>
        <v>COMPRAS CAMARAO / CARLOS VERDURAS - ALICIA</v>
      </c>
    </row>
    <row r="410" customFormat="false" ht="12.75" hidden="false" customHeight="true" outlineLevel="0" collapsed="false">
      <c r="A410" s="15" t="n">
        <f aca="false">Report!C525</f>
        <v>46220</v>
      </c>
      <c r="B410" s="1" t="str">
        <f aca="false">Report!E525</f>
        <v>DISTRIBUIDORA LOPES LTDA</v>
      </c>
      <c r="C410" s="17" t="n">
        <f aca="false">Report!U525</f>
        <v>654.97</v>
      </c>
      <c r="D410" s="1" t="str">
        <f aca="false">Report!X525</f>
        <v>NF 1678539 1/3 - ALICIA </v>
      </c>
    </row>
    <row r="411" customFormat="false" ht="12.75" hidden="false" customHeight="true" outlineLevel="0" collapsed="false">
      <c r="A411" s="15" t="n">
        <f aca="false">Report!C526</f>
        <v>46220</v>
      </c>
      <c r="B411" s="1" t="str">
        <f aca="false">Report!E526</f>
        <v>DISTRIBUIDORA LOPES LTDA</v>
      </c>
      <c r="C411" s="17" t="n">
        <f aca="false">Report!U526</f>
        <v>654.96</v>
      </c>
      <c r="D411" s="1" t="str">
        <f aca="false">Report!X526</f>
        <v>NF 1678539 2/3 - ALICIA</v>
      </c>
    </row>
    <row r="412" customFormat="false" ht="12.75" hidden="false" customHeight="true" outlineLevel="0" collapsed="false">
      <c r="A412" s="15" t="n">
        <f aca="false">Report!C527</f>
        <v>46220</v>
      </c>
      <c r="B412" s="1" t="str">
        <f aca="false">Report!E527</f>
        <v>OLIVEIRA E SILVA LTDA</v>
      </c>
      <c r="C412" s="17" t="n">
        <f aca="false">Report!U527</f>
        <v>240</v>
      </c>
      <c r="D412" s="1" t="str">
        <f aca="false">Report!X527</f>
        <v>COMPRAS 2 CX DE BANANAS - ALICIA</v>
      </c>
    </row>
    <row r="413" customFormat="false" ht="12.75" hidden="false" customHeight="true" outlineLevel="0" collapsed="false">
      <c r="A413" s="15" t="n">
        <f aca="false">Report!C528</f>
        <v>46220</v>
      </c>
      <c r="B413" s="1" t="str">
        <f aca="false">Report!E528</f>
        <v>OLIVEIRA E SILVA LTDA</v>
      </c>
      <c r="C413" s="17" t="n">
        <f aca="false">Report!U528</f>
        <v>140</v>
      </c>
      <c r="D413" s="1" t="str">
        <f aca="false">Report!X528</f>
        <v>COMPRAS CHEIRO VERDE - ALICIA </v>
      </c>
    </row>
    <row r="414" customFormat="false" ht="12.75" hidden="false" customHeight="true" outlineLevel="0" collapsed="false">
      <c r="A414" s="15" t="n">
        <f aca="false">Report!C529</f>
        <v>46220</v>
      </c>
      <c r="B414" s="1" t="str">
        <f aca="false">Report!E529</f>
        <v>JUROS A FORNECEDOR</v>
      </c>
      <c r="C414" s="17" t="n">
        <f aca="false">Report!U529</f>
        <v>419.47</v>
      </c>
      <c r="D414" s="1" t="str">
        <f aca="false">Report!X529</f>
        <v>JUROS PAGOS FORNECEDORES BOLETOS 14/07 - KEILA</v>
      </c>
    </row>
    <row r="415" customFormat="false" ht="12.75" hidden="false" customHeight="true" outlineLevel="0" collapsed="false">
      <c r="A415" s="15" t="n">
        <f aca="false">Report!C530</f>
        <v>46220</v>
      </c>
      <c r="B415" s="1" t="str">
        <f aca="false">Report!E530</f>
        <v>JUROS A FORNECEDOR</v>
      </c>
      <c r="C415" s="17" t="n">
        <f aca="false">Report!U530</f>
        <v>140.92</v>
      </c>
      <c r="D415" s="1" t="str">
        <f aca="false">Report!X530</f>
        <v>JUROS PAGOS FORNECEDOR BOLETOS 16/07- KEILA</v>
      </c>
    </row>
    <row r="416" customFormat="false" ht="12.75" hidden="false" customHeight="true" outlineLevel="0" collapsed="false">
      <c r="A416" s="15" t="n">
        <f aca="false">Report!C531</f>
        <v>46220</v>
      </c>
      <c r="B416" s="1" t="str">
        <f aca="false">Report!E531</f>
        <v>JUROS A FORNECEDOR</v>
      </c>
      <c r="C416" s="17" t="n">
        <f aca="false">Report!U531</f>
        <v>345.2</v>
      </c>
      <c r="D416" s="1" t="str">
        <f aca="false">Report!X531</f>
        <v>JUROS PAGOS FORNECEDOR BOLETOS 15/07 - KEILA</v>
      </c>
    </row>
    <row r="417" customFormat="false" ht="12.75" hidden="false" customHeight="true" outlineLevel="0" collapsed="false">
      <c r="A417" s="15" t="n">
        <f aca="false">Report!C532</f>
        <v>46220</v>
      </c>
      <c r="B417" s="1" t="str">
        <f aca="false">Report!E532</f>
        <v>J W N DOS SANTOS</v>
      </c>
      <c r="C417" s="17" t="n">
        <f aca="false">Report!U532</f>
        <v>504</v>
      </c>
      <c r="D417" s="1" t="str">
        <f aca="false">Report!X532</f>
        <v>COMPRAS CARVAO - ALICIA</v>
      </c>
    </row>
    <row r="418" customFormat="false" ht="12.75" hidden="false" customHeight="true" outlineLevel="0" collapsed="false">
      <c r="A418" s="15" t="n">
        <f aca="false">Report!C539</f>
        <v>46221</v>
      </c>
      <c r="B418" s="1" t="str">
        <f aca="false">Report!E539</f>
        <v>TAPAJOS COM DE PERFUMARIA COSMETICOS E G</v>
      </c>
      <c r="C418" s="17" t="n">
        <f aca="false">Report!U539</f>
        <v>343.38</v>
      </c>
      <c r="D418" s="1" t="str">
        <f aca="false">Report!X539</f>
        <v>NF 576607 1/1 - ALICIA </v>
      </c>
    </row>
    <row r="419" customFormat="false" ht="12.75" hidden="false" customHeight="true" outlineLevel="0" collapsed="false">
      <c r="A419" s="15" t="n">
        <f aca="false">Report!C541</f>
        <v>46221</v>
      </c>
      <c r="B419" s="1" t="str">
        <f aca="false">Report!E541</f>
        <v>MARE DISTRIBUIDORA DE BEBIDAS E DE PRODUTOS ALIMENTICIOS LTDA</v>
      </c>
      <c r="C419" s="17" t="n">
        <f aca="false">Report!U541</f>
        <v>887.5</v>
      </c>
      <c r="D419" s="1" t="str">
        <f aca="false">Report!X541</f>
        <v>NF 1388539  1/2 - ALICIA</v>
      </c>
    </row>
    <row r="420" customFormat="false" ht="12.75" hidden="false" customHeight="true" outlineLevel="0" collapsed="false">
      <c r="A420" s="15" t="n">
        <f aca="false">Report!C542</f>
        <v>46221</v>
      </c>
      <c r="B420" s="1" t="str">
        <f aca="false">Report!E542</f>
        <v>OLIVEIRA E SILVA LTDA</v>
      </c>
      <c r="C420" s="17" t="n">
        <f aca="false">Report!U542</f>
        <v>120</v>
      </c>
      <c r="D420" s="1" t="str">
        <f aca="false">Report!X542</f>
        <v>CIOMPRAS CHEIRO VERDE - ALICIA</v>
      </c>
    </row>
    <row r="421" customFormat="false" ht="12.75" hidden="false" customHeight="true" outlineLevel="0" collapsed="false">
      <c r="A421" s="15" t="n">
        <f aca="false">Report!C543</f>
        <v>46221</v>
      </c>
      <c r="B421" s="1" t="str">
        <f aca="false">Report!E543</f>
        <v>COMERCIO DE FRIOS MANAUS LTDA</v>
      </c>
      <c r="C421" s="17" t="n">
        <f aca="false">Report!U543</f>
        <v>5267.2</v>
      </c>
      <c r="D421" s="1" t="str">
        <f aca="false">Report!X543</f>
        <v>NF 172840 1/1 - ALICIA </v>
      </c>
    </row>
    <row r="422" customFormat="false" ht="12.75" hidden="false" customHeight="true" outlineLevel="0" collapsed="false">
      <c r="A422" s="15" t="n">
        <f aca="false">Report!C544</f>
        <v>46221</v>
      </c>
      <c r="B422" s="1" t="str">
        <f aca="false">Report!E544</f>
        <v>OLIVEIRA E SILVA LTDA</v>
      </c>
      <c r="C422" s="17" t="n">
        <f aca="false">Report!U544</f>
        <v>330</v>
      </c>
      <c r="D422" s="1" t="str">
        <f aca="false">Report!X544</f>
        <v>COMPRAS CHEIRO VERDE,COUVE ,ALFACE - ALICIA</v>
      </c>
    </row>
    <row r="423" customFormat="false" ht="12.75" hidden="false" customHeight="true" outlineLevel="0" collapsed="false">
      <c r="A423" s="15" t="n">
        <f aca="false">Report!C545</f>
        <v>46221</v>
      </c>
      <c r="B423" s="1" t="str">
        <f aca="false">Report!E545</f>
        <v>J W N DOS SANTOS</v>
      </c>
      <c r="C423" s="17" t="n">
        <f aca="false">Report!U545</f>
        <v>200</v>
      </c>
      <c r="D423" s="1" t="str">
        <f aca="false">Report!X545</f>
        <v>COMPRAS CARVAO - ALICIA</v>
      </c>
    </row>
    <row r="424" customFormat="false" ht="12.75" hidden="false" customHeight="true" outlineLevel="0" collapsed="false">
      <c r="A424" s="15" t="n">
        <f aca="false">Report!C546</f>
        <v>46222</v>
      </c>
      <c r="B424" s="1" t="str">
        <f aca="false">Report!E546</f>
        <v>BRF S A</v>
      </c>
      <c r="C424" s="17" t="n">
        <f aca="false">Report!U546</f>
        <v>1399.24</v>
      </c>
      <c r="D424" s="1" t="str">
        <f aca="false">Report!X546</f>
        <v>NF 1602316 3/3 - ALICIA </v>
      </c>
    </row>
    <row r="425" customFormat="false" ht="12.75" hidden="false" customHeight="true" outlineLevel="0" collapsed="false">
      <c r="A425" s="15" t="n">
        <f aca="false">Report!C547</f>
        <v>46222</v>
      </c>
      <c r="B425" s="1" t="str">
        <f aca="false">Report!E547</f>
        <v>COMERCIO DE FRIOS MANAUS LTDA</v>
      </c>
      <c r="C425" s="17" t="n">
        <f aca="false">Report!U547</f>
        <v>2442</v>
      </c>
      <c r="D425" s="1" t="str">
        <f aca="false">Report!X547</f>
        <v>NF 172918 1/1 - ALICIA</v>
      </c>
    </row>
    <row r="426" customFormat="false" ht="12.75" hidden="false" customHeight="true" outlineLevel="0" collapsed="false">
      <c r="A426" s="15" t="n">
        <f aca="false">Report!C549</f>
        <v>46223</v>
      </c>
      <c r="B426" s="1" t="str">
        <f aca="false">Report!E549</f>
        <v>J G COMERCIO DE PRODUTOS ALIMENTICIOS LTDA</v>
      </c>
      <c r="C426" s="17" t="n">
        <f aca="false">Report!U549</f>
        <v>1235.11</v>
      </c>
      <c r="D426" s="1" t="str">
        <f aca="false">Report!X549</f>
        <v>NF 388917 3/3 - ALICIA </v>
      </c>
    </row>
    <row r="427" customFormat="false" ht="12.75" hidden="false" customHeight="true" outlineLevel="0" collapsed="false">
      <c r="A427" s="15" t="n">
        <f aca="false">Report!C550</f>
        <v>46223</v>
      </c>
      <c r="B427" s="1" t="str">
        <f aca="false">Report!E550</f>
        <v>L S M COMERCIO DE ALIMENTOS E NAVEGACAO</v>
      </c>
      <c r="C427" s="17" t="n">
        <f aca="false">Report!U550</f>
        <v>649.18</v>
      </c>
      <c r="D427" s="1" t="str">
        <f aca="false">Report!X550</f>
        <v>NF 305918 2/3 - ALICIA</v>
      </c>
    </row>
    <row r="428" customFormat="false" ht="12.75" hidden="false" customHeight="true" outlineLevel="0" collapsed="false">
      <c r="A428" s="15" t="n">
        <f aca="false">Report!C552</f>
        <v>46223</v>
      </c>
      <c r="B428" s="1" t="str">
        <f aca="false">Report!E552</f>
        <v>PIARARA COMERCIO, IMPORTACAO E EXPORTACAO LTDA</v>
      </c>
      <c r="C428" s="17" t="n">
        <f aca="false">Report!U552</f>
        <v>1819.31</v>
      </c>
      <c r="D428" s="1" t="str">
        <f aca="false">Report!X552</f>
        <v>NF 194114 1/3 - ALICIA </v>
      </c>
    </row>
    <row r="429" customFormat="false" ht="12.75" hidden="false" customHeight="true" outlineLevel="0" collapsed="false">
      <c r="A429" s="15" t="n">
        <f aca="false">Report!C554</f>
        <v>46223</v>
      </c>
      <c r="B429" s="1" t="str">
        <f aca="false">Report!E554</f>
        <v>BM UCHOA ATACADISTA</v>
      </c>
      <c r="C429" s="17" t="n">
        <f aca="false">Report!U554</f>
        <v>572.5</v>
      </c>
      <c r="D429" s="1" t="str">
        <f aca="false">Report!X554</f>
        <v>NF 1040 1/1 - ALICIA </v>
      </c>
    </row>
    <row r="430" customFormat="false" ht="12.75" hidden="false" customHeight="true" outlineLevel="0" collapsed="false">
      <c r="A430" s="15" t="n">
        <f aca="false">Report!C559</f>
        <v>46223</v>
      </c>
      <c r="B430" s="1" t="str">
        <f aca="false">Report!E559</f>
        <v>S E PEREIRA BARBOSA ME</v>
      </c>
      <c r="C430" s="17" t="n">
        <f aca="false">Report!U559</f>
        <v>223.3</v>
      </c>
      <c r="D430" s="1" t="str">
        <f aca="false">Report!X559</f>
        <v>NF 18208 1/1 - ALICIA</v>
      </c>
    </row>
    <row r="431" customFormat="false" ht="12.75" hidden="false" customHeight="true" outlineLevel="0" collapsed="false">
      <c r="A431" s="15" t="n">
        <f aca="false">Report!C562</f>
        <v>46223</v>
      </c>
      <c r="B431" s="1" t="str">
        <f aca="false">Report!E562</f>
        <v>OLIVEIRA E SILVA LTDA</v>
      </c>
      <c r="C431" s="17" t="n">
        <f aca="false">Report!U562</f>
        <v>100</v>
      </c>
      <c r="D431" s="1" t="str">
        <f aca="false">Report!X562</f>
        <v>COMPRAS CHEIRO VERDE E COUVE - ALICIA</v>
      </c>
    </row>
    <row r="432" customFormat="false" ht="12.75" hidden="false" customHeight="true" outlineLevel="0" collapsed="false">
      <c r="A432" s="15" t="n">
        <f aca="false">Report!C563</f>
        <v>46223</v>
      </c>
      <c r="B432" s="1" t="str">
        <f aca="false">Report!E563</f>
        <v>OLIVEIRA E SILVA LTDA</v>
      </c>
      <c r="C432" s="17" t="n">
        <f aca="false">Report!U563</f>
        <v>120</v>
      </c>
      <c r="D432" s="1" t="str">
        <f aca="false">Report!X563</f>
        <v>1 CX DE BANANAS - ALICIA</v>
      </c>
    </row>
    <row r="433" customFormat="false" ht="12.75" hidden="false" customHeight="true" outlineLevel="0" collapsed="false">
      <c r="A433" s="15" t="n">
        <f aca="false">Report!C564</f>
        <v>46223</v>
      </c>
      <c r="B433" s="1" t="str">
        <f aca="false">Report!E564</f>
        <v>RV TECNOLOGIA E SISTEMAS S.A</v>
      </c>
      <c r="C433" s="17" t="n">
        <f aca="false">Report!U564</f>
        <v>103.98</v>
      </c>
      <c r="D433" s="1" t="str">
        <f aca="false">Report!X564</f>
        <v>RECARGA TELEFONICA </v>
      </c>
    </row>
    <row r="434" customFormat="false" ht="12.75" hidden="false" customHeight="true" outlineLevel="0" collapsed="false">
      <c r="A434" s="15" t="n">
        <f aca="false">Report!C565</f>
        <v>46223</v>
      </c>
      <c r="B434" s="1" t="str">
        <f aca="false">Report!E565</f>
        <v>60.729.628 LAURENA NUNES CALIXTO</v>
      </c>
      <c r="C434" s="17" t="n">
        <f aca="false">Report!U565</f>
        <v>270</v>
      </c>
      <c r="D434" s="1" t="str">
        <f aca="false">Report!X565</f>
        <v>NF 789 1/1 - ALICIA</v>
      </c>
    </row>
    <row r="435" customFormat="false" ht="12.75" hidden="false" customHeight="true" outlineLevel="0" collapsed="false">
      <c r="A435" s="15" t="n">
        <f aca="false">Report!C568</f>
        <v>46224</v>
      </c>
      <c r="B435" s="1" t="str">
        <f aca="false">Report!E568</f>
        <v>DISTRIBUIDORA LOPES LTDA</v>
      </c>
      <c r="C435" s="17" t="n">
        <f aca="false">Report!U568</f>
        <v>338.67</v>
      </c>
      <c r="D435" s="1" t="str">
        <f aca="false">Report!X568</f>
        <v>NF 1678840 3/3 - ALICIA</v>
      </c>
    </row>
    <row r="436" customFormat="false" ht="12.75" hidden="false" customHeight="true" outlineLevel="0" collapsed="false">
      <c r="A436" s="15" t="n">
        <f aca="false">Report!C569</f>
        <v>46224</v>
      </c>
      <c r="B436" s="1" t="str">
        <f aca="false">Report!E569</f>
        <v>DUBOM FRAC. E IND. DE CEREAIS LTDA EPP</v>
      </c>
      <c r="C436" s="17" t="n">
        <f aca="false">Report!U569</f>
        <v>637.31</v>
      </c>
      <c r="D436" s="1" t="str">
        <f aca="false">Report!X569</f>
        <v>NF 332759 3/3 - ALICIA </v>
      </c>
    </row>
    <row r="437" customFormat="false" ht="12.75" hidden="false" customHeight="true" outlineLevel="0" collapsed="false">
      <c r="A437" s="15" t="n">
        <f aca="false">Report!C570</f>
        <v>46224</v>
      </c>
      <c r="B437" s="1" t="str">
        <f aca="false">Report!E570</f>
        <v>FH DISTRIBUIDORA DE ALIM. E BEBIDAS LTDA</v>
      </c>
      <c r="C437" s="17" t="n">
        <f aca="false">Report!U570</f>
        <v>288.37</v>
      </c>
      <c r="D437" s="1" t="str">
        <f aca="false">Report!X570</f>
        <v>NF 327464 2/3 - ALICIA </v>
      </c>
    </row>
    <row r="438" customFormat="false" ht="12.75" hidden="false" customHeight="true" outlineLevel="0" collapsed="false">
      <c r="A438" s="15" t="n">
        <f aca="false">Report!C571</f>
        <v>46224</v>
      </c>
      <c r="B438" s="1" t="str">
        <f aca="false">Report!E571</f>
        <v>RISADINHA LTDA</v>
      </c>
      <c r="C438" s="17" t="n">
        <f aca="false">Report!U571</f>
        <v>656.2</v>
      </c>
      <c r="D438" s="1" t="str">
        <f aca="false">Report!X571</f>
        <v>NF 661520 1/3 - ALICIA </v>
      </c>
    </row>
    <row r="439" customFormat="false" ht="12.75" hidden="false" customHeight="true" outlineLevel="0" collapsed="false">
      <c r="A439" s="15" t="n">
        <f aca="false">Report!C572</f>
        <v>46224</v>
      </c>
      <c r="B439" s="1" t="str">
        <f aca="false">Report!E572</f>
        <v>REAL BEBIDAS DA AMAZONIA LTDA</v>
      </c>
      <c r="C439" s="17" t="n">
        <f aca="false">Report!U572</f>
        <v>309.25</v>
      </c>
      <c r="D439" s="1" t="str">
        <f aca="false">Report!X572</f>
        <v>NF 598141 2/2 - ALICIA </v>
      </c>
    </row>
    <row r="440" customFormat="false" ht="12.75" hidden="false" customHeight="true" outlineLevel="0" collapsed="false">
      <c r="A440" s="15" t="n">
        <f aca="false">Report!C573</f>
        <v>46224</v>
      </c>
      <c r="B440" s="1" t="str">
        <f aca="false">Report!E573</f>
        <v>EMPRESA BRASILEIRA DE DISTRIBUICAO LTDA</v>
      </c>
      <c r="C440" s="17" t="n">
        <f aca="false">Report!U573</f>
        <v>977.57</v>
      </c>
      <c r="D440" s="1" t="str">
        <f aca="false">Report!X573</f>
        <v>NF 2298987 1/3 - ALICIA </v>
      </c>
    </row>
    <row r="441" customFormat="false" ht="12.75" hidden="false" customHeight="true" outlineLevel="0" collapsed="false">
      <c r="A441" s="15" t="n">
        <f aca="false">Report!C574</f>
        <v>46224</v>
      </c>
      <c r="B441" s="1" t="str">
        <f aca="false">Report!E574</f>
        <v>TOYA INDUSTRIA E COMERCIO LTDA.</v>
      </c>
      <c r="C441" s="17" t="n">
        <f aca="false">Report!U574</f>
        <v>440.02</v>
      </c>
      <c r="D441" s="1" t="str">
        <f aca="false">Report!X574</f>
        <v>NF 255009 2/2 - ALICIA </v>
      </c>
    </row>
    <row r="442" customFormat="false" ht="12.75" hidden="false" customHeight="true" outlineLevel="0" collapsed="false">
      <c r="A442" s="15" t="n">
        <f aca="false">Report!C575</f>
        <v>46224</v>
      </c>
      <c r="B442" s="1" t="str">
        <f aca="false">Report!E575</f>
        <v>DISTRIBUIDORA LOPES LTDA</v>
      </c>
      <c r="C442" s="17" t="n">
        <f aca="false">Report!U575</f>
        <v>654.96</v>
      </c>
      <c r="D442" s="1" t="str">
        <f aca="false">Report!X575</f>
        <v>NF 1678539 3/3 - ALICIA</v>
      </c>
    </row>
    <row r="443" customFormat="false" ht="12.75" hidden="false" customHeight="true" outlineLevel="0" collapsed="false">
      <c r="A443" s="15" t="n">
        <f aca="false">Report!C576</f>
        <v>46224</v>
      </c>
      <c r="B443" s="1" t="str">
        <f aca="false">Report!E576</f>
        <v>OLIVEIRA E SILVA LTDA</v>
      </c>
      <c r="C443" s="17" t="n">
        <f aca="false">Report!U576</f>
        <v>1926.5</v>
      </c>
      <c r="D443" s="1" t="str">
        <f aca="false">Report!X576</f>
        <v>COMPRAS CARLOS VERDURAS - ALICIA</v>
      </c>
    </row>
    <row r="444" customFormat="false" ht="12.75" hidden="false" customHeight="true" outlineLevel="0" collapsed="false">
      <c r="A444" s="15" t="n">
        <f aca="false">Report!C577</f>
        <v>46224</v>
      </c>
      <c r="B444" s="1" t="str">
        <f aca="false">Report!E577</f>
        <v>COMERCIO E TRANSPORTE BRANDAO LTDA</v>
      </c>
      <c r="C444" s="17" t="n">
        <f aca="false">Report!U577</f>
        <v>370</v>
      </c>
      <c r="D444" s="1" t="str">
        <f aca="false">Report!X577</f>
        <v>NF 14889 1/1 - COMPRAS CARLOS VERDURAS </v>
      </c>
    </row>
    <row r="445" customFormat="false" ht="12.75" hidden="false" customHeight="true" outlineLevel="0" collapsed="false">
      <c r="A445" s="15" t="n">
        <f aca="false">Report!C578</f>
        <v>46224</v>
      </c>
      <c r="B445" s="1" t="str">
        <f aca="false">Report!E578</f>
        <v>COMERCIO E TRANSPORTE BRANDAO LTDA</v>
      </c>
      <c r="C445" s="17" t="n">
        <f aca="false">Report!U578</f>
        <v>350</v>
      </c>
      <c r="D445" s="1" t="str">
        <f aca="false">Report!X578</f>
        <v>S/NF COMPRAS QUEIJO / CARLOS VERDURAS - ALICIA</v>
      </c>
    </row>
    <row r="446" customFormat="false" ht="12.75" hidden="false" customHeight="true" outlineLevel="0" collapsed="false">
      <c r="A446" s="15" t="n">
        <f aca="false">Report!C579</f>
        <v>46224</v>
      </c>
      <c r="B446" s="1" t="str">
        <f aca="false">Report!E579</f>
        <v>ADICSO FABIAN GONZALEZ MONTILLA 70302186</v>
      </c>
      <c r="C446" s="17" t="n">
        <f aca="false">Report!U579</f>
        <v>180</v>
      </c>
      <c r="D446" s="1" t="str">
        <f aca="false">Report!X579</f>
        <v>NF 536 1/1 - ALICIA</v>
      </c>
    </row>
    <row r="447" customFormat="false" ht="12.75" hidden="false" customHeight="true" outlineLevel="0" collapsed="false">
      <c r="A447" s="15" t="n">
        <f aca="false">Report!C581</f>
        <v>46224</v>
      </c>
      <c r="B447" s="1" t="str">
        <f aca="false">Report!E581</f>
        <v>OLIVEIRA E SILVA LTDA</v>
      </c>
      <c r="C447" s="17" t="n">
        <f aca="false">Report!U581</f>
        <v>95</v>
      </c>
      <c r="D447" s="1" t="str">
        <f aca="false">Report!X581</f>
        <v>COMPRAS CHEIRO VERDE , COUVE E ALFACE - ALICIA</v>
      </c>
    </row>
    <row r="448" customFormat="false" ht="12.75" hidden="false" customHeight="true" outlineLevel="0" collapsed="false">
      <c r="A448" s="15" t="n">
        <f aca="false">Report!C582</f>
        <v>46224</v>
      </c>
      <c r="B448" s="1" t="str">
        <f aca="false">Report!E582</f>
        <v>OLIVEIRA E SILVA LTDA</v>
      </c>
      <c r="C448" s="17" t="n">
        <f aca="false">Report!U582</f>
        <v>125</v>
      </c>
      <c r="D448" s="1" t="str">
        <f aca="false">Report!X582</f>
        <v>COMPRA 1 CX DE BANANAS - ALICIA </v>
      </c>
    </row>
    <row r="449" customFormat="false" ht="12.75" hidden="false" customHeight="true" outlineLevel="0" collapsed="false">
      <c r="A449" s="15" t="n">
        <f aca="false">Report!C583</f>
        <v>46225</v>
      </c>
      <c r="B449" s="1" t="str">
        <f aca="false">Report!E583</f>
        <v>DUNORTE DISTRIBUIDORA DE PRODUTOS DE CONSUMO LTDA</v>
      </c>
      <c r="C449" s="17" t="n">
        <f aca="false">Report!U583</f>
        <v>358.9</v>
      </c>
      <c r="D449" s="1" t="str">
        <f aca="false">Report!X583</f>
        <v>NF 3204267 4/4 - ALICIA</v>
      </c>
    </row>
    <row r="450" customFormat="false" ht="12.75" hidden="false" customHeight="true" outlineLevel="0" collapsed="false">
      <c r="A450" s="15" t="n">
        <f aca="false">Report!C584</f>
        <v>46225</v>
      </c>
      <c r="B450" s="1" t="str">
        <f aca="false">Report!E584</f>
        <v>DUNORTE DISTRIBUIDORA DE PRODUTOS DE CONSUMO LTDA</v>
      </c>
      <c r="C450" s="17" t="n">
        <f aca="false">Report!U584</f>
        <v>806.43</v>
      </c>
      <c r="D450" s="1" t="str">
        <f aca="false">Report!X584</f>
        <v>NF 3204264 4/4 - ALICIA</v>
      </c>
    </row>
    <row r="451" customFormat="false" ht="12.75" hidden="false" customHeight="true" outlineLevel="0" collapsed="false">
      <c r="A451" s="15" t="n">
        <f aca="false">Report!C585</f>
        <v>46225</v>
      </c>
      <c r="B451" s="1" t="str">
        <f aca="false">Report!E585</f>
        <v>OCIDENTAL COMERCIO DE FRIOS LTDA</v>
      </c>
      <c r="C451" s="17" t="n">
        <f aca="false">Report!U585</f>
        <v>742.53</v>
      </c>
      <c r="D451" s="1" t="str">
        <f aca="false">Report!X585</f>
        <v>NF 1240473 3/3 - ALICIA</v>
      </c>
    </row>
    <row r="452" customFormat="false" ht="12.75" hidden="false" customHeight="true" outlineLevel="0" collapsed="false">
      <c r="A452" s="15" t="n">
        <f aca="false">Report!C587</f>
        <v>46225</v>
      </c>
      <c r="B452" s="1" t="str">
        <f aca="false">Report!E587</f>
        <v>OCIDENTAL COMERCIO DE FRIOS LTDA</v>
      </c>
      <c r="C452" s="17" t="n">
        <f aca="false">Report!U587</f>
        <v>683</v>
      </c>
      <c r="D452" s="1" t="str">
        <f aca="false">Report!X587</f>
        <v>NF 1242824 2/3 - ALICIA </v>
      </c>
    </row>
    <row r="453" customFormat="false" ht="12.75" hidden="false" customHeight="true" outlineLevel="0" collapsed="false">
      <c r="A453" s="15" t="n">
        <f aca="false">Report!C588</f>
        <v>46225</v>
      </c>
      <c r="B453" s="1" t="str">
        <f aca="false">Report!E588</f>
        <v>OCIDENTAL COMERCIO DE FRIOS LTDA</v>
      </c>
      <c r="C453" s="17" t="n">
        <f aca="false">Report!U588</f>
        <v>764</v>
      </c>
      <c r="D453" s="1" t="str">
        <f aca="false">Report!X588</f>
        <v>NF 1242825 2/3 - ALICIA </v>
      </c>
    </row>
    <row r="454" customFormat="false" ht="12.75" hidden="false" customHeight="true" outlineLevel="0" collapsed="false">
      <c r="A454" s="15" t="n">
        <f aca="false">Report!C589</f>
        <v>46225</v>
      </c>
      <c r="B454" s="1" t="str">
        <f aca="false">Report!E589</f>
        <v>ORIENTE COM. ATACADISTA E REPRES. LTDA</v>
      </c>
      <c r="C454" s="17" t="n">
        <f aca="false">Report!U589</f>
        <v>1599.36</v>
      </c>
      <c r="D454" s="1" t="str">
        <f aca="false">Report!X589</f>
        <v>NF 2144 3/3 - ALICIA </v>
      </c>
    </row>
    <row r="455" customFormat="false" ht="12.75" hidden="false" customHeight="true" outlineLevel="0" collapsed="false">
      <c r="A455" s="15" t="n">
        <f aca="false">Report!C590</f>
        <v>46225</v>
      </c>
      <c r="B455" s="1" t="str">
        <f aca="false">Report!E590</f>
        <v>GONCALES COMER DE HORT GRANJEIROS EIRELI</v>
      </c>
      <c r="C455" s="17" t="n">
        <f aca="false">Report!U590</f>
        <v>1100</v>
      </c>
      <c r="D455" s="1" t="str">
        <f aca="false">Report!X590</f>
        <v>NF 39713 2/2 - ALICIA </v>
      </c>
    </row>
    <row r="456" customFormat="false" ht="12.75" hidden="false" customHeight="true" outlineLevel="0" collapsed="false">
      <c r="A456" s="15" t="n">
        <f aca="false">Report!C591</f>
        <v>46225</v>
      </c>
      <c r="B456" s="1" t="str">
        <f aca="false">Report!E591</f>
        <v>OCIDENTAL COMERCIO DE FRIOS LTDA</v>
      </c>
      <c r="C456" s="17" t="n">
        <f aca="false">Report!U591</f>
        <v>902.56</v>
      </c>
      <c r="D456" s="1" t="str">
        <f aca="false">Report!X591</f>
        <v>NF 1245355 1/3 - ALICIA</v>
      </c>
    </row>
    <row r="457" customFormat="false" ht="12.75" hidden="false" customHeight="true" outlineLevel="0" collapsed="false">
      <c r="A457" s="15" t="n">
        <f aca="false">Report!C592</f>
        <v>46225</v>
      </c>
      <c r="B457" s="1" t="str">
        <f aca="false">Report!E592</f>
        <v>OESA COMERCIO E REPRESENTACOES S/A</v>
      </c>
      <c r="C457" s="17" t="n">
        <f aca="false">Report!U592</f>
        <v>651.1</v>
      </c>
      <c r="D457" s="1" t="str">
        <f aca="false">Report!X592</f>
        <v>NF 426368 1/3 - ALICIA </v>
      </c>
    </row>
    <row r="458" customFormat="false" ht="12.75" hidden="false" customHeight="true" outlineLevel="0" collapsed="false">
      <c r="A458" s="15" t="n">
        <f aca="false">Report!C593</f>
        <v>46225</v>
      </c>
      <c r="B458" s="1" t="str">
        <f aca="false">Report!E593</f>
        <v>SL DISTRIBUIDORA COM. DE PROD. ALIMENTIC</v>
      </c>
      <c r="C458" s="17" t="n">
        <f aca="false">Report!U593</f>
        <v>572.37</v>
      </c>
      <c r="D458" s="1" t="str">
        <f aca="false">Report!X593</f>
        <v>NF 10718 1/3 - ALICIA </v>
      </c>
    </row>
    <row r="459" customFormat="false" ht="12.75" hidden="false" customHeight="true" outlineLevel="0" collapsed="false">
      <c r="A459" s="15" t="n">
        <f aca="false">Report!C594</f>
        <v>46225</v>
      </c>
      <c r="B459" s="1" t="str">
        <f aca="false">Report!E594</f>
        <v>AGL DISTRIBUIDORA LIMITADA MATRIZ</v>
      </c>
      <c r="C459" s="17" t="n">
        <f aca="false">Report!U594</f>
        <v>269.49</v>
      </c>
      <c r="D459" s="1" t="str">
        <f aca="false">Report!X594</f>
        <v>NF 13083 1/1 - ALICIA</v>
      </c>
    </row>
    <row r="460" customFormat="false" ht="12.75" hidden="false" customHeight="true" outlineLevel="0" collapsed="false">
      <c r="A460" s="15" t="n">
        <f aca="false">Report!C595</f>
        <v>46225</v>
      </c>
      <c r="B460" s="1" t="str">
        <f aca="false">Report!E595</f>
        <v>OLIVEIRA E SILVA LTDA</v>
      </c>
      <c r="C460" s="17" t="n">
        <f aca="false">Report!U595</f>
        <v>280</v>
      </c>
      <c r="D460" s="1" t="str">
        <f aca="false">Report!X595</f>
        <v>COMPRAS ACAI / PGT PIX:92991892419 NAILSON GARCES - ALICIA</v>
      </c>
    </row>
    <row r="461" customFormat="false" ht="12.75" hidden="false" customHeight="true" outlineLevel="0" collapsed="false">
      <c r="A461" s="15" t="n">
        <f aca="false">Report!C596</f>
        <v>46225</v>
      </c>
      <c r="B461" s="1" t="str">
        <f aca="false">Report!E596</f>
        <v>OLIVEIRA E SILVA LTDA</v>
      </c>
      <c r="C461" s="17" t="n">
        <f aca="false">Report!U596</f>
        <v>120</v>
      </c>
      <c r="D461" s="1" t="str">
        <f aca="false">Report!X596</f>
        <v>COMPRAS CHEIRO VERDE - ALICIA</v>
      </c>
    </row>
    <row r="462" customFormat="false" ht="12.75" hidden="false" customHeight="true" outlineLevel="0" collapsed="false">
      <c r="A462" s="15" t="n">
        <f aca="false">Report!C597</f>
        <v>46225</v>
      </c>
      <c r="B462" s="1" t="str">
        <f aca="false">Report!E597</f>
        <v>OLIVEIRA E SILVA LTDA</v>
      </c>
      <c r="C462" s="17" t="n">
        <f aca="false">Report!U597</f>
        <v>125</v>
      </c>
      <c r="D462" s="1" t="str">
        <f aca="false">Report!X597</f>
        <v>COMPRAS 1 CX DE BANANAS - ALICIA</v>
      </c>
    </row>
    <row r="463" customFormat="false" ht="12.75" hidden="false" customHeight="true" outlineLevel="0" collapsed="false">
      <c r="A463" s="15" t="n">
        <f aca="false">Report!C598</f>
        <v>46226</v>
      </c>
      <c r="B463" s="1" t="str">
        <f aca="false">Report!E598</f>
        <v>COMERCIAL DE ESTIVAS REGO LTDA</v>
      </c>
      <c r="C463" s="17" t="n">
        <f aca="false">Report!U598</f>
        <v>782.56</v>
      </c>
      <c r="D463" s="1" t="str">
        <f aca="false">Report!X598</f>
        <v>NF 222263 4/4 - ALICIA </v>
      </c>
    </row>
    <row r="464" customFormat="false" ht="12.75" hidden="false" customHeight="true" outlineLevel="0" collapsed="false">
      <c r="A464" s="15" t="n">
        <f aca="false">Report!C599</f>
        <v>46226</v>
      </c>
      <c r="B464" s="1" t="str">
        <f aca="false">Report!E599</f>
        <v>IRMÃOS LIMA  ATACADO  DE ALIMENTOS LTDA</v>
      </c>
      <c r="C464" s="17" t="n">
        <f aca="false">Report!U599</f>
        <v>977.08</v>
      </c>
      <c r="D464" s="1" t="str">
        <f aca="false">Report!X599</f>
        <v>NF 293817 4/4 - ALICIA </v>
      </c>
    </row>
    <row r="465" customFormat="false" ht="12.75" hidden="false" customHeight="true" outlineLevel="0" collapsed="false">
      <c r="A465" s="15" t="n">
        <f aca="false">Report!C600</f>
        <v>46226</v>
      </c>
      <c r="B465" s="1" t="str">
        <f aca="false">Report!E600</f>
        <v>OESA COMERCIO E REPRESENTACOES S/A</v>
      </c>
      <c r="C465" s="17" t="n">
        <f aca="false">Report!U600</f>
        <v>709.48</v>
      </c>
      <c r="D465" s="1" t="str">
        <f aca="false">Report!X600</f>
        <v>NF 421765 3/3 - ALICIA </v>
      </c>
    </row>
    <row r="466" customFormat="false" ht="12.75" hidden="false" customHeight="true" outlineLevel="0" collapsed="false">
      <c r="A466" s="15" t="n">
        <f aca="false">Report!C601</f>
        <v>46226</v>
      </c>
      <c r="B466" s="1" t="str">
        <f aca="false">Report!E601</f>
        <v>DURAES DISTRIBUIDORA DE ESTIVAS LTDA</v>
      </c>
      <c r="C466" s="17" t="n">
        <f aca="false">Report!U601</f>
        <v>553.36</v>
      </c>
      <c r="D466" s="1" t="str">
        <f aca="false">Report!X601</f>
        <v>NF 647403 3/3 - ALICIA </v>
      </c>
    </row>
    <row r="467" customFormat="false" ht="12.75" hidden="false" customHeight="true" outlineLevel="0" collapsed="false">
      <c r="A467" s="15" t="n">
        <f aca="false">Report!C602</f>
        <v>46226</v>
      </c>
      <c r="B467" s="1" t="str">
        <f aca="false">Report!E602</f>
        <v>TOYA INDUSTRIA E COMERCIO LTDA.</v>
      </c>
      <c r="C467" s="17" t="n">
        <f aca="false">Report!U602</f>
        <v>383.93</v>
      </c>
      <c r="D467" s="1" t="str">
        <f aca="false">Report!X602</f>
        <v>NF 254511 1/1 - ALICIA </v>
      </c>
    </row>
    <row r="468" customFormat="false" ht="12.75" hidden="false" customHeight="true" outlineLevel="0" collapsed="false">
      <c r="A468" s="15" t="n">
        <f aca="false">Report!C604</f>
        <v>46226</v>
      </c>
      <c r="B468" s="1" t="str">
        <f aca="false">Report!E604</f>
        <v>AMERICANA DISTRIBUIDORA DE BEBIDAS E MERCADORIAS LTDA</v>
      </c>
      <c r="C468" s="17" t="n">
        <f aca="false">Report!U604</f>
        <v>323.78</v>
      </c>
      <c r="D468" s="1" t="str">
        <f aca="false">Report!X604</f>
        <v>NF 78422 2/3 - ALICIA </v>
      </c>
    </row>
    <row r="469" customFormat="false" ht="12.75" hidden="false" customHeight="true" outlineLevel="0" collapsed="false">
      <c r="A469" s="15" t="n">
        <f aca="false">Report!C605</f>
        <v>46226</v>
      </c>
      <c r="B469" s="1" t="str">
        <f aca="false">Report!E605</f>
        <v>J G COMERCIO DE PRODUTOS ALIMENTICIOS LTDA</v>
      </c>
      <c r="C469" s="17" t="n">
        <f aca="false">Report!U605</f>
        <v>2508.91</v>
      </c>
      <c r="D469" s="1" t="str">
        <f aca="false">Report!X605</f>
        <v>NF 390537 2/3 - ALICIA </v>
      </c>
    </row>
    <row r="470" customFormat="false" ht="12.75" hidden="false" customHeight="true" outlineLevel="0" collapsed="false">
      <c r="A470" s="15" t="n">
        <f aca="false">Report!C606</f>
        <v>46226</v>
      </c>
      <c r="B470" s="1" t="str">
        <f aca="false">Report!E606</f>
        <v>ATACADAO S.A.</v>
      </c>
      <c r="C470" s="17" t="n">
        <f aca="false">Report!U606</f>
        <v>1573.75</v>
      </c>
      <c r="D470" s="1" t="str">
        <f aca="false">Report!X606</f>
        <v>NF 1901472 1/1 - ALICIA </v>
      </c>
    </row>
    <row r="471" customFormat="false" ht="12.75" hidden="false" customHeight="true" outlineLevel="0" collapsed="false">
      <c r="A471" s="15" t="n">
        <f aca="false">Report!C607</f>
        <v>46226</v>
      </c>
      <c r="B471" s="1" t="str">
        <f aca="false">Report!E607</f>
        <v>DISTRIBUIDORA FARIAS LTDA.</v>
      </c>
      <c r="C471" s="17" t="n">
        <f aca="false">Report!U607</f>
        <v>369.82</v>
      </c>
      <c r="D471" s="1" t="str">
        <f aca="false">Report!X607</f>
        <v>NF 680644 1/2 - ALICIA </v>
      </c>
    </row>
    <row r="472" customFormat="false" ht="12.75" hidden="false" customHeight="true" outlineLevel="0" collapsed="false">
      <c r="A472" s="15" t="n">
        <f aca="false">Report!C608</f>
        <v>46226</v>
      </c>
      <c r="B472" s="1" t="str">
        <f aca="false">Report!E608</f>
        <v>COMERCIAL DE ESTIVAS REGO LTDA</v>
      </c>
      <c r="C472" s="17" t="n">
        <f aca="false">Report!U608</f>
        <v>396.52</v>
      </c>
      <c r="D472" s="1" t="str">
        <f aca="false">Report!X608</f>
        <v>NF 223333 1/3 - ALICIA</v>
      </c>
    </row>
    <row r="473" customFormat="false" ht="12.75" hidden="false" customHeight="true" outlineLevel="0" collapsed="false">
      <c r="A473" s="15" t="n">
        <f aca="false">Report!C609</f>
        <v>46226</v>
      </c>
      <c r="B473" s="1" t="str">
        <f aca="false">Report!E609</f>
        <v>RCL COMERCIO DE PRODUTOS ALIMENTICIOS LT</v>
      </c>
      <c r="C473" s="17" t="n">
        <f aca="false">Report!U609</f>
        <v>357.27</v>
      </c>
      <c r="D473" s="1" t="str">
        <f aca="false">Report!X609</f>
        <v>NF 217864 2/3 - ALICIA </v>
      </c>
    </row>
    <row r="474" customFormat="false" ht="12.75" hidden="false" customHeight="true" outlineLevel="0" collapsed="false">
      <c r="A474" s="15" t="n">
        <f aca="false">Report!C610</f>
        <v>46226</v>
      </c>
      <c r="B474" s="1" t="str">
        <f aca="false">Report!E610</f>
        <v>COMERCIO DE FRIOS MANAUS LTDA</v>
      </c>
      <c r="C474" s="17" t="n">
        <f aca="false">Report!U610</f>
        <v>2052.8</v>
      </c>
      <c r="D474" s="1" t="str">
        <f aca="false">Report!X610</f>
        <v>NF 173091 1/1 - ALICIA</v>
      </c>
    </row>
    <row r="475" customFormat="false" ht="12.75" hidden="false" customHeight="true" outlineLevel="0" collapsed="false">
      <c r="A475" s="15" t="n">
        <f aca="false">Report!C611</f>
        <v>46226</v>
      </c>
      <c r="B475" s="1" t="str">
        <f aca="false">Report!E611</f>
        <v>BROTHERS  INDUSTRIA DE ALIMENTOS LTDA</v>
      </c>
      <c r="C475" s="17" t="n">
        <f aca="false">Report!U611</f>
        <v>577.1</v>
      </c>
      <c r="D475" s="1" t="str">
        <f aca="false">Report!X611</f>
        <v>NF 1032054 1/1 - ALICIA</v>
      </c>
    </row>
    <row r="476" customFormat="false" ht="12.75" hidden="false" customHeight="true" outlineLevel="0" collapsed="false">
      <c r="A476" s="15" t="n">
        <f aca="false">Report!C612</f>
        <v>46226</v>
      </c>
      <c r="B476" s="1" t="str">
        <f aca="false">Report!E612</f>
        <v>BRAGA DIST. E COM. DE PROD. ALIMENT</v>
      </c>
      <c r="C476" s="17" t="n">
        <f aca="false">Report!U612</f>
        <v>1453.93</v>
      </c>
      <c r="D476" s="1" t="str">
        <f aca="false">Report!X612</f>
        <v>NF 19287 1/3 - ALICIA </v>
      </c>
    </row>
    <row r="477" customFormat="false" ht="12.75" hidden="false" customHeight="true" outlineLevel="0" collapsed="false">
      <c r="A477" s="15" t="n">
        <f aca="false">Report!C613</f>
        <v>46226</v>
      </c>
      <c r="B477" s="1" t="str">
        <f aca="false">Report!E613</f>
        <v>BRAGA TABACARIA EIRELI ME</v>
      </c>
      <c r="C477" s="17" t="n">
        <f aca="false">Report!U613</f>
        <v>105.9</v>
      </c>
      <c r="D477" s="1" t="str">
        <f aca="false">Report!X613</f>
        <v>COMPRAS REPELENTE DE MOSQUITO - 1/1 - ALICIA </v>
      </c>
    </row>
    <row r="478" customFormat="false" ht="12.75" hidden="false" customHeight="true" outlineLevel="0" collapsed="false">
      <c r="A478" s="15" t="n">
        <f aca="false">Report!C614</f>
        <v>46226</v>
      </c>
      <c r="B478" s="1" t="str">
        <f aca="false">Report!E614</f>
        <v>ADRIANO FEITOSA OLIVEIRA LTDA</v>
      </c>
      <c r="C478" s="17" t="n">
        <f aca="false">Report!U614</f>
        <v>925</v>
      </c>
      <c r="D478" s="1" t="str">
        <f aca="false">Report!X614</f>
        <v>NF 340 1/1 COMPRAS OVOS - ALICIA </v>
      </c>
    </row>
    <row r="479" customFormat="false" ht="12.75" hidden="false" customHeight="true" outlineLevel="0" collapsed="false">
      <c r="A479" s="15" t="n">
        <f aca="false">Report!C615</f>
        <v>46226</v>
      </c>
      <c r="B479" s="1" t="str">
        <f aca="false">Report!E615</f>
        <v>BRASIL NORTE BEBIDAS S/A</v>
      </c>
      <c r="C479" s="17" t="n">
        <f aca="false">Report!U615</f>
        <v>1042.19</v>
      </c>
      <c r="D479" s="1" t="str">
        <f aca="false">Report!X615</f>
        <v>NF 1940210 1/1 - ALICIA</v>
      </c>
    </row>
    <row r="480" customFormat="false" ht="12.75" hidden="false" customHeight="true" outlineLevel="0" collapsed="false">
      <c r="A480" s="15" t="n">
        <f aca="false">Report!C616</f>
        <v>46226</v>
      </c>
      <c r="B480" s="1" t="str">
        <f aca="false">Report!E616</f>
        <v>BRASIL NORTE BEBIDAS S/A</v>
      </c>
      <c r="C480" s="17" t="n">
        <f aca="false">Report!U616</f>
        <v>1456.69</v>
      </c>
      <c r="D480" s="1" t="str">
        <f aca="false">Report!X616</f>
        <v>NF 1207168 1/1 - ALICIA</v>
      </c>
    </row>
    <row r="481" customFormat="false" ht="12.75" hidden="false" customHeight="true" outlineLevel="0" collapsed="false">
      <c r="A481" s="15" t="n">
        <f aca="false">Report!C619</f>
        <v>46226</v>
      </c>
      <c r="B481" s="1" t="str">
        <f aca="false">Report!E619</f>
        <v>OLIVEIRA E SILVA LTDA</v>
      </c>
      <c r="C481" s="17" t="n">
        <f aca="false">Report!U619</f>
        <v>60</v>
      </c>
      <c r="D481" s="1" t="str">
        <f aca="false">Report!X619</f>
        <v>COMPRAS CHEIRO VERDE E COUVE - ALICIA</v>
      </c>
    </row>
    <row r="482" customFormat="false" ht="12.75" hidden="false" customHeight="true" outlineLevel="0" collapsed="false">
      <c r="A482" s="15" t="n">
        <f aca="false">Report!C620</f>
        <v>46226</v>
      </c>
      <c r="B482" s="1" t="str">
        <f aca="false">Report!E620</f>
        <v>OLIVEIRA E SILVA LTDA</v>
      </c>
      <c r="C482" s="17" t="n">
        <f aca="false">Report!U620</f>
        <v>125</v>
      </c>
      <c r="D482" s="1" t="str">
        <f aca="false">Report!X620</f>
        <v>COMPRAS 1 CX DE BANANAS - ALICIA</v>
      </c>
    </row>
    <row r="483" customFormat="false" ht="12.75" hidden="false" customHeight="true" outlineLevel="0" collapsed="false">
      <c r="A483" s="15" t="n">
        <f aca="false">Report!C621</f>
        <v>46227</v>
      </c>
      <c r="B483" s="1" t="str">
        <f aca="false">Report!E621</f>
        <v>FUNNY PET DISTRIBUIDORA DE ALIMENTOS PAR</v>
      </c>
      <c r="C483" s="17" t="n">
        <f aca="false">Report!U621</f>
        <v>227.28</v>
      </c>
      <c r="D483" s="1" t="str">
        <f aca="false">Report!X621</f>
        <v>NF 20265 4/4 - ALICIA </v>
      </c>
    </row>
    <row r="484" customFormat="false" ht="12.75" hidden="false" customHeight="true" outlineLevel="0" collapsed="false">
      <c r="A484" s="15" t="n">
        <f aca="false">Report!C622</f>
        <v>46227</v>
      </c>
      <c r="B484" s="1" t="str">
        <f aca="false">Report!E622</f>
        <v>FUNNY PET DISTRIBUIDORA DE ALIMENTOS PAR</v>
      </c>
      <c r="C484" s="17" t="n">
        <f aca="false">Report!U622</f>
        <v>2206.52</v>
      </c>
      <c r="D484" s="1" t="str">
        <f aca="false">Report!X622</f>
        <v>NF 20265 3/3 - ALICIA </v>
      </c>
    </row>
    <row r="485" customFormat="false" ht="12.75" hidden="false" customHeight="true" outlineLevel="0" collapsed="false">
      <c r="A485" s="15" t="n">
        <f aca="false">Report!C623</f>
        <v>46227</v>
      </c>
      <c r="B485" s="1" t="str">
        <f aca="false">Report!E623</f>
        <v>ADRIANA DISTRIBUIDORA DE PRODUTOS ALIMEN</v>
      </c>
      <c r="C485" s="17" t="n">
        <f aca="false">Report!U623</f>
        <v>764.33</v>
      </c>
      <c r="D485" s="1" t="str">
        <f aca="false">Report!X623</f>
        <v>NF 881224 3/3 - ALICIA </v>
      </c>
    </row>
    <row r="486" customFormat="false" ht="12.75" hidden="false" customHeight="true" outlineLevel="0" collapsed="false">
      <c r="A486" s="15" t="n">
        <f aca="false">Report!C624</f>
        <v>46227</v>
      </c>
      <c r="B486" s="1" t="str">
        <f aca="false">Report!E624</f>
        <v>OPPORTUNITY ALIMENTOS PARA ANIMAIS LTDA</v>
      </c>
      <c r="C486" s="17" t="n">
        <f aca="false">Report!U624</f>
        <v>925.9</v>
      </c>
      <c r="D486" s="1" t="str">
        <f aca="false">Report!X624</f>
        <v>NF 34468 1/3 - ALICIA </v>
      </c>
    </row>
    <row r="487" customFormat="false" ht="12.75" hidden="false" customHeight="true" outlineLevel="0" collapsed="false">
      <c r="A487" s="15" t="n">
        <f aca="false">Report!C625</f>
        <v>46227</v>
      </c>
      <c r="B487" s="1" t="str">
        <f aca="false">Report!E625</f>
        <v>NESTLÉ BRASIL LTDA.</v>
      </c>
      <c r="C487" s="17" t="n">
        <f aca="false">Report!U625</f>
        <v>849.67</v>
      </c>
      <c r="D487" s="1" t="str">
        <f aca="false">Report!X625</f>
        <v>NF 1424294 1/1 - ALICIA </v>
      </c>
    </row>
    <row r="488" customFormat="false" ht="12.75" hidden="false" customHeight="true" outlineLevel="0" collapsed="false">
      <c r="A488" s="15" t="n">
        <f aca="false">Report!C626</f>
        <v>46227</v>
      </c>
      <c r="B488" s="1" t="str">
        <f aca="false">Report!E626</f>
        <v>VIA CERTA IMPORTACAO E DISTRIBUICAO DE A</v>
      </c>
      <c r="C488" s="17" t="n">
        <f aca="false">Report!U626</f>
        <v>567.71</v>
      </c>
      <c r="D488" s="1" t="str">
        <f aca="false">Report!X626</f>
        <v>NF 51626 1/2 - ALICIA</v>
      </c>
    </row>
    <row r="489" customFormat="false" ht="12.75" hidden="false" customHeight="true" outlineLevel="0" collapsed="false">
      <c r="A489" s="15" t="n">
        <f aca="false">Report!C627</f>
        <v>46227</v>
      </c>
      <c r="B489" s="1" t="str">
        <f aca="false">Report!E627</f>
        <v>SOUZA CRUZ LTDA.</v>
      </c>
      <c r="C489" s="17" t="n">
        <f aca="false">Report!U627</f>
        <v>1901.92</v>
      </c>
      <c r="D489" s="1" t="str">
        <f aca="false">Report!X627</f>
        <v>NF 566717 2/2 - ALICIA</v>
      </c>
    </row>
    <row r="490" customFormat="false" ht="12.75" hidden="false" customHeight="true" outlineLevel="0" collapsed="false">
      <c r="A490" s="15" t="n">
        <f aca="false">Report!C628</f>
        <v>46227</v>
      </c>
      <c r="B490" s="1" t="str">
        <f aca="false">Report!E628</f>
        <v>H G NUNES REPRESENTAÇÃO E COMERCIO</v>
      </c>
      <c r="C490" s="17" t="n">
        <f aca="false">Report!U628</f>
        <v>1528.63</v>
      </c>
      <c r="D490" s="1" t="str">
        <f aca="false">Report!X628</f>
        <v>NF 55315 1/3 - ALICIA </v>
      </c>
    </row>
    <row r="491" customFormat="false" ht="12.75" hidden="false" customHeight="true" outlineLevel="0" collapsed="false">
      <c r="A491" s="15" t="n">
        <f aca="false">Report!C629</f>
        <v>46227</v>
      </c>
      <c r="B491" s="1" t="str">
        <f aca="false">Report!E629</f>
        <v>NESTLÉ BRASIL LTDA.</v>
      </c>
      <c r="C491" s="17" t="n">
        <f aca="false">Report!U629</f>
        <v>1113.53</v>
      </c>
      <c r="D491" s="1" t="str">
        <f aca="false">Report!X629</f>
        <v>NF 1426526 1/1 - ALICIA</v>
      </c>
    </row>
    <row r="492" customFormat="false" ht="12.75" hidden="false" customHeight="true" outlineLevel="0" collapsed="false">
      <c r="A492" s="15" t="n">
        <f aca="false">Report!C630</f>
        <v>46227</v>
      </c>
      <c r="B492" s="1" t="str">
        <f aca="false">Report!E630</f>
        <v>IRMÃOS LIMA  ATACADO  DE ALIMENTOS LTDA</v>
      </c>
      <c r="C492" s="17" t="n">
        <f aca="false">Report!U630</f>
        <v>708.09</v>
      </c>
      <c r="D492" s="1" t="str">
        <f aca="false">Report!X630</f>
        <v>NF 295040 1/3 - ALICIA</v>
      </c>
    </row>
    <row r="493" customFormat="false" ht="12.75" hidden="false" customHeight="true" outlineLevel="0" collapsed="false">
      <c r="A493" s="15" t="n">
        <f aca="false">Report!C631</f>
        <v>46227</v>
      </c>
      <c r="B493" s="1" t="str">
        <f aca="false">Report!E631</f>
        <v>ELFORT FRUIT COMERCIO DE PRODUTOS ALIME</v>
      </c>
      <c r="C493" s="17" t="n">
        <f aca="false">Report!U631</f>
        <v>678.13</v>
      </c>
      <c r="D493" s="1" t="str">
        <f aca="false">Report!X631</f>
        <v>NF 27621 1/2 - ALICIA</v>
      </c>
    </row>
    <row r="494" customFormat="false" ht="12.75" hidden="false" customHeight="true" outlineLevel="0" collapsed="false">
      <c r="A494" s="15" t="n">
        <f aca="false">Report!C632</f>
        <v>46227</v>
      </c>
      <c r="B494" s="1" t="str">
        <f aca="false">Report!E632</f>
        <v>COMERCIO DE FRIOS MANAUS LTDA</v>
      </c>
      <c r="C494" s="17" t="n">
        <f aca="false">Report!U632</f>
        <v>4513.6</v>
      </c>
      <c r="D494" s="1" t="str">
        <f aca="false">Report!X632</f>
        <v>NF 173151 1/1 - ALICIA</v>
      </c>
    </row>
    <row r="495" customFormat="false" ht="12.75" hidden="false" customHeight="true" outlineLevel="0" collapsed="false">
      <c r="A495" s="15" t="n">
        <f aca="false">Report!C633</f>
        <v>46227</v>
      </c>
      <c r="B495" s="1" t="str">
        <f aca="false">Report!E633</f>
        <v>DISTRIBUIDORA ESTRELA LTDA</v>
      </c>
      <c r="C495" s="17" t="n">
        <f aca="false">Report!U633</f>
        <v>631.62</v>
      </c>
      <c r="D495" s="1" t="str">
        <f aca="false">Report!X633</f>
        <v>NF 35519 1/3 - ALICIA</v>
      </c>
    </row>
    <row r="496" customFormat="false" ht="12.75" hidden="false" customHeight="true" outlineLevel="0" collapsed="false">
      <c r="A496" s="15" t="n">
        <f aca="false">Report!C634</f>
        <v>46227</v>
      </c>
      <c r="B496" s="1" t="str">
        <f aca="false">Report!E634</f>
        <v>S E PEREIRA BARBOSA ME</v>
      </c>
      <c r="C496" s="17" t="n">
        <f aca="false">Report!U634</f>
        <v>201.5</v>
      </c>
      <c r="D496" s="1" t="str">
        <f aca="false">Report!X634</f>
        <v>NF 18250 1/1 - ALICIA</v>
      </c>
    </row>
    <row r="497" customFormat="false" ht="12.75" hidden="false" customHeight="true" outlineLevel="0" collapsed="false">
      <c r="A497" s="15" t="n">
        <f aca="false">Report!C636</f>
        <v>46227</v>
      </c>
      <c r="B497" s="1" t="str">
        <f aca="false">Report!E636</f>
        <v>OLIVEIRA E SILVA LTDA</v>
      </c>
      <c r="C497" s="17" t="n">
        <f aca="false">Report!U636</f>
        <v>1699.5</v>
      </c>
      <c r="D497" s="1" t="str">
        <f aca="false">Report!X636</f>
        <v>COMPRAS CARLOS VERDURAS - ALICIA </v>
      </c>
    </row>
    <row r="498" customFormat="false" ht="12.75" hidden="false" customHeight="true" outlineLevel="0" collapsed="false">
      <c r="A498" s="15" t="n">
        <f aca="false">Report!C637</f>
        <v>46227</v>
      </c>
      <c r="B498" s="1" t="str">
        <f aca="false">Report!E637</f>
        <v>COMERCIO E TRANSPORTE BRANDAO LTDA</v>
      </c>
      <c r="C498" s="17" t="n">
        <f aca="false">Report!U637</f>
        <v>175</v>
      </c>
      <c r="D498" s="1" t="str">
        <f aca="false">Report!X637</f>
        <v>S/NF COMPRAS QUEIJO , CARLOS VERDURAS - ALICIA</v>
      </c>
    </row>
    <row r="499" customFormat="false" ht="12.75" hidden="false" customHeight="true" outlineLevel="0" collapsed="false">
      <c r="A499" s="15" t="n">
        <f aca="false">Report!C638</f>
        <v>46227</v>
      </c>
      <c r="B499" s="1" t="str">
        <f aca="false">Report!E638</f>
        <v>COMERCIO E TRANSPORTE BRANDAO LTDA</v>
      </c>
      <c r="C499" s="17" t="n">
        <f aca="false">Report!U638</f>
        <v>320</v>
      </c>
      <c r="D499" s="1" t="str">
        <f aca="false">Report!X638</f>
        <v>NF 14912 1/1 - COMPRAS CARLOS VERDURAS </v>
      </c>
    </row>
    <row r="500" customFormat="false" ht="12.75" hidden="false" customHeight="true" outlineLevel="0" collapsed="false">
      <c r="A500" s="15" t="n">
        <f aca="false">Report!C639</f>
        <v>46227</v>
      </c>
      <c r="B500" s="1" t="str">
        <f aca="false">Report!E639</f>
        <v>H L M PADARIA E CONFEITARIA LTDA</v>
      </c>
      <c r="C500" s="17" t="n">
        <f aca="false">Report!U639</f>
        <v>240</v>
      </c>
      <c r="D500" s="1" t="str">
        <f aca="false">Report!X639</f>
        <v>NF 73 1/1 BOLOS MIAZAKY - ALICIA</v>
      </c>
    </row>
    <row r="501" customFormat="false" ht="12.75" hidden="false" customHeight="true" outlineLevel="0" collapsed="false">
      <c r="A501" s="15" t="n">
        <f aca="false">Report!C640</f>
        <v>46227</v>
      </c>
      <c r="B501" s="1" t="str">
        <f aca="false">Report!E640</f>
        <v>OLIVEIRA E SILVA LTDA</v>
      </c>
      <c r="C501" s="17" t="n">
        <f aca="false">Report!U640</f>
        <v>133.74</v>
      </c>
      <c r="D501" s="1" t="str">
        <f aca="false">Report!X640</f>
        <v>COMPRAS JERIMUM E PIMENTA MALAGUETA - ALICIA</v>
      </c>
    </row>
    <row r="502" customFormat="false" ht="12.75" hidden="false" customHeight="true" outlineLevel="0" collapsed="false">
      <c r="A502" s="15" t="n">
        <f aca="false">Report!C641</f>
        <v>46227</v>
      </c>
      <c r="B502" s="1" t="str">
        <f aca="false">Report!E641</f>
        <v>OLIVEIRA E SILVA LTDA</v>
      </c>
      <c r="C502" s="17" t="n">
        <f aca="false">Report!U641</f>
        <v>80</v>
      </c>
      <c r="D502" s="1" t="str">
        <f aca="false">Report!X641</f>
        <v>COMPRAS CHEIRO VERDE - ALICIA</v>
      </c>
    </row>
    <row r="503" customFormat="false" ht="12.75" hidden="false" customHeight="true" outlineLevel="0" collapsed="false">
      <c r="A503" s="15" t="n">
        <f aca="false">Report!C642</f>
        <v>46227</v>
      </c>
      <c r="B503" s="1" t="str">
        <f aca="false">Report!E642</f>
        <v>J W N DOS SANTOS</v>
      </c>
      <c r="C503" s="17" t="n">
        <f aca="false">Report!U642</f>
        <v>1030</v>
      </c>
      <c r="D503" s="1" t="str">
        <f aca="false">Report!X642</f>
        <v>NF 373 1/1 - ALICIA</v>
      </c>
    </row>
    <row r="504" customFormat="false" ht="12.75" hidden="false" customHeight="true" outlineLevel="0" collapsed="false">
      <c r="A504" s="15" t="n">
        <f aca="false">Report!C646</f>
        <v>46228</v>
      </c>
      <c r="B504" s="1" t="str">
        <f aca="false">Report!E646</f>
        <v>SHMILY COMERCIO DE ARTIGOS DO VESTUARIO</v>
      </c>
      <c r="C504" s="17" t="n">
        <f aca="false">Report!U646</f>
        <v>309.75</v>
      </c>
      <c r="D504" s="1" t="str">
        <f aca="false">Report!X646</f>
        <v>NF 416 2/3 - A PRAZO </v>
      </c>
    </row>
    <row r="505" customFormat="false" ht="12.75" hidden="false" customHeight="true" outlineLevel="0" collapsed="false">
      <c r="A505" s="15" t="n">
        <f aca="false">Report!C647</f>
        <v>46228</v>
      </c>
      <c r="B505" s="1" t="str">
        <f aca="false">Report!E647</f>
        <v>A. CORREA JUNIOR</v>
      </c>
      <c r="C505" s="17" t="n">
        <f aca="false">Report!U647</f>
        <v>1633.2</v>
      </c>
      <c r="D505" s="1" t="str">
        <f aca="false">Report!X647</f>
        <v>NF 1820 2/3 - A PRAZO </v>
      </c>
    </row>
    <row r="506" customFormat="false" ht="12.75" hidden="false" customHeight="true" outlineLevel="0" collapsed="false">
      <c r="A506" s="15" t="n">
        <f aca="false">Report!C648</f>
        <v>46228</v>
      </c>
      <c r="B506" s="1" t="str">
        <f aca="false">Report!E648</f>
        <v>LUIS HENRIQUE FROTA MAGALHAES</v>
      </c>
      <c r="C506" s="17" t="n">
        <f aca="false">Report!U648</f>
        <v>205.75</v>
      </c>
      <c r="D506" s="1" t="str">
        <f aca="false">Report!X648</f>
        <v>NF 1950 2/2 - A PRAZO</v>
      </c>
    </row>
    <row r="507" customFormat="false" ht="12.75" hidden="false" customHeight="true" outlineLevel="0" collapsed="false">
      <c r="A507" s="15" t="n">
        <f aca="false">Report!C650</f>
        <v>46228</v>
      </c>
      <c r="B507" s="1" t="str">
        <f aca="false">Report!E650</f>
        <v>66.356.670 FRANCISCO CARLOS FERNANDES COSTA</v>
      </c>
      <c r="C507" s="17" t="n">
        <f aca="false">Report!U650</f>
        <v>180</v>
      </c>
      <c r="D507" s="1" t="str">
        <f aca="false">Report!X650</f>
        <v>NF 45 1/1 - ALICIA - BOLOS MIAZAKI </v>
      </c>
    </row>
    <row r="508" customFormat="false" ht="12.75" hidden="false" customHeight="true" outlineLevel="0" collapsed="false">
      <c r="A508" s="15" t="n">
        <f aca="false">Report!C651</f>
        <v>46228</v>
      </c>
      <c r="B508" s="1" t="str">
        <f aca="false">Report!E651</f>
        <v>COMPRAS NA PORTA AVULSO</v>
      </c>
      <c r="C508" s="17" t="n">
        <f aca="false">Report!U651</f>
        <v>101.12</v>
      </c>
      <c r="D508" s="1" t="str">
        <f aca="false">Report!X651</f>
        <v>S/NF COMPRAS BONE 1/2 / ITAU 9303 - ALICIA </v>
      </c>
    </row>
    <row r="509" customFormat="false" ht="12.75" hidden="false" customHeight="true" outlineLevel="0" collapsed="false">
      <c r="A509" s="15" t="n">
        <f aca="false">Report!C652</f>
        <v>46228</v>
      </c>
      <c r="B509" s="1" t="str">
        <f aca="false">Report!E652</f>
        <v>MARE DISTRIBUIDORA DE BEBIDAS E DE PRODUTOS ALIMENTICIOS LTDA</v>
      </c>
      <c r="C509" s="17" t="n">
        <f aca="false">Report!U652</f>
        <v>887.5</v>
      </c>
      <c r="D509" s="1" t="str">
        <f aca="false">Report!X652</f>
        <v>NF 1388539 2/2 - ALICIA</v>
      </c>
    </row>
    <row r="510" customFormat="false" ht="12.75" hidden="false" customHeight="true" outlineLevel="0" collapsed="false">
      <c r="A510" s="15" t="n">
        <f aca="false">Report!C653</f>
        <v>46228</v>
      </c>
      <c r="B510" s="1" t="str">
        <f aca="false">Report!E653</f>
        <v>WKL COMERCIO ATACADISTA DE ARTIGOS DE AR</v>
      </c>
      <c r="C510" s="17" t="n">
        <f aca="false">Report!U653</f>
        <v>592.06</v>
      </c>
      <c r="D510" s="1" t="str">
        <f aca="false">Report!X653</f>
        <v>NF 1330 1/4 - ALICIA </v>
      </c>
    </row>
    <row r="511" customFormat="false" ht="12.75" hidden="false" customHeight="true" outlineLevel="0" collapsed="false">
      <c r="A511" s="15" t="n">
        <f aca="false">Report!C654</f>
        <v>46228</v>
      </c>
      <c r="B511" s="1" t="str">
        <f aca="false">Report!E654</f>
        <v>STEFFANE VITORIA FERNANDES SILVA</v>
      </c>
      <c r="C511" s="17" t="n">
        <f aca="false">Report!U654</f>
        <v>614.99</v>
      </c>
      <c r="D511" s="1" t="str">
        <f aca="false">Report!X654</f>
        <v>NF 12877 1/3 - ALICIA</v>
      </c>
    </row>
    <row r="512" customFormat="false" ht="12.75" hidden="false" customHeight="true" outlineLevel="0" collapsed="false">
      <c r="A512" s="15" t="n">
        <f aca="false">Report!C656</f>
        <v>46228</v>
      </c>
      <c r="B512" s="1" t="str">
        <f aca="false">Report!E656</f>
        <v>CINTIA MACIEL PEREIRA SANTOS 95986138287</v>
      </c>
      <c r="C512" s="17" t="n">
        <f aca="false">Report!U656</f>
        <v>772</v>
      </c>
      <c r="D512" s="1" t="str">
        <f aca="false">Report!X656</f>
        <v>NF 1393 1/1 - ALICIA</v>
      </c>
    </row>
    <row r="513" customFormat="false" ht="12.75" hidden="false" customHeight="true" outlineLevel="0" collapsed="false">
      <c r="A513" s="15" t="n">
        <f aca="false">Report!C657</f>
        <v>46228</v>
      </c>
      <c r="B513" s="1" t="str">
        <f aca="false">Report!E657</f>
        <v>OLIVEIRA E SILVA LTDA</v>
      </c>
      <c r="C513" s="17" t="n">
        <f aca="false">Report!U657</f>
        <v>125</v>
      </c>
      <c r="D513" s="1" t="str">
        <f aca="false">Report!X657</f>
        <v> COMPRAS 1CX DE BANANAS -ALICIA</v>
      </c>
    </row>
    <row r="514" customFormat="false" ht="12.75" hidden="false" customHeight="true" outlineLevel="0" collapsed="false">
      <c r="A514" s="15" t="n">
        <f aca="false">Report!C658</f>
        <v>46228</v>
      </c>
      <c r="B514" s="1" t="str">
        <f aca="false">Report!E658</f>
        <v>OLIVEIRA E SILVA LTDA</v>
      </c>
      <c r="C514" s="17" t="n">
        <f aca="false">Report!U658</f>
        <v>305</v>
      </c>
      <c r="D514" s="1" t="str">
        <f aca="false">Report!X658</f>
        <v>COMPRAS CHEIRO VERDE , ALFACE , COUVE - ALICIA</v>
      </c>
    </row>
    <row r="515" customFormat="false" ht="12.75" hidden="false" customHeight="true" outlineLevel="0" collapsed="false">
      <c r="A515" s="15" t="n">
        <f aca="false">Report!C659</f>
        <v>46228</v>
      </c>
      <c r="B515" s="1" t="str">
        <f aca="false">Report!E659</f>
        <v>60.729.628 LAURENA NUNES CALIXTO</v>
      </c>
      <c r="C515" s="17" t="n">
        <f aca="false">Report!U659</f>
        <v>270</v>
      </c>
      <c r="D515" s="1" t="str">
        <f aca="false">Report!X659</f>
        <v>nf 806 1/1 compras 15 cx brigadeiros - alicia</v>
      </c>
    </row>
    <row r="516" customFormat="false" ht="12.75" hidden="false" customHeight="true" outlineLevel="0" collapsed="false">
      <c r="A516" s="15" t="n">
        <f aca="false">Report!C662</f>
        <v>46229</v>
      </c>
      <c r="B516" s="1" t="str">
        <f aca="false">Report!E662</f>
        <v>OLIVEIRA E SILVA LTDA</v>
      </c>
      <c r="C516" s="17" t="n">
        <f aca="false">Report!U662</f>
        <v>280</v>
      </c>
      <c r="D516" s="1" t="str">
        <f aca="false">Report!X662</f>
        <v>COMPRAS 20 GRRF  ACAI - PGT PIX:92991892419 NAILSON GARCES</v>
      </c>
    </row>
    <row r="517" customFormat="false" ht="12.75" hidden="false" customHeight="true" outlineLevel="0" collapsed="false">
      <c r="A517" s="15" t="n">
        <f aca="false">Report!C665</f>
        <v>46230</v>
      </c>
      <c r="B517" s="1" t="str">
        <f aca="false">Report!E665</f>
        <v>DUPORTO COM E SERV DE DIST LTDA</v>
      </c>
      <c r="C517" s="17" t="n">
        <f aca="false">Report!U665</f>
        <v>543.15</v>
      </c>
      <c r="D517" s="1" t="str">
        <f aca="false">Report!X665</f>
        <v>NF 8604 3/3 - ALICIA</v>
      </c>
    </row>
    <row r="518" customFormat="false" ht="12.75" hidden="false" customHeight="true" outlineLevel="0" collapsed="false">
      <c r="A518" s="15" t="n">
        <f aca="false">Report!C666</f>
        <v>46230</v>
      </c>
      <c r="B518" s="1" t="str">
        <f aca="false">Report!E666</f>
        <v>OLIVEIRA E SILVA LTDA</v>
      </c>
      <c r="C518" s="17" t="n">
        <f aca="false">Report!U666</f>
        <v>125</v>
      </c>
      <c r="D518" s="1" t="str">
        <f aca="false">Report!X666</f>
        <v>COMPRAS 1 CX DE BANANAS - ALICIA</v>
      </c>
    </row>
    <row r="519" customFormat="false" ht="12.75" hidden="false" customHeight="true" outlineLevel="0" collapsed="false">
      <c r="A519" s="15" t="n">
        <f aca="false">Report!C667</f>
        <v>46230</v>
      </c>
      <c r="B519" s="1" t="str">
        <f aca="false">Report!E667</f>
        <v>L S M COMERCIO DE ALIMENTOS E NAVEGACAO</v>
      </c>
      <c r="C519" s="17" t="n">
        <f aca="false">Report!U667</f>
        <v>649.19</v>
      </c>
      <c r="D519" s="1" t="str">
        <f aca="false">Report!X667</f>
        <v>NF 305918 3/3 - ALICIA </v>
      </c>
    </row>
    <row r="520" customFormat="false" ht="12.75" hidden="false" customHeight="true" outlineLevel="0" collapsed="false">
      <c r="A520" s="15" t="n">
        <f aca="false">Report!C668</f>
        <v>46230</v>
      </c>
      <c r="B520" s="1" t="str">
        <f aca="false">Report!E668</f>
        <v>6° OFICIO DE PROTESTO DE LETRAS DE MANAU</v>
      </c>
      <c r="C520" s="17" t="n">
        <f aca="false">Report!U668</f>
        <v>213.75</v>
      </c>
      <c r="D520" s="1" t="str">
        <f aca="false">Report!X668</f>
        <v>REF BOLETOS  DUPORTO N8604-3 MO4-ANDREZA</v>
      </c>
    </row>
    <row r="521" customFormat="false" ht="12.75" hidden="false" customHeight="true" outlineLevel="0" collapsed="false">
      <c r="A521" s="15" t="n">
        <f aca="false">Report!C669</f>
        <v>46230</v>
      </c>
      <c r="B521" s="1" t="str">
        <f aca="false">Report!E669</f>
        <v>GRANDE MOINHO CEARENSE S/A </v>
      </c>
      <c r="C521" s="17" t="n">
        <f aca="false">Report!U669</f>
        <v>222.97</v>
      </c>
      <c r="D521" s="1" t="str">
        <f aca="false">Report!X669</f>
        <v>NF 142426 1/1 - ALICIA</v>
      </c>
    </row>
    <row r="522" customFormat="false" ht="12.75" hidden="false" customHeight="true" outlineLevel="0" collapsed="false">
      <c r="A522" s="15" t="n">
        <f aca="false">Report!C670</f>
        <v>46230</v>
      </c>
      <c r="B522" s="1" t="str">
        <f aca="false">Report!E670</f>
        <v>PIARARA COMERCIO, IMPORTACAO E EXPORTACAO LTDA</v>
      </c>
      <c r="C522" s="17" t="n">
        <f aca="false">Report!U670</f>
        <v>1819.31</v>
      </c>
      <c r="D522" s="1" t="str">
        <f aca="false">Report!X670</f>
        <v>NF 194114 2/3 - ALICIA</v>
      </c>
    </row>
    <row r="523" customFormat="false" ht="12.75" hidden="false" customHeight="true" outlineLevel="0" collapsed="false">
      <c r="A523" s="15" t="n">
        <f aca="false">Report!C671</f>
        <v>46230</v>
      </c>
      <c r="B523" s="1" t="str">
        <f aca="false">Report!E671</f>
        <v>DUNORTE DISTRIBUIDORA DE PRODUTOS DE CONSUMO LTDA</v>
      </c>
      <c r="C523" s="17" t="n">
        <f aca="false">Report!U671</f>
        <v>928.46</v>
      </c>
      <c r="D523" s="1" t="str">
        <f aca="false">Report!X671</f>
        <v>NF 3218718 1/3 - ALICIA </v>
      </c>
    </row>
    <row r="524" customFormat="false" ht="12.75" hidden="false" customHeight="true" outlineLevel="0" collapsed="false">
      <c r="A524" s="15" t="n">
        <f aca="false">Report!C672</f>
        <v>46230</v>
      </c>
      <c r="B524" s="1" t="str">
        <f aca="false">Report!E672</f>
        <v>RACAO CONFIANCA AGROINDUSTRIAL LTDA</v>
      </c>
      <c r="C524" s="17" t="n">
        <f aca="false">Report!U672</f>
        <v>620.25</v>
      </c>
      <c r="D524" s="1" t="str">
        <f aca="false">Report!X672</f>
        <v>NF 27791 1/3 - ALICIA</v>
      </c>
    </row>
    <row r="525" customFormat="false" ht="12.75" hidden="false" customHeight="true" outlineLevel="0" collapsed="false">
      <c r="A525" s="15" t="n">
        <f aca="false">Report!C673</f>
        <v>46230</v>
      </c>
      <c r="B525" s="1" t="str">
        <f aca="false">Report!E673</f>
        <v>COMERCIO DE FRIOS MANAUS LTDA</v>
      </c>
      <c r="C525" s="17" t="n">
        <f aca="false">Report!U673</f>
        <v>2889.6</v>
      </c>
      <c r="D525" s="1" t="str">
        <f aca="false">Report!X673</f>
        <v>NF 173328 1/1 - ALICIA </v>
      </c>
    </row>
    <row r="526" customFormat="false" ht="12.75" hidden="false" customHeight="true" outlineLevel="0" collapsed="false">
      <c r="A526" s="15" t="n">
        <f aca="false">Report!C674</f>
        <v>46230</v>
      </c>
      <c r="B526" s="1" t="str">
        <f aca="false">Report!E674</f>
        <v>CRBS S/A</v>
      </c>
      <c r="C526" s="17" t="n">
        <f aca="false">Report!U674</f>
        <v>925.68</v>
      </c>
      <c r="D526" s="1" t="str">
        <f aca="false">Report!X674</f>
        <v>NF 899327 1/1 - ALICIA</v>
      </c>
    </row>
    <row r="527" customFormat="false" ht="12.75" hidden="false" customHeight="true" outlineLevel="0" collapsed="false">
      <c r="A527" s="15" t="n">
        <f aca="false">Report!C676</f>
        <v>46230</v>
      </c>
      <c r="B527" s="1" t="str">
        <f aca="false">Report!E676</f>
        <v>COMERCIO DE FRIOS MANAUS LTDA</v>
      </c>
      <c r="C527" s="17" t="n">
        <f aca="false">Report!U676</f>
        <v>5478.25</v>
      </c>
      <c r="D527" s="1" t="str">
        <f aca="false">Report!X676</f>
        <v>NF 173515 1/2 - ALICIA</v>
      </c>
    </row>
    <row r="528" customFormat="false" ht="12.75" hidden="false" customHeight="true" outlineLevel="0" collapsed="false">
      <c r="A528" s="15" t="n">
        <f aca="false">Report!C677</f>
        <v>46230</v>
      </c>
      <c r="B528" s="1" t="str">
        <f aca="false">Report!E677</f>
        <v>RV TECNOLOGIA E SISTEMAS S.A</v>
      </c>
      <c r="C528" s="17" t="n">
        <f aca="false">Report!U677</f>
        <v>2108.86</v>
      </c>
      <c r="D528" s="1" t="str">
        <f aca="false">Report!X677</f>
        <v>RECARGA TELEFONICA - ALICIA </v>
      </c>
    </row>
    <row r="529" customFormat="false" ht="12.75" hidden="false" customHeight="true" outlineLevel="0" collapsed="false">
      <c r="A529" s="15" t="n">
        <f aca="false">Report!C680</f>
        <v>46230</v>
      </c>
      <c r="B529" s="1" t="str">
        <f aca="false">Report!E680</f>
        <v>JUROS A FORNECEDOR</v>
      </c>
      <c r="C529" s="17" t="n">
        <f aca="false">Report!U680</f>
        <v>30.51</v>
      </c>
      <c r="D529" s="1" t="str">
        <f aca="false">Report!X680</f>
        <v>juros fornecedores mo45-andreza</v>
      </c>
    </row>
    <row r="530" customFormat="false" ht="12.75" hidden="false" customHeight="true" outlineLevel="0" collapsed="false">
      <c r="A530" s="15" t="n">
        <f aca="false">Report!C681</f>
        <v>46231</v>
      </c>
      <c r="B530" s="1" t="str">
        <f aca="false">Report!E681</f>
        <v>FH DISTRIBUIDORA DE ALIM. E BEBIDAS LTDA</v>
      </c>
      <c r="C530" s="17" t="n">
        <f aca="false">Report!U681</f>
        <v>288.37</v>
      </c>
      <c r="D530" s="1" t="str">
        <f aca="false">Report!X681</f>
        <v>NF 327464 3/3 - ALICIA </v>
      </c>
    </row>
    <row r="531" customFormat="false" ht="12.75" hidden="false" customHeight="true" outlineLevel="0" collapsed="false">
      <c r="A531" s="15" t="n">
        <f aca="false">Report!C682</f>
        <v>46231</v>
      </c>
      <c r="B531" s="1" t="str">
        <f aca="false">Report!E682</f>
        <v>RISADINHA LTDA</v>
      </c>
      <c r="C531" s="17" t="n">
        <f aca="false">Report!U682</f>
        <v>656.2</v>
      </c>
      <c r="D531" s="1" t="str">
        <f aca="false">Report!X682</f>
        <v>NF 661520 2/3 - ALICIA </v>
      </c>
    </row>
    <row r="532" customFormat="false" ht="12.75" hidden="false" customHeight="true" outlineLevel="0" collapsed="false">
      <c r="A532" s="15" t="n">
        <f aca="false">Report!C683</f>
        <v>46231</v>
      </c>
      <c r="B532" s="1" t="str">
        <f aca="false">Report!E683</f>
        <v>EMPRESA BRASILEIRA DE DISTRIBUICAO LTDA</v>
      </c>
      <c r="C532" s="17" t="n">
        <f aca="false">Report!U683</f>
        <v>977.57</v>
      </c>
      <c r="D532" s="1" t="str">
        <f aca="false">Report!X683</f>
        <v>NF 2298987 2/3 - ALICIA </v>
      </c>
    </row>
    <row r="533" customFormat="false" ht="12.75" hidden="false" customHeight="true" outlineLevel="0" collapsed="false">
      <c r="A533" s="15" t="n">
        <f aca="false">Report!C684</f>
        <v>46231</v>
      </c>
      <c r="B533" s="1" t="str">
        <f aca="false">Report!E684</f>
        <v>BRASIL NORTE BEBIDAS S/A</v>
      </c>
      <c r="C533" s="17" t="n">
        <f aca="false">Report!U684</f>
        <v>995.03</v>
      </c>
      <c r="D533" s="1" t="str">
        <f aca="false">Report!X684</f>
        <v>NF 1211738 1/1 - ALICIA</v>
      </c>
    </row>
    <row r="534" customFormat="false" ht="12.75" hidden="false" customHeight="true" outlineLevel="0" collapsed="false">
      <c r="A534" s="15" t="n">
        <f aca="false">Report!C685</f>
        <v>46231</v>
      </c>
      <c r="B534" s="1" t="str">
        <f aca="false">Report!E685</f>
        <v>BRASIL NORTE BEBIDAS S/A</v>
      </c>
      <c r="C534" s="17" t="n">
        <f aca="false">Report!U685</f>
        <v>4839.24</v>
      </c>
      <c r="D534" s="1" t="str">
        <f aca="false">Report!X685</f>
        <v>NF 1946331 1/1 - ALICIA</v>
      </c>
    </row>
    <row r="535" customFormat="false" ht="12.75" hidden="false" customHeight="true" outlineLevel="0" collapsed="false">
      <c r="A535" s="15" t="n">
        <f aca="false">Report!C686</f>
        <v>46231</v>
      </c>
      <c r="B535" s="1" t="str">
        <f aca="false">Report!E686</f>
        <v>MAXFRI DISTRIUIDORA LTDA</v>
      </c>
      <c r="C535" s="17" t="n">
        <f aca="false">Report!U686</f>
        <v>3682.25</v>
      </c>
      <c r="D535" s="1" t="str">
        <f aca="false">Report!X686</f>
        <v>NF 14770 1/1 - ALICIA </v>
      </c>
    </row>
    <row r="536" customFormat="false" ht="12.75" hidden="false" customHeight="true" outlineLevel="0" collapsed="false">
      <c r="A536" s="15" t="n">
        <f aca="false">Report!C687</f>
        <v>46231</v>
      </c>
      <c r="B536" s="1" t="str">
        <f aca="false">Report!E687</f>
        <v>OLIVEIRA E SILVA LTDA</v>
      </c>
      <c r="C536" s="17" t="n">
        <f aca="false">Report!U687</f>
        <v>600</v>
      </c>
      <c r="D536" s="1" t="str">
        <f aca="false">Report!X687</f>
        <v>COMPRAS FARINHA DE FEIRA - JOSE FARINHA </v>
      </c>
    </row>
    <row r="537" customFormat="false" ht="12.75" hidden="false" customHeight="true" outlineLevel="0" collapsed="false">
      <c r="A537" s="15" t="n">
        <f aca="false">Report!C688</f>
        <v>46231</v>
      </c>
      <c r="B537" s="1" t="str">
        <f aca="false">Report!E688</f>
        <v>ALEXANDRE DA SILVA RUFINO</v>
      </c>
      <c r="C537" s="17" t="n">
        <f aca="false">Report!U688</f>
        <v>574</v>
      </c>
      <c r="D537" s="1" t="str">
        <f aca="false">Report!X688</f>
        <v>S/NF COMPRAS CIGARROS - ALICIA</v>
      </c>
    </row>
    <row r="538" customFormat="false" ht="12.75" hidden="false" customHeight="true" outlineLevel="0" collapsed="false">
      <c r="A538" s="15" t="n">
        <f aca="false">Report!C689</f>
        <v>46231</v>
      </c>
      <c r="B538" s="1" t="str">
        <f aca="false">Report!E689</f>
        <v>S E PEREIRA BARBOSA ME</v>
      </c>
      <c r="C538" s="17" t="n">
        <f aca="false">Report!U689</f>
        <v>200</v>
      </c>
      <c r="D538" s="1" t="str">
        <f aca="false">Report!X689</f>
        <v>NF 18314 1/1 - ALICIA</v>
      </c>
    </row>
    <row r="539" customFormat="false" ht="12.75" hidden="false" customHeight="true" outlineLevel="0" collapsed="false">
      <c r="A539" s="15" t="n">
        <f aca="false">Report!C690</f>
        <v>46231</v>
      </c>
      <c r="B539" s="1" t="str">
        <f aca="false">Report!E690</f>
        <v>JANETE DE LIMA ROOL 80938280287</v>
      </c>
      <c r="C539" s="17" t="n">
        <f aca="false">Report!U690</f>
        <v>233</v>
      </c>
      <c r="D539" s="1" t="str">
        <f aca="false">Report!X690</f>
        <v>NF 6860 1/1 - ALICIA</v>
      </c>
    </row>
    <row r="540" customFormat="false" ht="12.75" hidden="false" customHeight="true" outlineLevel="0" collapsed="false">
      <c r="A540" s="15" t="n">
        <f aca="false">Report!C691</f>
        <v>46231</v>
      </c>
      <c r="B540" s="1" t="str">
        <f aca="false">Report!E691</f>
        <v>TOYA INDUSTRIA E COMERCIO LTDA.</v>
      </c>
      <c r="C540" s="17" t="n">
        <f aca="false">Report!U691</f>
        <v>355</v>
      </c>
      <c r="D540" s="1" t="str">
        <f aca="false">Report!X691</f>
        <v>NF 256020 1/2 - ALICIA</v>
      </c>
    </row>
    <row r="541" customFormat="false" ht="12.75" hidden="false" customHeight="true" outlineLevel="0" collapsed="false">
      <c r="A541" s="15" t="n">
        <f aca="false">Report!C692</f>
        <v>46231</v>
      </c>
      <c r="B541" s="1" t="str">
        <f aca="false">Report!E692</f>
        <v>OLIVEIRA E SILVA LTDA</v>
      </c>
      <c r="C541" s="17" t="n">
        <f aca="false">Report!U692</f>
        <v>2232</v>
      </c>
      <c r="D541" s="1" t="str">
        <f aca="false">Report!X692</f>
        <v>COMPRAS CARLOS VERDURAS - ALICIA</v>
      </c>
    </row>
    <row r="542" customFormat="false" ht="12.75" hidden="false" customHeight="true" outlineLevel="0" collapsed="false">
      <c r="A542" s="15" t="n">
        <f aca="false">Report!C693</f>
        <v>46231</v>
      </c>
      <c r="B542" s="1" t="str">
        <f aca="false">Report!E693</f>
        <v>COMERCIO E TRANSPORTE BRANDAO LTDA</v>
      </c>
      <c r="C542" s="17" t="n">
        <f aca="false">Report!U693</f>
        <v>310</v>
      </c>
      <c r="D542" s="1" t="str">
        <f aca="false">Report!X693</f>
        <v>NF 14946 1/1 COMPRAS CARLOS VERDURAS - ALICIA</v>
      </c>
    </row>
    <row r="543" customFormat="false" ht="12.75" hidden="false" customHeight="true" outlineLevel="0" collapsed="false">
      <c r="A543" s="15" t="n">
        <f aca="false">Report!C694</f>
        <v>46231</v>
      </c>
      <c r="B543" s="1" t="str">
        <f aca="false">Report!E694</f>
        <v>COMERCIO E TRANSPORTE BRANDAO LTDA</v>
      </c>
      <c r="C543" s="17" t="n">
        <f aca="false">Report!U694</f>
        <v>175</v>
      </c>
      <c r="D543" s="1" t="str">
        <f aca="false">Report!X694</f>
        <v>RECIBO - COMPRAS QUEIJO / CARLOS VERDURAS - ALICIA</v>
      </c>
    </row>
    <row r="544" customFormat="false" ht="12.75" hidden="false" customHeight="true" outlineLevel="0" collapsed="false">
      <c r="A544" s="15" t="n">
        <f aca="false">Report!C695</f>
        <v>46231</v>
      </c>
      <c r="B544" s="1" t="str">
        <f aca="false">Report!E695</f>
        <v>ADICSO FABIAN GONZALEZ MONTILLA 70302186</v>
      </c>
      <c r="C544" s="17" t="n">
        <f aca="false">Report!U695</f>
        <v>240</v>
      </c>
      <c r="D544" s="1" t="str">
        <f aca="false">Report!X695</f>
        <v>NF 545 1/1 - ALICIA</v>
      </c>
    </row>
    <row r="545" customFormat="false" ht="12.75" hidden="false" customHeight="true" outlineLevel="0" collapsed="false">
      <c r="A545" s="15" t="n">
        <f aca="false">Report!C697</f>
        <v>46231</v>
      </c>
      <c r="B545" s="1" t="str">
        <f aca="false">Report!E697</f>
        <v>OLIVEIRA E SILVA LTDA</v>
      </c>
      <c r="C545" s="17" t="n">
        <f aca="false">Report!U697</f>
        <v>75</v>
      </c>
      <c r="D545" s="1" t="str">
        <f aca="false">Report!X697</f>
        <v>COMPRAS CHEIRO VERDE - ALICIA</v>
      </c>
    </row>
    <row r="546" customFormat="false" ht="12.75" hidden="false" customHeight="true" outlineLevel="0" collapsed="false">
      <c r="A546" s="15" t="n">
        <f aca="false">Report!C698</f>
        <v>46231</v>
      </c>
      <c r="B546" s="1" t="str">
        <f aca="false">Report!E698</f>
        <v>OLIVEIRA E SILVA LTDA</v>
      </c>
      <c r="C546" s="17" t="n">
        <f aca="false">Report!U698</f>
        <v>250</v>
      </c>
      <c r="D546" s="1" t="str">
        <f aca="false">Report!X698</f>
        <v>COMPRAS 2CX DE BANANAS - ALICIA</v>
      </c>
    </row>
    <row r="547" customFormat="false" ht="12.75" hidden="false" customHeight="true" outlineLevel="0" collapsed="false">
      <c r="A547" s="15" t="n">
        <f aca="false">Report!C699</f>
        <v>46232</v>
      </c>
      <c r="B547" s="1" t="str">
        <f aca="false">Report!E699</f>
        <v>OCIDENTAL COMERCIO DE FRIOS LTDA</v>
      </c>
      <c r="C547" s="17" t="n">
        <f aca="false">Report!U699</f>
        <v>683</v>
      </c>
      <c r="D547" s="1" t="str">
        <f aca="false">Report!X699</f>
        <v>NF 1242824 3/3 - ALICIA</v>
      </c>
    </row>
    <row r="548" customFormat="false" ht="12.75" hidden="false" customHeight="true" outlineLevel="0" collapsed="false">
      <c r="A548" s="15" t="n">
        <f aca="false">Report!C700</f>
        <v>46232</v>
      </c>
      <c r="B548" s="1" t="str">
        <f aca="false">Report!E700</f>
        <v>OCIDENTAL COMERCIO DE FRIOS LTDA</v>
      </c>
      <c r="C548" s="17" t="n">
        <f aca="false">Report!U700</f>
        <v>764</v>
      </c>
      <c r="D548" s="1" t="str">
        <f aca="false">Report!X700</f>
        <v>NF 1242825 3/3 - ALICIA</v>
      </c>
    </row>
    <row r="549" customFormat="false" ht="12.75" hidden="false" customHeight="true" outlineLevel="0" collapsed="false">
      <c r="A549" s="15" t="n">
        <f aca="false">Report!C701</f>
        <v>46232</v>
      </c>
      <c r="B549" s="1" t="str">
        <f aca="false">Report!E701</f>
        <v>J G COMERCIO DE PRODUTOS ALIMENTICIOS LTDA</v>
      </c>
      <c r="C549" s="17" t="n">
        <f aca="false">Report!U701</f>
        <v>2508.9</v>
      </c>
      <c r="D549" s="1" t="str">
        <f aca="false">Report!X701</f>
        <v>NF 390537 3/3 - ALICIA </v>
      </c>
    </row>
    <row r="550" customFormat="false" ht="12.75" hidden="false" customHeight="true" outlineLevel="0" collapsed="false">
      <c r="A550" s="15" t="n">
        <f aca="false">Report!C702</f>
        <v>46232</v>
      </c>
      <c r="B550" s="1" t="str">
        <f aca="false">Report!E702</f>
        <v>TOYA INDUSTRIA E COMERCIO LTDA.</v>
      </c>
      <c r="C550" s="17" t="n">
        <f aca="false">Report!U702</f>
        <v>553.87</v>
      </c>
      <c r="D550" s="1" t="str">
        <f aca="false">Report!X702</f>
        <v>NF 255010 1/1 - ALICIA </v>
      </c>
    </row>
    <row r="551" customFormat="false" ht="12.75" hidden="false" customHeight="true" outlineLevel="0" collapsed="false">
      <c r="A551" s="15" t="n">
        <f aca="false">Report!C703</f>
        <v>46232</v>
      </c>
      <c r="B551" s="1" t="str">
        <f aca="false">Report!E703</f>
        <v>OCIDENTAL COMERCIO DE FRIOS LTDA</v>
      </c>
      <c r="C551" s="17" t="n">
        <f aca="false">Report!U703</f>
        <v>902.57</v>
      </c>
      <c r="D551" s="1" t="str">
        <f aca="false">Report!X703</f>
        <v>NF 1245355 2/3 - ALICIA </v>
      </c>
    </row>
    <row r="552" customFormat="false" ht="12.75" hidden="false" customHeight="true" outlineLevel="0" collapsed="false">
      <c r="A552" s="15" t="n">
        <f aca="false">Report!C704</f>
        <v>46232</v>
      </c>
      <c r="B552" s="1" t="str">
        <f aca="false">Report!E704</f>
        <v>OESA COMERCIO E REPRESENTACOES S/A</v>
      </c>
      <c r="C552" s="17" t="n">
        <f aca="false">Report!U704</f>
        <v>651.11</v>
      </c>
      <c r="D552" s="1" t="str">
        <f aca="false">Report!X704</f>
        <v>NF 426368 2/3 - ALICIA</v>
      </c>
    </row>
    <row r="553" customFormat="false" ht="12.75" hidden="false" customHeight="true" outlineLevel="0" collapsed="false">
      <c r="A553" s="15" t="n">
        <f aca="false">Report!C705</f>
        <v>46232</v>
      </c>
      <c r="B553" s="1" t="str">
        <f aca="false">Report!E705</f>
        <v>SL DISTRIBUIDORA COM. DE PROD. ALIMENTIC</v>
      </c>
      <c r="C553" s="17" t="n">
        <f aca="false">Report!U705</f>
        <v>572.37</v>
      </c>
      <c r="D553" s="1" t="str">
        <f aca="false">Report!X705</f>
        <v>NF 10718 2/3 - ALICIA </v>
      </c>
    </row>
    <row r="554" customFormat="false" ht="12.75" hidden="false" customHeight="true" outlineLevel="0" collapsed="false">
      <c r="A554" s="15" t="n">
        <f aca="false">Report!C706</f>
        <v>46232</v>
      </c>
      <c r="B554" s="1" t="str">
        <f aca="false">Report!E706</f>
        <v>OCIDENTAL COMERCIO DE FRIOS LTDA</v>
      </c>
      <c r="C554" s="17" t="n">
        <f aca="false">Report!U706</f>
        <v>623.07</v>
      </c>
      <c r="D554" s="1" t="str">
        <f aca="false">Report!X706</f>
        <v>NF 1247916 1/1 - ALICIA</v>
      </c>
    </row>
    <row r="555" customFormat="false" ht="12.75" hidden="false" customHeight="true" outlineLevel="0" collapsed="false">
      <c r="A555" s="15" t="n">
        <f aca="false">Report!C707</f>
        <v>46232</v>
      </c>
      <c r="B555" s="1" t="str">
        <f aca="false">Report!E707</f>
        <v>OCIDENTAL COMERCIO DE FRIOS LTDA</v>
      </c>
      <c r="C555" s="17" t="n">
        <f aca="false">Report!U707</f>
        <v>840.92</v>
      </c>
      <c r="D555" s="1" t="str">
        <f aca="false">Report!X707</f>
        <v>NF 1247914 1/2 - ALICIA</v>
      </c>
    </row>
    <row r="556" customFormat="false" ht="12.75" hidden="false" customHeight="true" outlineLevel="0" collapsed="false">
      <c r="A556" s="15" t="n">
        <f aca="false">Report!C708</f>
        <v>46232</v>
      </c>
      <c r="B556" s="1" t="str">
        <f aca="false">Report!E708</f>
        <v>REAL BEBIDAS DA AMAZONIA LTDA</v>
      </c>
      <c r="C556" s="17" t="n">
        <f aca="false">Report!U708</f>
        <v>600.4</v>
      </c>
      <c r="D556" s="1" t="str">
        <f aca="false">Report!X708</f>
        <v>NF 607701 1/2 - ALICIA</v>
      </c>
    </row>
    <row r="557" customFormat="false" ht="12.75" hidden="false" customHeight="true" outlineLevel="0" collapsed="false">
      <c r="A557" s="15" t="n">
        <f aca="false">Report!C709</f>
        <v>46232</v>
      </c>
      <c r="B557" s="1" t="str">
        <f aca="false">Report!E709</f>
        <v>MAXFRI DISTRIUIDORA LTDA</v>
      </c>
      <c r="C557" s="17" t="n">
        <f aca="false">Report!U709</f>
        <v>2086.5</v>
      </c>
      <c r="D557" s="1" t="str">
        <f aca="false">Report!X709</f>
        <v>NF 14783 1/1 - ALICIA</v>
      </c>
    </row>
    <row r="558" customFormat="false" ht="12.75" hidden="false" customHeight="true" outlineLevel="0" collapsed="false">
      <c r="A558" s="15" t="n">
        <f aca="false">Report!C710</f>
        <v>46232</v>
      </c>
      <c r="B558" s="1" t="str">
        <f aca="false">Report!E710</f>
        <v>AGL DISTRIBUIDORA LIMITADA MATRIZ</v>
      </c>
      <c r="C558" s="17" t="n">
        <f aca="false">Report!U710</f>
        <v>203.08</v>
      </c>
      <c r="D558" s="1" t="str">
        <f aca="false">Report!X710</f>
        <v>NF 13342 1/1 - ALICIA</v>
      </c>
    </row>
    <row r="559" customFormat="false" ht="12.75" hidden="false" customHeight="true" outlineLevel="0" collapsed="false">
      <c r="A559" s="15" t="n">
        <f aca="false">Report!C711</f>
        <v>46232</v>
      </c>
      <c r="B559" s="1" t="str">
        <f aca="false">Report!E711</f>
        <v>BRF S A</v>
      </c>
      <c r="C559" s="17" t="n">
        <f aca="false">Report!U711</f>
        <v>1315.54</v>
      </c>
      <c r="D559" s="1" t="str">
        <f aca="false">Report!X711</f>
        <v>NF 1609946 1/3 - ALICIA</v>
      </c>
    </row>
    <row r="560" customFormat="false" ht="12.75" hidden="false" customHeight="true" outlineLevel="0" collapsed="false">
      <c r="A560" s="15" t="n">
        <f aca="false">Report!C712</f>
        <v>46232</v>
      </c>
      <c r="B560" s="1" t="str">
        <f aca="false">Report!E712</f>
        <v>H. L. DO NASCIMENTO</v>
      </c>
      <c r="C560" s="17" t="n">
        <f aca="false">Report!U712</f>
        <v>884.95</v>
      </c>
      <c r="D560" s="1" t="str">
        <f aca="false">Report!X712</f>
        <v>NF 5838 1/1 - ALICIA</v>
      </c>
    </row>
    <row r="561" customFormat="false" ht="12.75" hidden="false" customHeight="true" outlineLevel="0" collapsed="false">
      <c r="A561" s="15" t="n">
        <f aca="false">Report!C713</f>
        <v>46232</v>
      </c>
      <c r="B561" s="1" t="str">
        <f aca="false">Report!E713</f>
        <v>H L M PADARIA E CONFEITARIA LTDA</v>
      </c>
      <c r="C561" s="17" t="n">
        <f aca="false">Report!U713</f>
        <v>180</v>
      </c>
      <c r="D561" s="1" t="str">
        <f aca="false">Report!X713</f>
        <v>NF 88 1/1 COMPRAS BOLO MIAZAKI - ALICIA</v>
      </c>
    </row>
    <row r="562" customFormat="false" ht="12.75" hidden="false" customHeight="true" outlineLevel="0" collapsed="false">
      <c r="A562" s="15" t="n">
        <f aca="false">Report!C714</f>
        <v>46232</v>
      </c>
      <c r="B562" s="1" t="str">
        <f aca="false">Report!E714</f>
        <v>OLIVEIRA E SILVA LTDA</v>
      </c>
      <c r="C562" s="17" t="n">
        <f aca="false">Report!U714</f>
        <v>100</v>
      </c>
      <c r="D562" s="1" t="str">
        <f aca="false">Report!X714</f>
        <v>COMPRAS CHEIRO VERDE 1/1 - ALICIA </v>
      </c>
    </row>
    <row r="563" customFormat="false" ht="12.75" hidden="false" customHeight="true" outlineLevel="0" collapsed="false">
      <c r="A563" s="15" t="n">
        <f aca="false">Report!C717</f>
        <v>46233</v>
      </c>
      <c r="B563" s="1" t="str">
        <f aca="false">Report!E717</f>
        <v>ADICSO FABIAN GONZALEZ MONTILLA 70302186</v>
      </c>
      <c r="C563" s="17" t="n">
        <f aca="false">Report!U717</f>
        <v>180</v>
      </c>
      <c r="D563" s="1" t="str">
        <f aca="false">Report!X717</f>
        <v>NF 551 1/1 - ALICIA</v>
      </c>
    </row>
    <row r="564" customFormat="false" ht="12.75" hidden="false" customHeight="true" outlineLevel="0" collapsed="false">
      <c r="A564" s="15" t="n">
        <f aca="false">Report!C719</f>
        <v>46233</v>
      </c>
      <c r="B564" s="1" t="str">
        <f aca="false">Report!E719</f>
        <v>AMERICANA DISTRIBUIDORA DE BEBIDAS E MERCADORIAS LTDA</v>
      </c>
      <c r="C564" s="17" t="n">
        <f aca="false">Report!U719</f>
        <v>323.78</v>
      </c>
      <c r="D564" s="1" t="str">
        <f aca="false">Report!X719</f>
        <v>NF 78422 3/3 - ALICIA  </v>
      </c>
    </row>
    <row r="565" customFormat="false" ht="12.75" hidden="false" customHeight="true" outlineLevel="0" collapsed="false">
      <c r="A565" s="15" t="n">
        <f aca="false">Report!C720</f>
        <v>46233</v>
      </c>
      <c r="B565" s="1" t="str">
        <f aca="false">Report!E720</f>
        <v>DISTRIBUIDORA FARIAS LTDA.</v>
      </c>
      <c r="C565" s="17" t="n">
        <f aca="false">Report!U720</f>
        <v>369.82</v>
      </c>
      <c r="D565" s="1" t="str">
        <f aca="false">Report!X720</f>
        <v>NF 680644 2/2 - ALICIA </v>
      </c>
    </row>
    <row r="566" customFormat="false" ht="12.75" hidden="false" customHeight="true" outlineLevel="0" collapsed="false">
      <c r="A566" s="15" t="n">
        <f aca="false">Report!C721</f>
        <v>46233</v>
      </c>
      <c r="B566" s="1" t="str">
        <f aca="false">Report!E721</f>
        <v>COMERCIAL DE ESTIVAS REGO LTDA</v>
      </c>
      <c r="C566" s="17" t="n">
        <f aca="false">Report!U721</f>
        <v>396.51</v>
      </c>
      <c r="D566" s="1" t="str">
        <f aca="false">Report!X721</f>
        <v>NF 223333 2/3 - ALICIA</v>
      </c>
    </row>
    <row r="567" customFormat="false" ht="12.75" hidden="false" customHeight="true" outlineLevel="0" collapsed="false">
      <c r="A567" s="15" t="n">
        <f aca="false">Report!C722</f>
        <v>46233</v>
      </c>
      <c r="B567" s="1" t="str">
        <f aca="false">Report!E722</f>
        <v>RCL COMERCIO DE PRODUTOS ALIMENTICIOS LT</v>
      </c>
      <c r="C567" s="17" t="n">
        <f aca="false">Report!U722</f>
        <v>357.26</v>
      </c>
      <c r="D567" s="1" t="str">
        <f aca="false">Report!X722</f>
        <v>NF 217864 3/3 - ALICIA</v>
      </c>
    </row>
    <row r="568" customFormat="false" ht="12.75" hidden="false" customHeight="true" outlineLevel="0" collapsed="false">
      <c r="A568" s="15" t="n">
        <f aca="false">Report!C723</f>
        <v>46233</v>
      </c>
      <c r="B568" s="1" t="str">
        <f aca="false">Report!E723</f>
        <v>FEMAR IND E COM DE BEBIDAS LTDA</v>
      </c>
      <c r="C568" s="17" t="n">
        <f aca="false">Report!U723</f>
        <v>591.47</v>
      </c>
      <c r="D568" s="1" t="str">
        <f aca="false">Report!X723</f>
        <v>NF 53461 1/1 - ALICIA </v>
      </c>
    </row>
    <row r="569" customFormat="false" ht="12.75" hidden="false" customHeight="true" outlineLevel="0" collapsed="false">
      <c r="A569" s="15" t="n">
        <f aca="false">Report!C724</f>
        <v>46233</v>
      </c>
      <c r="B569" s="1" t="str">
        <f aca="false">Report!E724</f>
        <v>BRAGA DIST. E COM. DE PROD. ALIMENT</v>
      </c>
      <c r="C569" s="17" t="n">
        <f aca="false">Report!U724</f>
        <v>1453.93</v>
      </c>
      <c r="D569" s="1" t="str">
        <f aca="false">Report!X724</f>
        <v>NF 19287 2/3 - ALICIA </v>
      </c>
    </row>
    <row r="570" customFormat="false" ht="12.75" hidden="false" customHeight="true" outlineLevel="0" collapsed="false">
      <c r="A570" s="15" t="n">
        <f aca="false">Report!C725</f>
        <v>46233</v>
      </c>
      <c r="B570" s="1" t="str">
        <f aca="false">Report!E725</f>
        <v>BROTHERS  INDUSTRIA DE ALIMENTOS LTDA</v>
      </c>
      <c r="C570" s="17" t="n">
        <f aca="false">Report!U725</f>
        <v>540.18</v>
      </c>
      <c r="D570" s="1" t="str">
        <f aca="false">Report!X725</f>
        <v>NF 1033137 1/1 - ALICIA</v>
      </c>
    </row>
    <row r="571" customFormat="false" ht="12.75" hidden="false" customHeight="true" outlineLevel="0" collapsed="false">
      <c r="A571" s="15" t="n">
        <f aca="false">Report!C726</f>
        <v>46233</v>
      </c>
      <c r="B571" s="1" t="str">
        <f aca="false">Report!E726</f>
        <v>OLIVEIRA E SILVA LTDA</v>
      </c>
      <c r="C571" s="17" t="n">
        <f aca="false">Report!U726</f>
        <v>1200</v>
      </c>
      <c r="D571" s="1" t="str">
        <f aca="false">Report!X726</f>
        <v>COMPRAS FARINHAS - JOSE FARINHA </v>
      </c>
    </row>
    <row r="572" customFormat="false" ht="12.75" hidden="false" customHeight="true" outlineLevel="0" collapsed="false">
      <c r="A572" s="15" t="n">
        <f aca="false">Report!C727</f>
        <v>46233</v>
      </c>
      <c r="B572" s="1" t="str">
        <f aca="false">Report!E727</f>
        <v>OLIVEIRA E SILVA LTDA</v>
      </c>
      <c r="C572" s="17" t="n">
        <f aca="false">Report!U727</f>
        <v>280</v>
      </c>
      <c r="D572" s="1" t="str">
        <f aca="false">Report!X727</f>
        <v>COMPRAS ACAI PGT PIX:92991892419 NAILSON GARCES</v>
      </c>
    </row>
    <row r="573" customFormat="false" ht="12.75" hidden="false" customHeight="true" outlineLevel="0" collapsed="false">
      <c r="A573" s="15" t="n">
        <f aca="false">Report!C728</f>
        <v>46233</v>
      </c>
      <c r="B573" s="1" t="str">
        <f aca="false">Report!E728</f>
        <v>OLIVEIRA E SILVA LTDA</v>
      </c>
      <c r="C573" s="17" t="n">
        <f aca="false">Report!U728</f>
        <v>145</v>
      </c>
      <c r="D573" s="1" t="str">
        <f aca="false">Report!X728</f>
        <v>COMPRAS CHEIRO VERDE , ALFACE , COUVE - ALICIA</v>
      </c>
    </row>
    <row r="574" customFormat="false" ht="12.75" hidden="false" customHeight="true" outlineLevel="0" collapsed="false">
      <c r="A574" s="15" t="n">
        <f aca="false">Report!C729</f>
        <v>46233</v>
      </c>
      <c r="B574" s="1" t="str">
        <f aca="false">Report!E729</f>
        <v>OLIVEIRA E SILVA LTDA</v>
      </c>
      <c r="C574" s="17" t="n">
        <f aca="false">Report!U729</f>
        <v>250</v>
      </c>
      <c r="D574" s="1" t="str">
        <f aca="false">Report!X729</f>
        <v>COMPRAS 1CX DE BANANAS -ALICIA</v>
      </c>
    </row>
    <row r="575" customFormat="false" ht="12.75" hidden="false" customHeight="true" outlineLevel="0" collapsed="false">
      <c r="A575" s="15" t="n">
        <f aca="false">Report!C730</f>
        <v>46234</v>
      </c>
      <c r="B575" s="1" t="str">
        <f aca="false">Report!E730</f>
        <v>COMERCIO E TRANSPORTE BRANDAO LTDA</v>
      </c>
      <c r="C575" s="17" t="n">
        <f aca="false">Report!U730</f>
        <v>140</v>
      </c>
      <c r="D575" s="1" t="str">
        <f aca="false">Report!X730</f>
        <v>NF 14968 1/1 COMPRAS CARLOS VERDURAS - ALICIA</v>
      </c>
    </row>
    <row r="576" customFormat="false" ht="12.75" hidden="false" customHeight="true" outlineLevel="0" collapsed="false">
      <c r="A576" s="15" t="n">
        <f aca="false">Report!C731</f>
        <v>46234</v>
      </c>
      <c r="B576" s="1" t="str">
        <f aca="false">Report!E731</f>
        <v>VIA CERTA IMPORTACAO E DISTRIBUICAO DE A</v>
      </c>
      <c r="C576" s="17" t="n">
        <f aca="false">Report!U731</f>
        <v>567.72</v>
      </c>
      <c r="D576" s="1" t="str">
        <f aca="false">Report!X731</f>
        <v>NF 51626 2/2 - ALICIA</v>
      </c>
    </row>
    <row r="577" customFormat="false" ht="12.75" hidden="false" customHeight="true" outlineLevel="0" collapsed="false">
      <c r="A577" s="15" t="n">
        <f aca="false">Report!C732</f>
        <v>46234</v>
      </c>
      <c r="B577" s="1" t="str">
        <f aca="false">Report!E732</f>
        <v>H G NUNES REPRESENTAÇÃO E COMERCIO</v>
      </c>
      <c r="C577" s="17" t="n">
        <f aca="false">Report!U732</f>
        <v>1528.61</v>
      </c>
      <c r="D577" s="1" t="str">
        <f aca="false">Report!X732</f>
        <v>NF 55315 2/3 - ALICIA </v>
      </c>
    </row>
    <row r="578" customFormat="false" ht="12.75" hidden="false" customHeight="true" outlineLevel="0" collapsed="false">
      <c r="A578" s="15" t="n">
        <f aca="false">Report!C733</f>
        <v>46234</v>
      </c>
      <c r="B578" s="1" t="str">
        <f aca="false">Report!E733</f>
        <v>FORTVET DISTRIBUIDORA LTDA</v>
      </c>
      <c r="C578" s="17" t="n">
        <f aca="false">Report!U733</f>
        <v>565.04</v>
      </c>
      <c r="D578" s="1" t="str">
        <f aca="false">Report!X733</f>
        <v>NF 2751 1/4 - ALICIA </v>
      </c>
    </row>
    <row r="579" customFormat="false" ht="12.75" hidden="false" customHeight="true" outlineLevel="0" collapsed="false">
      <c r="A579" s="15" t="n">
        <f aca="false">Report!C734</f>
        <v>46234</v>
      </c>
      <c r="B579" s="1" t="str">
        <f aca="false">Report!E734</f>
        <v>E K S COMERCIO ATACADISTA E VAREJISTA DE</v>
      </c>
      <c r="C579" s="17" t="n">
        <f aca="false">Report!U734</f>
        <v>293.4</v>
      </c>
      <c r="D579" s="1" t="str">
        <f aca="false">Report!X734</f>
        <v>NF 2535 1/1 - ALICIA </v>
      </c>
    </row>
    <row r="580" customFormat="false" ht="12.75" hidden="false" customHeight="true" outlineLevel="0" collapsed="false">
      <c r="A580" s="15" t="n">
        <f aca="false">Report!C735</f>
        <v>46234</v>
      </c>
      <c r="B580" s="1" t="str">
        <f aca="false">Report!E735</f>
        <v>NESTLÉ BRASIL LTDA.</v>
      </c>
      <c r="C580" s="17" t="n">
        <f aca="false">Report!U735</f>
        <v>1041.28</v>
      </c>
      <c r="D580" s="1" t="str">
        <f aca="false">Report!X735</f>
        <v>NF 1426592 1/1 - ALICIA</v>
      </c>
    </row>
    <row r="581" customFormat="false" ht="12.75" hidden="false" customHeight="true" outlineLevel="0" collapsed="false">
      <c r="A581" s="15" t="n">
        <f aca="false">Report!C736</f>
        <v>46234</v>
      </c>
      <c r="B581" s="1" t="str">
        <f aca="false">Report!E736</f>
        <v>IRMÃOS LIMA  ATACADO  DE ALIMENTOS LTDA</v>
      </c>
      <c r="C581" s="17" t="n">
        <f aca="false">Report!U736</f>
        <v>708.09</v>
      </c>
      <c r="D581" s="1" t="str">
        <f aca="false">Report!X736</f>
        <v>NF 295040 2/3 - ALICIA</v>
      </c>
    </row>
    <row r="582" customFormat="false" ht="12.75" hidden="false" customHeight="true" outlineLevel="0" collapsed="false">
      <c r="A582" s="15" t="n">
        <f aca="false">Report!C737</f>
        <v>46234</v>
      </c>
      <c r="B582" s="1" t="str">
        <f aca="false">Report!E737</f>
        <v>ELFORT FRUIT COMERCIO DE PRODUTOS ALIME</v>
      </c>
      <c r="C582" s="17" t="n">
        <f aca="false">Report!U737</f>
        <v>678.13</v>
      </c>
      <c r="D582" s="1" t="str">
        <f aca="false">Report!X737</f>
        <v>NF 27621 2/2 - ALICIA</v>
      </c>
    </row>
    <row r="583" customFormat="false" ht="12.75" hidden="false" customHeight="true" outlineLevel="0" collapsed="false">
      <c r="A583" s="15" t="n">
        <f aca="false">Report!C738</f>
        <v>46234</v>
      </c>
      <c r="B583" s="1" t="str">
        <f aca="false">Report!E738</f>
        <v>INDUSTRIA E COM. DE ALIMENTOS MORAES LTD</v>
      </c>
      <c r="C583" s="17" t="n">
        <f aca="false">Report!U738</f>
        <v>337.5</v>
      </c>
      <c r="D583" s="1" t="str">
        <f aca="false">Report!X738</f>
        <v>NF 111670 1/2 - ALICIA</v>
      </c>
    </row>
    <row r="584" customFormat="false" ht="12.75" hidden="false" customHeight="true" outlineLevel="0" collapsed="false">
      <c r="A584" s="15" t="n">
        <f aca="false">Report!C739</f>
        <v>46234</v>
      </c>
      <c r="B584" s="1" t="str">
        <f aca="false">Report!E739</f>
        <v>DISTRIBUIDORA ESTRELA LTDA</v>
      </c>
      <c r="C584" s="17" t="n">
        <f aca="false">Report!U739</f>
        <v>631.62</v>
      </c>
      <c r="D584" s="1" t="str">
        <f aca="false">Report!X739</f>
        <v>NF 35519 2/3 - ALICIA</v>
      </c>
    </row>
    <row r="585" customFormat="false" ht="12.75" hidden="false" customHeight="true" outlineLevel="0" collapsed="false">
      <c r="A585" s="15" t="n">
        <f aca="false">Report!C740</f>
        <v>46234</v>
      </c>
      <c r="B585" s="1" t="str">
        <f aca="false">Report!E740</f>
        <v>COMERCIO DE FRIOS MANAUS LTDA</v>
      </c>
      <c r="C585" s="17" t="n">
        <f aca="false">Report!U740</f>
        <v>3653.9</v>
      </c>
      <c r="D585" s="1" t="str">
        <f aca="false">Report!X740</f>
        <v>NF 173728 1/2 - ALICIA</v>
      </c>
    </row>
    <row r="586" customFormat="false" ht="12.75" hidden="false" customHeight="true" outlineLevel="0" collapsed="false">
      <c r="A586" s="15" t="n">
        <f aca="false">Report!C741</f>
        <v>46234</v>
      </c>
      <c r="B586" s="1" t="str">
        <f aca="false">Report!E741</f>
        <v>ELZILENE DA SILVA</v>
      </c>
      <c r="C586" s="17" t="n">
        <f aca="false">Report!U741</f>
        <v>1870</v>
      </c>
      <c r="D586" s="1" t="str">
        <f aca="false">Report!X741</f>
        <v>NF 2587 1/1 - ALICIA</v>
      </c>
    </row>
    <row r="587" customFormat="false" ht="12.75" hidden="false" customHeight="true" outlineLevel="0" collapsed="false">
      <c r="A587" s="15" t="n">
        <f aca="false">Report!C743</f>
        <v>46234</v>
      </c>
      <c r="B587" s="1" t="str">
        <f aca="false">Report!E743</f>
        <v>S E PEREIRA BARBOSA ME</v>
      </c>
      <c r="C587" s="17" t="n">
        <f aca="false">Report!U743</f>
        <v>199</v>
      </c>
      <c r="D587" s="1" t="str">
        <f aca="false">Report!X743</f>
        <v>NF 18359 1/1 - ALICIA</v>
      </c>
    </row>
    <row r="588" customFormat="false" ht="12.75" hidden="false" customHeight="true" outlineLevel="0" collapsed="false">
      <c r="A588" s="15" t="n">
        <f aca="false">Report!C744</f>
        <v>46234</v>
      </c>
      <c r="B588" s="1" t="str">
        <f aca="false">Report!E744</f>
        <v>BRASIL NORTE BEBIDAS S/A</v>
      </c>
      <c r="C588" s="17" t="n">
        <f aca="false">Report!U744</f>
        <v>2748.77</v>
      </c>
      <c r="D588" s="1" t="str">
        <f aca="false">Report!X744</f>
        <v>NF 1954505 1/1 - ALICIA</v>
      </c>
    </row>
    <row r="589" customFormat="false" ht="12.75" hidden="false" customHeight="true" outlineLevel="0" collapsed="false">
      <c r="A589" s="15" t="n">
        <f aca="false">Report!C745</f>
        <v>46234</v>
      </c>
      <c r="B589" s="1" t="str">
        <f aca="false">Report!E745</f>
        <v>BRASIL NORTE BEBIDAS S/A</v>
      </c>
      <c r="C589" s="17" t="n">
        <f aca="false">Report!U745</f>
        <v>1666.43</v>
      </c>
      <c r="D589" s="1" t="str">
        <f aca="false">Report!X745</f>
        <v>NF 1220130 1/1 - ALICIA</v>
      </c>
    </row>
    <row r="590" customFormat="false" ht="12.75" hidden="false" customHeight="true" outlineLevel="0" collapsed="false">
      <c r="A590" s="15" t="n">
        <f aca="false">Report!C746</f>
        <v>46234</v>
      </c>
      <c r="B590" s="1" t="str">
        <f aca="false">Report!E746</f>
        <v>OLIVEIRA E SILVA LTDA</v>
      </c>
      <c r="C590" s="17" t="n">
        <f aca="false">Report!U746</f>
        <v>2004</v>
      </c>
      <c r="D590" s="1" t="str">
        <f aca="false">Report!X746</f>
        <v>COMPRAS VERDURAS /COMPRAS CARLOS VERDURAS - ALICIA</v>
      </c>
    </row>
    <row r="591" customFormat="false" ht="12.75" hidden="false" customHeight="true" outlineLevel="0" collapsed="false">
      <c r="A591" s="15" t="n">
        <f aca="false">Report!C747</f>
        <v>46234</v>
      </c>
      <c r="B591" s="1" t="str">
        <f aca="false">Report!E747</f>
        <v>OLIVEIRA E SILVA LTDA</v>
      </c>
      <c r="C591" s="17" t="n">
        <f aca="false">Report!U747</f>
        <v>145</v>
      </c>
      <c r="D591" s="1" t="str">
        <f aca="false">Report!X747</f>
        <v>COMPRAS CHEIRO VERDE - ALICIA</v>
      </c>
    </row>
    <row r="592" customFormat="false" ht="12.75" hidden="false" customHeight="true" outlineLevel="0" collapsed="false">
      <c r="A592" s="15" t="n">
        <f aca="false">Report!C748</f>
        <v>46234</v>
      </c>
      <c r="B592" s="1" t="str">
        <f aca="false">Report!E748</f>
        <v>J W N DOS SANTOS</v>
      </c>
      <c r="C592" s="17" t="n">
        <f aca="false">Report!U748</f>
        <v>1070</v>
      </c>
      <c r="D592" s="1" t="str">
        <f aca="false">Report!X748</f>
        <v>NF 388 1/1 - COMPRAS CARVAO - ALICIA </v>
      </c>
    </row>
    <row r="593" customFormat="false" ht="12.75" hidden="false" customHeight="true" outlineLevel="0" collapsed="false">
      <c r="A593" s="15" t="n">
        <f aca="false">Report!C749</f>
        <v>46235</v>
      </c>
      <c r="B593" s="1" t="str">
        <f aca="false">Report!E749</f>
        <v>MAXFRI DISTRIUIDORA LTDA</v>
      </c>
      <c r="C593" s="17" t="n">
        <f aca="false">Report!U749</f>
        <v>4441.6</v>
      </c>
      <c r="D593" s="1" t="str">
        <f aca="false">Report!X749</f>
        <v>NF 14819 1/1 - ALICIA</v>
      </c>
    </row>
    <row r="594" customFormat="false" ht="12.75" hidden="false" customHeight="true" outlineLevel="0" collapsed="false">
      <c r="A594" s="15" t="n">
        <f aca="false">Report!C750</f>
        <v>46235</v>
      </c>
      <c r="B594" s="1" t="str">
        <f aca="false">Report!E750</f>
        <v>FRIOTRANS COMERCIO E TRANSPORTES DE CARGAS LTDA</v>
      </c>
      <c r="C594" s="17" t="n">
        <f aca="false">Report!U750</f>
        <v>2254.72</v>
      </c>
      <c r="D594" s="1" t="str">
        <f aca="false">Report!X750</f>
        <v>NF 39195 1/1 - ALICIA</v>
      </c>
    </row>
    <row r="595" customFormat="false" ht="12.75" hidden="false" customHeight="true" outlineLevel="0" collapsed="false">
      <c r="A595" s="15" t="n">
        <f aca="false">Report!C752</f>
        <v>46235</v>
      </c>
      <c r="B595" s="1" t="str">
        <f aca="false">Report!E752</f>
        <v>MARE DISTRIBUIDORA DE BEBIDAS E DE PRODUTOS ALIMENTICIOS LTDA</v>
      </c>
      <c r="C595" s="17" t="n">
        <f aca="false">Report!U752</f>
        <v>1316.75</v>
      </c>
      <c r="D595" s="1" t="str">
        <f aca="false">Report!X752</f>
        <v>NF 1400510 1/2 - ALICIA</v>
      </c>
    </row>
    <row r="596" customFormat="false" ht="12.75" hidden="false" customHeight="true" outlineLevel="0" collapsed="false">
      <c r="A596" s="15" t="n">
        <f aca="false">Report!C753</f>
        <v>46235</v>
      </c>
      <c r="B596" s="1" t="str">
        <f aca="false">Report!E753</f>
        <v>MARE DISTRIBUIDORA DE BEBIDAS E DE PRODUTOS ALIMENTICIOS LTDA</v>
      </c>
      <c r="C596" s="17" t="n">
        <f aca="false">Report!U753</f>
        <v>887.5</v>
      </c>
      <c r="D596" s="1" t="str">
        <f aca="false">Report!X753</f>
        <v>NF 1400631 1/2 - ALICIA</v>
      </c>
    </row>
    <row r="597" customFormat="false" ht="12.75" hidden="false" customHeight="true" outlineLevel="0" collapsed="false">
      <c r="A597" s="15" t="n">
        <f aca="false">Report!C754</f>
        <v>46235</v>
      </c>
      <c r="B597" s="1" t="str">
        <f aca="false">Report!E754</f>
        <v>BRAGA DIST. E COM. DE PROD. ALIMENT</v>
      </c>
      <c r="C597" s="17" t="n">
        <f aca="false">Report!U754</f>
        <v>1086.18</v>
      </c>
      <c r="D597" s="1" t="str">
        <f aca="false">Report!X754</f>
        <v>NF 19453 1/3 - ALICIA</v>
      </c>
    </row>
    <row r="598" customFormat="false" ht="12.75" hidden="false" customHeight="true" outlineLevel="0" collapsed="false">
      <c r="A598" s="15" t="n">
        <f aca="false">Report!C755</f>
        <v>46235</v>
      </c>
      <c r="B598" s="1" t="str">
        <f aca="false">Report!E755</f>
        <v>OLIVEIRA E SILVA LTDA</v>
      </c>
      <c r="C598" s="17" t="n">
        <f aca="false">Report!U755</f>
        <v>280</v>
      </c>
      <c r="D598" s="1" t="str">
        <f aca="false">Report!X755</f>
        <v>COMPRAS CHEIRO VERDE ,COUVE E ALFACE - ALICIA</v>
      </c>
    </row>
    <row r="599" customFormat="false" ht="12.75" hidden="false" customHeight="true" outlineLevel="0" collapsed="false">
      <c r="A599" s="15" t="n">
        <f aca="false">Report!C756</f>
        <v>46235</v>
      </c>
      <c r="B599" s="1" t="str">
        <f aca="false">Report!E756</f>
        <v>OLIVEIRA E SILVA LTDA</v>
      </c>
      <c r="C599" s="17" t="n">
        <f aca="false">Report!U756</f>
        <v>128.44</v>
      </c>
      <c r="D599" s="1" t="str">
        <f aca="false">Report!X756</f>
        <v>COMPRAS PIMENTA MALAGUETA - ALICIA</v>
      </c>
    </row>
    <row r="600" customFormat="false" ht="12.75" hidden="false" customHeight="true" outlineLevel="0" collapsed="false">
      <c r="A600" s="15" t="n">
        <f aca="false">Report!C757</f>
        <v>46235</v>
      </c>
      <c r="B600" s="1" t="str">
        <f aca="false">Report!E757</f>
        <v>60.729.628 LAURENA NUNES CALIXTO</v>
      </c>
      <c r="C600" s="17" t="n">
        <f aca="false">Report!U757</f>
        <v>270</v>
      </c>
      <c r="D600" s="1" t="str">
        <f aca="false">Report!X757</f>
        <v>NF 821 1/1 COMPRAS DE BRIGADEIRO - ALICIA</v>
      </c>
    </row>
    <row r="601" customFormat="false" ht="12.75" hidden="false" customHeight="true" outlineLevel="0" collapsed="false">
      <c r="A601" s="15" t="n">
        <f aca="false">Report!C759</f>
        <v>46236</v>
      </c>
      <c r="B601" s="1" t="str">
        <f aca="false">Report!E759</f>
        <v>BM UCHOA ATACADISTA</v>
      </c>
      <c r="C601" s="17" t="n">
        <f aca="false">Report!U759</f>
        <v>400.5</v>
      </c>
      <c r="D601" s="1" t="str">
        <f aca="false">Report!X759</f>
        <v>NF 1133 1/1 - ALICIA</v>
      </c>
    </row>
    <row r="602" customFormat="false" ht="12.75" hidden="false" customHeight="true" outlineLevel="0" collapsed="false">
      <c r="A602" s="15" t="n">
        <f aca="false">Report!C761</f>
        <v>46236</v>
      </c>
      <c r="B602" s="1" t="str">
        <f aca="false">Report!E761</f>
        <v>GELO DANGELO FABRICACAO DE GELO LTDA</v>
      </c>
      <c r="C602" s="17" t="n">
        <f aca="false">Report!U761</f>
        <v>436</v>
      </c>
      <c r="D602" s="1" t="str">
        <f aca="false">Report!X761</f>
        <v>NF 407 1/1 - ALICIA</v>
      </c>
    </row>
    <row r="603" customFormat="false" ht="12.75" hidden="false" customHeight="true" outlineLevel="0" collapsed="false">
      <c r="A603" s="15" t="n">
        <f aca="false">Report!C762</f>
        <v>46237</v>
      </c>
      <c r="B603" s="1" t="str">
        <f aca="false">Report!E762</f>
        <v>COMERCIO DE FRIOS MANAUS LTDA</v>
      </c>
      <c r="C603" s="17" t="n">
        <f aca="false">Report!U762</f>
        <v>2329.6</v>
      </c>
      <c r="D603" s="1" t="str">
        <f aca="false">Report!X762</f>
        <v>NF 173835 1/1 - ALICIA</v>
      </c>
    </row>
    <row r="604" customFormat="false" ht="12.75" hidden="false" customHeight="true" outlineLevel="0" collapsed="false">
      <c r="A604" s="15" t="n">
        <f aca="false">Report!C763</f>
        <v>46237</v>
      </c>
      <c r="B604" s="1" t="str">
        <f aca="false">Report!E763</f>
        <v>AMAZON DISTRIBUIDORA DE PRODUTOS ALIMENT</v>
      </c>
      <c r="C604" s="17" t="n">
        <f aca="false">Report!U763</f>
        <v>408.29</v>
      </c>
      <c r="D604" s="1" t="str">
        <f aca="false">Report!X763</f>
        <v>NF 90670 1/1 - ALICIA</v>
      </c>
    </row>
    <row r="605" customFormat="false" ht="12.75" hidden="false" customHeight="true" outlineLevel="0" collapsed="false">
      <c r="A605" s="15" t="n">
        <f aca="false">Report!C764</f>
        <v>46237</v>
      </c>
      <c r="B605" s="1" t="str">
        <f aca="false">Report!E764</f>
        <v>OPPORTUNITY ALIMENTOS PARA ANIMAIS LTDA</v>
      </c>
      <c r="C605" s="17" t="n">
        <f aca="false">Report!U764</f>
        <v>925.9</v>
      </c>
      <c r="D605" s="1" t="str">
        <f aca="false">Report!X764</f>
        <v>NF 34468 2/3 - ALICIA </v>
      </c>
    </row>
    <row r="606" customFormat="false" ht="12.75" hidden="false" customHeight="true" outlineLevel="0" collapsed="false">
      <c r="A606" s="15" t="n">
        <f aca="false">Report!C765</f>
        <v>46237</v>
      </c>
      <c r="B606" s="1" t="str">
        <f aca="false">Report!E765</f>
        <v>PIARARA COMERCIO, IMPORTACAO E EXPORTACAO LTDA</v>
      </c>
      <c r="C606" s="17" t="n">
        <f aca="false">Report!U765</f>
        <v>1819.31</v>
      </c>
      <c r="D606" s="1" t="str">
        <f aca="false">Report!X765</f>
        <v>NF 194114 3/3 - ALICIA</v>
      </c>
    </row>
    <row r="607" customFormat="false" ht="12.75" hidden="false" customHeight="true" outlineLevel="0" collapsed="false">
      <c r="A607" s="15" t="n">
        <f aca="false">Report!C766</f>
        <v>46237</v>
      </c>
      <c r="B607" s="1" t="str">
        <f aca="false">Report!E766</f>
        <v>DUNORTE DISTRIBUIDORA DE PRODUTOS DE CONSUMO LTDA</v>
      </c>
      <c r="C607" s="17" t="n">
        <f aca="false">Report!U766</f>
        <v>930.36</v>
      </c>
      <c r="D607" s="1" t="str">
        <f aca="false">Report!X766</f>
        <v>NF 3218718 2/3 - ALICIA </v>
      </c>
    </row>
    <row r="608" customFormat="false" ht="12.75" hidden="false" customHeight="true" outlineLevel="0" collapsed="false">
      <c r="A608" s="15" t="n">
        <f aca="false">Report!C767</f>
        <v>46237</v>
      </c>
      <c r="B608" s="1" t="str">
        <f aca="false">Report!E767</f>
        <v>RACAO CONFIANCA AGROINDUSTRIAL LTDA</v>
      </c>
      <c r="C608" s="17" t="n">
        <f aca="false">Report!U767</f>
        <v>620.25</v>
      </c>
      <c r="D608" s="1" t="str">
        <f aca="false">Report!X767</f>
        <v>NF 27791 2/3 - ALICIA</v>
      </c>
    </row>
    <row r="609" customFormat="false" ht="12.75" hidden="false" customHeight="true" outlineLevel="0" collapsed="false">
      <c r="A609" s="15" t="n">
        <f aca="false">Report!C769</f>
        <v>46237</v>
      </c>
      <c r="B609" s="1" t="str">
        <f aca="false">Report!E769</f>
        <v>DISTRIBUIDORA ESTRELA LTDA</v>
      </c>
      <c r="C609" s="17" t="n">
        <f aca="false">Report!U769</f>
        <v>404.55</v>
      </c>
      <c r="D609" s="1" t="str">
        <f aca="false">Report!X769</f>
        <v>NF 35548 1/2 - ALICIA</v>
      </c>
    </row>
    <row r="610" customFormat="false" ht="12.75" hidden="false" customHeight="true" outlineLevel="0" collapsed="false">
      <c r="A610" s="15" t="n">
        <f aca="false">Report!C770</f>
        <v>46237</v>
      </c>
      <c r="B610" s="1" t="str">
        <f aca="false">Report!E770</f>
        <v>COMERCIO DE FRIOS MANAUS LTDA</v>
      </c>
      <c r="C610" s="17" t="n">
        <f aca="false">Report!U770</f>
        <v>5478.25</v>
      </c>
      <c r="D610" s="1" t="str">
        <f aca="false">Report!X770</f>
        <v>NF 173515 2/2 - ALICIA</v>
      </c>
    </row>
    <row r="611" customFormat="false" ht="12.75" hidden="false" customHeight="true" outlineLevel="0" collapsed="false">
      <c r="A611" s="15" t="n">
        <f aca="false">Report!C772</f>
        <v>46237</v>
      </c>
      <c r="B611" s="1" t="str">
        <f aca="false">Report!E772</f>
        <v>BRF S A</v>
      </c>
      <c r="C611" s="17" t="n">
        <f aca="false">Report!U772</f>
        <v>1315.54</v>
      </c>
      <c r="D611" s="1" t="str">
        <f aca="false">Report!X772</f>
        <v>NF 1609946  2/3 - ALICIA</v>
      </c>
    </row>
    <row r="612" customFormat="false" ht="12.75" hidden="false" customHeight="true" outlineLevel="0" collapsed="false">
      <c r="A612" s="15" t="n">
        <f aca="false">Report!C773</f>
        <v>46237</v>
      </c>
      <c r="B612" s="1" t="str">
        <f aca="false">Report!E773</f>
        <v>DINÂMICA SOLUÇÕES EM SUPRIMENTOS E GESTÃ</v>
      </c>
      <c r="C612" s="17" t="n">
        <f aca="false">Report!U773</f>
        <v>746.66</v>
      </c>
      <c r="D612" s="1" t="str">
        <f aca="false">Report!X773</f>
        <v>NF 4 1/3 - ALICIA</v>
      </c>
    </row>
    <row r="613" customFormat="false" ht="12.75" hidden="false" customHeight="true" outlineLevel="0" collapsed="false">
      <c r="A613" s="15" t="n">
        <f aca="false">Report!C774</f>
        <v>46237</v>
      </c>
      <c r="B613" s="1" t="str">
        <f aca="false">Report!E774</f>
        <v>OLIVEIRA E SILVA LTDA</v>
      </c>
      <c r="C613" s="17" t="n">
        <f aca="false">Report!U774</f>
        <v>100</v>
      </c>
      <c r="D613" s="1" t="str">
        <f aca="false">Report!X774</f>
        <v>COMPRAS CHEIRO VERDES - ALICIA</v>
      </c>
    </row>
    <row r="614" customFormat="false" ht="12.75" hidden="false" customHeight="true" outlineLevel="0" collapsed="false">
      <c r="A614" s="15" t="n">
        <f aca="false">Report!C775</f>
        <v>46237</v>
      </c>
      <c r="B614" s="1" t="str">
        <f aca="false">Report!E775</f>
        <v>OLIVEIRA E SILVA LTDA</v>
      </c>
      <c r="C614" s="17" t="n">
        <f aca="false">Report!U775</f>
        <v>125</v>
      </c>
      <c r="D614" s="1" t="str">
        <f aca="false">Report!X775</f>
        <v>compras 1 cx de bananas - alicia</v>
      </c>
    </row>
    <row r="615" customFormat="false" ht="12.75" hidden="false" customHeight="true" outlineLevel="0" collapsed="false">
      <c r="A615" s="15" t="n">
        <f aca="false">Report!C794</f>
        <v>46238</v>
      </c>
      <c r="B615" s="1" t="str">
        <f aca="false">Report!E794</f>
        <v>RISADINHA LTDA</v>
      </c>
      <c r="C615" s="17" t="n">
        <f aca="false">Report!U794</f>
        <v>656.2</v>
      </c>
      <c r="D615" s="1" t="str">
        <f aca="false">Report!X794</f>
        <v>NF 661520 3/3 - ALICIA </v>
      </c>
    </row>
    <row r="616" customFormat="false" ht="12.75" hidden="false" customHeight="true" outlineLevel="0" collapsed="false">
      <c r="A616" s="15" t="n">
        <f aca="false">Report!C795</f>
        <v>46238</v>
      </c>
      <c r="B616" s="1" t="str">
        <f aca="false">Report!E795</f>
        <v>EMPRESA BRASILEIRA DE DISTRIBUICAO LTDA</v>
      </c>
      <c r="C616" s="17" t="n">
        <f aca="false">Report!U795</f>
        <v>977.57</v>
      </c>
      <c r="D616" s="1" t="str">
        <f aca="false">Report!X795</f>
        <v>NF 2298987 3/3 - ALICIA </v>
      </c>
    </row>
    <row r="617" customFormat="false" ht="12.75" hidden="false" customHeight="true" outlineLevel="0" collapsed="false">
      <c r="A617" s="15" t="n">
        <f aca="false">Report!C798</f>
        <v>46238</v>
      </c>
      <c r="B617" s="1" t="str">
        <f aca="false">Report!E798</f>
        <v>BF COMERCIO DE ALIMENTOS REPRESENTACAO L</v>
      </c>
      <c r="C617" s="17" t="n">
        <f aca="false">Report!U798</f>
        <v>360.15</v>
      </c>
      <c r="D617" s="1" t="str">
        <f aca="false">Report!X798</f>
        <v>NF 21113 1/3 - ALICIA</v>
      </c>
    </row>
    <row r="618" customFormat="false" ht="12.75" hidden="false" customHeight="true" outlineLevel="0" collapsed="false">
      <c r="A618" s="15" t="n">
        <f aca="false">Report!C799</f>
        <v>46238</v>
      </c>
      <c r="B618" s="1" t="str">
        <f aca="false">Report!E799</f>
        <v>FRIOTRANS COMERCIO E TRANSPORTES DE CARGAS LTDA</v>
      </c>
      <c r="C618" s="17" t="n">
        <f aca="false">Report!U799</f>
        <v>2419.55</v>
      </c>
      <c r="D618" s="1" t="str">
        <f aca="false">Report!X799</f>
        <v>NF 39221 1/1 - ALICIA</v>
      </c>
    </row>
    <row r="619" customFormat="false" ht="12.75" hidden="false" customHeight="true" outlineLevel="0" collapsed="false">
      <c r="A619" s="15" t="n">
        <f aca="false">Report!C800</f>
        <v>46238</v>
      </c>
      <c r="B619" s="1" t="str">
        <f aca="false">Report!E800</f>
        <v>T A DE MATTOS COMIM EIRELI</v>
      </c>
      <c r="C619" s="17" t="n">
        <f aca="false">Report!U800</f>
        <v>285</v>
      </c>
      <c r="D619" s="1" t="str">
        <f aca="false">Report!X800</f>
        <v>NF 10747 1/1 - ALICIA</v>
      </c>
    </row>
    <row r="620" customFormat="false" ht="12.75" hidden="false" customHeight="true" outlineLevel="0" collapsed="false">
      <c r="A620" s="15" t="n">
        <f aca="false">Report!C801</f>
        <v>46238</v>
      </c>
      <c r="B620" s="1" t="str">
        <f aca="false">Report!E801</f>
        <v>TOYA INDUSTRIA E COMERCIO LTDA.</v>
      </c>
      <c r="C620" s="17" t="n">
        <f aca="false">Report!U801</f>
        <v>356.24</v>
      </c>
      <c r="D620" s="1" t="str">
        <f aca="false">Report!X801</f>
        <v>NF 256020 2/2 - ALICIA</v>
      </c>
    </row>
    <row r="621" customFormat="false" ht="12.75" hidden="false" customHeight="true" outlineLevel="0" collapsed="false">
      <c r="A621" s="15" t="n">
        <f aca="false">Report!C802</f>
        <v>46238</v>
      </c>
      <c r="B621" s="1" t="str">
        <f aca="false">Report!E802</f>
        <v>DUNORTE DISTRIBUIDORA DE PRODUTOS DE CONSUMO LTDA</v>
      </c>
      <c r="C621" s="17" t="n">
        <f aca="false">Report!U802</f>
        <v>287.28</v>
      </c>
      <c r="D621" s="1" t="str">
        <f aca="false">Report!X802</f>
        <v>NF 3223572 1/3 - ALICIA</v>
      </c>
    </row>
    <row r="622" customFormat="false" ht="12.75" hidden="false" customHeight="true" outlineLevel="0" collapsed="false">
      <c r="A622" s="15" t="n">
        <f aca="false">Report!C803</f>
        <v>46238</v>
      </c>
      <c r="B622" s="1" t="str">
        <f aca="false">Report!E803</f>
        <v>COMPRAS NA PORTA AVULSO</v>
      </c>
      <c r="C622" s="17" t="n">
        <f aca="false">Report!U803</f>
        <v>735</v>
      </c>
      <c r="D622" s="1" t="str">
        <f aca="false">Report!X803</f>
        <v>RECIBO - COMPRAS HARINA PAN - ALICIA</v>
      </c>
    </row>
    <row r="623" customFormat="false" ht="12.75" hidden="false" customHeight="true" outlineLevel="0" collapsed="false">
      <c r="A623" s="15" t="n">
        <f aca="false">Report!C804</f>
        <v>46238</v>
      </c>
      <c r="B623" s="1" t="str">
        <f aca="false">Report!E804</f>
        <v>ORIENTE COM. ATACADISTA E REPRES. LTDA</v>
      </c>
      <c r="C623" s="17" t="n">
        <f aca="false">Report!U804</f>
        <v>1398.66</v>
      </c>
      <c r="D623" s="1" t="str">
        <f aca="false">Report!X804</f>
        <v>NF 2956 1/3 - ALICIA</v>
      </c>
    </row>
    <row r="624" customFormat="false" ht="12.75" hidden="false" customHeight="true" outlineLevel="0" collapsed="false">
      <c r="A624" s="15" t="n">
        <f aca="false">Report!C805</f>
        <v>46238</v>
      </c>
      <c r="B624" s="1" t="str">
        <f aca="false">Report!E805</f>
        <v>COMERCIO DE FRIOS MANAUS LTDA</v>
      </c>
      <c r="C624" s="17" t="n">
        <f aca="false">Report!U805</f>
        <v>2040.8</v>
      </c>
      <c r="D624" s="1" t="str">
        <f aca="false">Report!X805</f>
        <v>NF 173903 1/2 - ALICIA</v>
      </c>
    </row>
    <row r="625" customFormat="false" ht="12.75" hidden="false" customHeight="true" outlineLevel="0" collapsed="false">
      <c r="A625" s="15" t="n">
        <f aca="false">Report!C806</f>
        <v>46238</v>
      </c>
      <c r="B625" s="1" t="str">
        <f aca="false">Report!E806</f>
        <v>OLIVEIRA E SILVA LTDA</v>
      </c>
      <c r="C625" s="17" t="n">
        <f aca="false">Report!U806</f>
        <v>1774</v>
      </c>
      <c r="D625" s="1" t="str">
        <f aca="false">Report!X806</f>
        <v>COMPRAS VERDURAS - CARLOS VERDURAS - ALICIA</v>
      </c>
    </row>
    <row r="626" customFormat="false" ht="12.75" hidden="false" customHeight="true" outlineLevel="0" collapsed="false">
      <c r="A626" s="15" t="n">
        <f aca="false">Report!C807</f>
        <v>46238</v>
      </c>
      <c r="B626" s="1" t="str">
        <f aca="false">Report!E807</f>
        <v>COMERCIO E TRANSPORTE BRANDAO LTDA</v>
      </c>
      <c r="C626" s="17" t="n">
        <f aca="false">Report!U807</f>
        <v>410</v>
      </c>
      <c r="D626" s="1" t="str">
        <f aca="false">Report!X807</f>
        <v>NF 14997 COMPRAS CARLOS VERDURAS 1/1 - ALICIA</v>
      </c>
    </row>
    <row r="627" customFormat="false" ht="12.75" hidden="false" customHeight="true" outlineLevel="0" collapsed="false">
      <c r="A627" s="15" t="n">
        <f aca="false">Report!C808</f>
        <v>46238</v>
      </c>
      <c r="B627" s="1" t="str">
        <f aca="false">Report!E808</f>
        <v>COMERCIO E TRANSPORTE BRANDAO LTDA</v>
      </c>
      <c r="C627" s="17" t="n">
        <f aca="false">Report!U808</f>
        <v>210</v>
      </c>
      <c r="D627" s="1" t="str">
        <f aca="false">Report!X808</f>
        <v>RECIBO - COMPRAS QUEIJO/ CARLOS VERDURAS - ALICIA</v>
      </c>
    </row>
    <row r="628" customFormat="false" ht="12.75" hidden="false" customHeight="true" outlineLevel="0" collapsed="false">
      <c r="A628" s="15" t="n">
        <f aca="false">Report!C809</f>
        <v>46238</v>
      </c>
      <c r="B628" s="1" t="str">
        <f aca="false">Report!E809</f>
        <v>H L M PADARIA E CONFEITARIA LTDA</v>
      </c>
      <c r="C628" s="17" t="n">
        <f aca="false">Report!U809</f>
        <v>180</v>
      </c>
      <c r="D628" s="1" t="str">
        <f aca="false">Report!X809</f>
        <v>NF 110- BOLO MIAZAKI - PIX:92996226645(FRANCISCO FERNANDES)</v>
      </c>
    </row>
    <row r="629" customFormat="false" ht="12.75" hidden="false" customHeight="true" outlineLevel="0" collapsed="false">
      <c r="A629" s="15" t="n">
        <f aca="false">Report!C812</f>
        <v>46238</v>
      </c>
      <c r="B629" s="1" t="str">
        <f aca="false">Report!E812</f>
        <v>OLIVEIRA E SILVA LTDA</v>
      </c>
      <c r="C629" s="17" t="n">
        <f aca="false">Report!U812</f>
        <v>145</v>
      </c>
      <c r="D629" s="1" t="str">
        <f aca="false">Report!X812</f>
        <v>COMPRAS CHEIRO VERDE,COUVE ,ALFACE - ALICIA</v>
      </c>
    </row>
    <row r="630" customFormat="false" ht="12.75" hidden="false" customHeight="true" outlineLevel="0" collapsed="false">
      <c r="A630" s="15" t="n">
        <f aca="false">Report!C813</f>
        <v>46238</v>
      </c>
      <c r="B630" s="1" t="str">
        <f aca="false">Report!E813</f>
        <v>OLIVEIRA E SILVA LTDA</v>
      </c>
      <c r="C630" s="17" t="n">
        <f aca="false">Report!U813</f>
        <v>125</v>
      </c>
      <c r="D630" s="1" t="str">
        <f aca="false">Report!X813</f>
        <v>COMPRAS 1 CX DE BANANAS - ALICIA</v>
      </c>
    </row>
    <row r="631" customFormat="false" ht="12.75" hidden="false" customHeight="true" outlineLevel="0" collapsed="false">
      <c r="A631" s="15" t="n">
        <f aca="false">Report!C820</f>
        <v>46239</v>
      </c>
      <c r="B631" s="1" t="str">
        <f aca="false">Report!E820</f>
        <v>OCIDENTAL COMERCIO DE FRIOS LTDA</v>
      </c>
      <c r="C631" s="17" t="n">
        <f aca="false">Report!U820</f>
        <v>902.57</v>
      </c>
      <c r="D631" s="1" t="str">
        <f aca="false">Report!X820</f>
        <v>NF 1245355 3/3 - ALICIA </v>
      </c>
    </row>
    <row r="632" customFormat="false" ht="12.75" hidden="false" customHeight="true" outlineLevel="0" collapsed="false">
      <c r="A632" s="15" t="n">
        <f aca="false">Report!C821</f>
        <v>46239</v>
      </c>
      <c r="B632" s="1" t="str">
        <f aca="false">Report!E821</f>
        <v>OESA COMERCIO E REPRESENTACOES S/A</v>
      </c>
      <c r="C632" s="17" t="n">
        <f aca="false">Report!U821</f>
        <v>651.11</v>
      </c>
      <c r="D632" s="1" t="str">
        <f aca="false">Report!X821</f>
        <v>NF 426368 3/3 - ALICIA </v>
      </c>
    </row>
    <row r="633" customFormat="false" ht="12.75" hidden="false" customHeight="true" outlineLevel="0" collapsed="false">
      <c r="A633" s="15" t="n">
        <f aca="false">Report!C822</f>
        <v>46239</v>
      </c>
      <c r="B633" s="1" t="str">
        <f aca="false">Report!E822</f>
        <v>SL DISTRIBUIDORA COM. DE PROD. ALIMENTIC</v>
      </c>
      <c r="C633" s="17" t="n">
        <f aca="false">Report!U822</f>
        <v>572.54</v>
      </c>
      <c r="D633" s="1" t="str">
        <f aca="false">Report!X822</f>
        <v>NF 10718 3/3 - ALICIA</v>
      </c>
    </row>
    <row r="634" customFormat="false" ht="12.75" hidden="false" customHeight="true" outlineLevel="0" collapsed="false">
      <c r="A634" s="15" t="n">
        <f aca="false">Report!C824</f>
        <v>46239</v>
      </c>
      <c r="B634" s="1" t="str">
        <f aca="false">Report!E824</f>
        <v>OCIDENTAL COMERCIO DE FRIOS LTDA</v>
      </c>
      <c r="C634" s="17" t="n">
        <f aca="false">Report!U824</f>
        <v>840.93</v>
      </c>
      <c r="D634" s="1" t="str">
        <f aca="false">Report!X824</f>
        <v>NF 1247917 2/2 - ALICIA</v>
      </c>
    </row>
    <row r="635" customFormat="false" ht="12.75" hidden="false" customHeight="true" outlineLevel="0" collapsed="false">
      <c r="A635" s="15" t="n">
        <f aca="false">Report!C825</f>
        <v>46239</v>
      </c>
      <c r="B635" s="1" t="str">
        <f aca="false">Report!E825</f>
        <v>REAL BEBIDAS DA AMAZONIA LTDA</v>
      </c>
      <c r="C635" s="17" t="n">
        <f aca="false">Report!U825</f>
        <v>600.4</v>
      </c>
      <c r="D635" s="1" t="str">
        <f aca="false">Report!X825</f>
        <v>NF 607701 2/2 - ALICIA</v>
      </c>
    </row>
    <row r="636" customFormat="false" ht="12.75" hidden="false" customHeight="true" outlineLevel="0" collapsed="false">
      <c r="A636" s="15" t="n">
        <f aca="false">Report!C826</f>
        <v>46239</v>
      </c>
      <c r="B636" s="1" t="str">
        <f aca="false">Report!E826</f>
        <v>OCIDENTAL COMERCIO DE FRIOS LTDA</v>
      </c>
      <c r="C636" s="17" t="n">
        <f aca="false">Report!U826</f>
        <v>867.32</v>
      </c>
      <c r="D636" s="1" t="str">
        <f aca="false">Report!X826</f>
        <v>NF 1250418 1/3 - ALICIA</v>
      </c>
    </row>
    <row r="637" customFormat="false" ht="12.75" hidden="false" customHeight="true" outlineLevel="0" collapsed="false">
      <c r="A637" s="15" t="n">
        <f aca="false">Report!C827</f>
        <v>46239</v>
      </c>
      <c r="B637" s="1" t="str">
        <f aca="false">Report!E827</f>
        <v>J G COMERCIO DE PRODUTOS ALIMENTICIOS LTDA</v>
      </c>
      <c r="C637" s="17" t="n">
        <f aca="false">Report!U827</f>
        <v>2067.28</v>
      </c>
      <c r="D637" s="1" t="str">
        <f aca="false">Report!X827</f>
        <v>NF 393808 1/3 - ALICIA</v>
      </c>
    </row>
    <row r="638" customFormat="false" ht="12.75" hidden="false" customHeight="true" outlineLevel="0" collapsed="false">
      <c r="A638" s="15" t="n">
        <f aca="false">Report!C828</f>
        <v>46239</v>
      </c>
      <c r="B638" s="1" t="str">
        <f aca="false">Report!E828</f>
        <v>BRAGA TABACARIA EIRELI ME</v>
      </c>
      <c r="C638" s="17" t="n">
        <f aca="false">Report!U828</f>
        <v>978.6</v>
      </c>
      <c r="D638" s="1" t="str">
        <f aca="false">Report!X828</f>
        <v>NF 19509 1/3 - ALICIA</v>
      </c>
    </row>
    <row r="639" customFormat="false" ht="12.75" hidden="false" customHeight="true" outlineLevel="0" collapsed="false">
      <c r="A639" s="15" t="n">
        <f aca="false">Report!C829</f>
        <v>46239</v>
      </c>
      <c r="B639" s="1" t="str">
        <f aca="false">Report!E829</f>
        <v>BRAGA TABACARIA EIRELI ME</v>
      </c>
      <c r="C639" s="17" t="n">
        <f aca="false">Report!U829</f>
        <v>512.4</v>
      </c>
      <c r="D639" s="1" t="str">
        <f aca="false">Report!X829</f>
        <v>RECIBO - 1/3 COMPRAS CIGARROS - ALICIA</v>
      </c>
    </row>
    <row r="640" customFormat="false" ht="12.75" hidden="false" customHeight="true" outlineLevel="0" collapsed="false">
      <c r="A640" s="15" t="n">
        <f aca="false">Report!C830</f>
        <v>46239</v>
      </c>
      <c r="B640" s="1" t="str">
        <f aca="false">Report!E830</f>
        <v>S E PEREIRA BARBOSA ME</v>
      </c>
      <c r="C640" s="17" t="n">
        <f aca="false">Report!U830</f>
        <v>237.6</v>
      </c>
      <c r="D640" s="1" t="str">
        <f aca="false">Report!X830</f>
        <v>NF 18423 1/1 - ALICIA</v>
      </c>
    </row>
    <row r="641" customFormat="false" ht="12.75" hidden="false" customHeight="true" outlineLevel="0" collapsed="false">
      <c r="A641" s="15" t="n">
        <f aca="false">Report!C831</f>
        <v>46239</v>
      </c>
      <c r="B641" s="1" t="str">
        <f aca="false">Report!E831</f>
        <v>AGL DISTRIBUIDORA LIMITADA MATRIZ</v>
      </c>
      <c r="C641" s="17" t="n">
        <f aca="false">Report!U831</f>
        <v>388.41</v>
      </c>
      <c r="D641" s="1" t="str">
        <f aca="false">Report!X831</f>
        <v>NF 13662 1/1 - ALICIA</v>
      </c>
    </row>
    <row r="642" customFormat="false" ht="12.75" hidden="false" customHeight="true" outlineLevel="0" collapsed="false">
      <c r="A642" s="15" t="n">
        <f aca="false">Report!C832</f>
        <v>46239</v>
      </c>
      <c r="B642" s="1" t="str">
        <f aca="false">Report!E832</f>
        <v>OLIVEIRA E SILVA LTDA</v>
      </c>
      <c r="C642" s="17" t="n">
        <f aca="false">Report!U832</f>
        <v>280</v>
      </c>
      <c r="D642" s="1" t="str">
        <f aca="false">Report!X832</f>
        <v>COMPRAS ACAI PGT PIX:92991892419 NAILSON GARCES</v>
      </c>
    </row>
    <row r="643" customFormat="false" ht="12.75" hidden="false" customHeight="true" outlineLevel="0" collapsed="false">
      <c r="A643" s="15" t="n">
        <f aca="false">Report!C833</f>
        <v>46239</v>
      </c>
      <c r="B643" s="1" t="str">
        <f aca="false">Report!E833</f>
        <v>ADRIANO FEITOSA OLIVEIRA LTDA</v>
      </c>
      <c r="C643" s="17" t="n">
        <f aca="false">Report!U833</f>
        <v>966.88</v>
      </c>
      <c r="D643" s="1" t="str">
        <f aca="false">Report!X833</f>
        <v>NF 348 1/1 - PIX:26756876000156 DESTRIBUIDORA DARAH - ALICIA</v>
      </c>
    </row>
    <row r="644" customFormat="false" ht="12.75" hidden="false" customHeight="true" outlineLevel="0" collapsed="false">
      <c r="A644" s="15" t="n">
        <f aca="false">Report!C834</f>
        <v>46239</v>
      </c>
      <c r="B644" s="1" t="str">
        <f aca="false">Report!E834</f>
        <v>OLIVEIRA E SILVA LTDA</v>
      </c>
      <c r="C644" s="17" t="n">
        <f aca="false">Report!U834</f>
        <v>100</v>
      </c>
      <c r="D644" s="1" t="str">
        <f aca="false">Report!X834</f>
        <v>COMPRAS DE CHEIRO VERDE,ALFACE,COUVE - ALICIA</v>
      </c>
    </row>
    <row r="645" customFormat="false" ht="12.75" hidden="false" customHeight="true" outlineLevel="0" collapsed="false">
      <c r="A645" s="15" t="n">
        <f aca="false">Report!C835</f>
        <v>46239</v>
      </c>
      <c r="B645" s="1" t="str">
        <f aca="false">Report!E835</f>
        <v>OLIVEIRA E SILVA LTDA</v>
      </c>
      <c r="C645" s="17" t="n">
        <f aca="false">Report!U835</f>
        <v>125</v>
      </c>
      <c r="D645" s="1" t="str">
        <f aca="false">Report!X835</f>
        <v>compras 1 cx de bananas - alicia</v>
      </c>
    </row>
    <row r="646" customFormat="false" ht="12.75" hidden="false" customHeight="true" outlineLevel="0" collapsed="false">
      <c r="A646" s="15" t="n">
        <f aca="false">Report!C837</f>
        <v>46240</v>
      </c>
      <c r="B646" s="1" t="str">
        <f aca="false">Report!E837</f>
        <v>COMERCIAL DE ESTIVAS REGO LTDA</v>
      </c>
      <c r="C646" s="17" t="n">
        <f aca="false">Report!U837</f>
        <v>396.51</v>
      </c>
      <c r="D646" s="1" t="str">
        <f aca="false">Report!X837</f>
        <v>NF 223333 3/3 - ALICIA</v>
      </c>
    </row>
    <row r="647" customFormat="false" ht="12.75" hidden="false" customHeight="true" outlineLevel="0" collapsed="false">
      <c r="A647" s="15" t="n">
        <f aca="false">Report!C838</f>
        <v>46240</v>
      </c>
      <c r="B647" s="1" t="str">
        <f aca="false">Report!E838</f>
        <v>BRAGA DIST. E COM. DE PROD. ALIMENT</v>
      </c>
      <c r="C647" s="17" t="n">
        <f aca="false">Report!U838</f>
        <v>1453.92</v>
      </c>
      <c r="D647" s="1" t="str">
        <f aca="false">Report!X838</f>
        <v>NF 19287 3/3 - ALICIA</v>
      </c>
    </row>
    <row r="648" customFormat="false" ht="12.75" hidden="false" customHeight="true" outlineLevel="0" collapsed="false">
      <c r="A648" s="15" t="n">
        <f aca="false">Report!C839</f>
        <v>46240</v>
      </c>
      <c r="B648" s="1" t="str">
        <f aca="false">Report!E839</f>
        <v>GONCALES COMER DE HORT GRANJEIROS EIRELI</v>
      </c>
      <c r="C648" s="17" t="n">
        <f aca="false">Report!U839</f>
        <v>249.5</v>
      </c>
      <c r="D648" s="1" t="str">
        <f aca="false">Report!X839</f>
        <v>NF 39904 1/1 - ALICIA</v>
      </c>
    </row>
    <row r="649" customFormat="false" ht="12.75" hidden="false" customHeight="true" outlineLevel="0" collapsed="false">
      <c r="A649" s="15" t="n">
        <f aca="false">Report!C840</f>
        <v>46240</v>
      </c>
      <c r="B649" s="1" t="str">
        <f aca="false">Report!E840</f>
        <v>NESTLÉ BRASIL LTDA.</v>
      </c>
      <c r="C649" s="17" t="n">
        <f aca="false">Report!U840</f>
        <v>741.08</v>
      </c>
      <c r="D649" s="1" t="str">
        <f aca="false">Report!X840</f>
        <v>NF 1431204 1/1 - ALICIA</v>
      </c>
    </row>
    <row r="650" customFormat="false" ht="12.75" hidden="false" customHeight="true" outlineLevel="0" collapsed="false">
      <c r="A650" s="15" t="n">
        <f aca="false">Report!C841</f>
        <v>46240</v>
      </c>
      <c r="B650" s="1" t="str">
        <f aca="false">Report!E841</f>
        <v>BROTHERS  INDUSTRIA DE ALIMENTOS LTDA</v>
      </c>
      <c r="C650" s="17" t="n">
        <f aca="false">Report!U841</f>
        <v>510.9</v>
      </c>
      <c r="D650" s="1" t="str">
        <f aca="false">Report!X841</f>
        <v>NF 1034336 1/1 - ALICIA</v>
      </c>
    </row>
    <row r="651" customFormat="false" ht="12.75" hidden="false" customHeight="true" outlineLevel="0" collapsed="false">
      <c r="A651" s="15" t="n">
        <f aca="false">Report!C842</f>
        <v>46240</v>
      </c>
      <c r="B651" s="1" t="str">
        <f aca="false">Report!E842</f>
        <v>MAXFRI DISTRIUIDORA LTDA</v>
      </c>
      <c r="C651" s="17" t="n">
        <f aca="false">Report!U842</f>
        <v>3135.1</v>
      </c>
      <c r="D651" s="1" t="str">
        <f aca="false">Report!X842</f>
        <v>NF 14880 1/2 - ALICIA</v>
      </c>
    </row>
    <row r="652" customFormat="false" ht="12.75" hidden="false" customHeight="true" outlineLevel="0" collapsed="false">
      <c r="A652" s="15" t="n">
        <f aca="false">Report!C843</f>
        <v>46240</v>
      </c>
      <c r="B652" s="1" t="str">
        <f aca="false">Report!E843</f>
        <v>BRF S A</v>
      </c>
      <c r="C652" s="17" t="n">
        <f aca="false">Report!U843</f>
        <v>1468.01</v>
      </c>
      <c r="D652" s="1" t="str">
        <f aca="false">Report!X843</f>
        <v>NF 1613517 1/3 - ALICIA</v>
      </c>
    </row>
    <row r="653" customFormat="false" ht="12.75" hidden="false" customHeight="true" outlineLevel="0" collapsed="false">
      <c r="A653" s="15" t="n">
        <f aca="false">Report!C844</f>
        <v>46240</v>
      </c>
      <c r="B653" s="1" t="str">
        <f aca="false">Report!E844</f>
        <v>ELZILENE DA SILVA</v>
      </c>
      <c r="C653" s="17" t="n">
        <f aca="false">Report!U844</f>
        <v>1865</v>
      </c>
      <c r="D653" s="1" t="str">
        <f aca="false">Report!X844</f>
        <v>NF 2628 1/1 - ALICIA</v>
      </c>
    </row>
    <row r="654" customFormat="false" ht="12.75" hidden="false" customHeight="true" outlineLevel="0" collapsed="false">
      <c r="A654" s="15" t="n">
        <f aca="false">Report!C845</f>
        <v>46240</v>
      </c>
      <c r="B654" s="1" t="str">
        <f aca="false">Report!E845</f>
        <v>BRASIL NORTE BEBIDAS S/A</v>
      </c>
      <c r="C654" s="17" t="n">
        <f aca="false">Report!U845</f>
        <v>1560.7</v>
      </c>
      <c r="D654" s="1" t="str">
        <f aca="false">Report!X845</f>
        <v>NF 1227650 1/1 - ALICIA</v>
      </c>
    </row>
    <row r="655" customFormat="false" ht="12.75" hidden="false" customHeight="true" outlineLevel="0" collapsed="false">
      <c r="A655" s="15" t="n">
        <f aca="false">Report!C846</f>
        <v>46240</v>
      </c>
      <c r="B655" s="1" t="str">
        <f aca="false">Report!E846</f>
        <v>BRASIL NORTE BEBIDAS S/A</v>
      </c>
      <c r="C655" s="17" t="n">
        <f aca="false">Report!U846</f>
        <v>4490.06</v>
      </c>
      <c r="D655" s="1" t="str">
        <f aca="false">Report!X846</f>
        <v>NF 1962474 1/1 - ALICIA</v>
      </c>
    </row>
    <row r="656" customFormat="false" ht="12.75" hidden="false" customHeight="true" outlineLevel="0" collapsed="false">
      <c r="A656" s="15" t="n">
        <f aca="false">Report!C847</f>
        <v>46240</v>
      </c>
      <c r="B656" s="1" t="str">
        <f aca="false">Report!E847</f>
        <v>TOYA INDUSTRIA E COMERCIO LTDA.</v>
      </c>
      <c r="C656" s="17" t="n">
        <f aca="false">Report!U847</f>
        <v>430.14</v>
      </c>
      <c r="D656" s="1" t="str">
        <f aca="false">Report!X847</f>
        <v>NF 256208 1/2 - ALICIA</v>
      </c>
    </row>
    <row r="657" customFormat="false" ht="12.75" hidden="false" customHeight="true" outlineLevel="0" collapsed="false">
      <c r="A657" s="15" t="n">
        <f aca="false">Report!C848</f>
        <v>46240</v>
      </c>
      <c r="B657" s="1" t="str">
        <f aca="false">Report!E848</f>
        <v>H L M PADARIA E CONFEITARIA LTDA</v>
      </c>
      <c r="C657" s="17" t="n">
        <f aca="false">Report!U848</f>
        <v>180</v>
      </c>
      <c r="D657" s="1" t="str">
        <f aca="false">Report!X848</f>
        <v>NF 118 1/1 / BOLOS MIAZAKI - ALICIA</v>
      </c>
    </row>
    <row r="658" customFormat="false" ht="12.75" hidden="false" customHeight="true" outlineLevel="0" collapsed="false">
      <c r="A658" s="15" t="n">
        <f aca="false">Report!C849</f>
        <v>46240</v>
      </c>
      <c r="B658" s="1" t="str">
        <f aca="false">Report!E849</f>
        <v>OLIVEIRA E SILVA LTDA</v>
      </c>
      <c r="C658" s="17" t="n">
        <f aca="false">Report!U849</f>
        <v>145</v>
      </c>
      <c r="D658" s="1" t="str">
        <f aca="false">Report!X849</f>
        <v>COMPRAS CHEIRO VERDE, ALFACE, COUVE - ALICIA</v>
      </c>
    </row>
    <row r="659" customFormat="false" ht="12.75" hidden="false" customHeight="true" outlineLevel="0" collapsed="false">
      <c r="A659" s="15" t="n">
        <f aca="false">Report!C854</f>
        <v>46240</v>
      </c>
      <c r="B659" s="1" t="str">
        <f aca="false">Report!E854</f>
        <v>OLIVEIRA E SILVA LTDA</v>
      </c>
      <c r="C659" s="17" t="n">
        <f aca="false">Report!U854</f>
        <v>125</v>
      </c>
      <c r="D659" s="1" t="str">
        <f aca="false">Report!X854</f>
        <v>COMPRAS 1CX DE BANANAS - ALICIA</v>
      </c>
    </row>
    <row r="660" customFormat="false" ht="12.75" hidden="false" customHeight="true" outlineLevel="0" collapsed="false">
      <c r="A660" s="15" t="n">
        <f aca="false">Report!C879</f>
        <v>46241</v>
      </c>
      <c r="B660" s="1" t="str">
        <f aca="false">Report!E879</f>
        <v>H G NUNES REPRESENTAÇÃO E COMERCIO</v>
      </c>
      <c r="C660" s="17" t="n">
        <f aca="false">Report!U879</f>
        <v>1528.61</v>
      </c>
      <c r="D660" s="1" t="str">
        <f aca="false">Report!X879</f>
        <v>NF 55315 3/3 - ALICIA </v>
      </c>
    </row>
    <row r="661" customFormat="false" ht="12.75" hidden="false" customHeight="true" outlineLevel="0" collapsed="false">
      <c r="A661" s="15" t="n">
        <f aca="false">Report!C880</f>
        <v>46241</v>
      </c>
      <c r="B661" s="1" t="str">
        <f aca="false">Report!E880</f>
        <v>FORTVET DISTRIBUIDORA LTDA</v>
      </c>
      <c r="C661" s="17" t="n">
        <f aca="false">Report!U880</f>
        <v>565.04</v>
      </c>
      <c r="D661" s="1" t="str">
        <f aca="false">Report!X880</f>
        <v>NF 2751 2/4 - ALICIA </v>
      </c>
    </row>
    <row r="662" customFormat="false" ht="12.75" hidden="false" customHeight="true" outlineLevel="0" collapsed="false">
      <c r="A662" s="15" t="n">
        <f aca="false">Report!C881</f>
        <v>46241</v>
      </c>
      <c r="B662" s="1" t="str">
        <f aca="false">Report!E881</f>
        <v>BRASIL NORTE BEBIDAS S/A</v>
      </c>
      <c r="C662" s="17" t="n">
        <f aca="false">Report!U881</f>
        <v>251.16</v>
      </c>
      <c r="D662" s="1" t="str">
        <f aca="false">Report!X881</f>
        <v>NF 11973677 1/1 - ALICIA </v>
      </c>
    </row>
    <row r="663" customFormat="false" ht="12.75" hidden="false" customHeight="true" outlineLevel="0" collapsed="false">
      <c r="A663" s="15" t="n">
        <f aca="false">Report!C882</f>
        <v>46241</v>
      </c>
      <c r="B663" s="1" t="str">
        <f aca="false">Report!E882</f>
        <v>ADRIANA DISTRIBUIDORA DE PRODUTOS ALIMEN</v>
      </c>
      <c r="C663" s="17" t="n">
        <f aca="false">Report!U882</f>
        <v>708.1</v>
      </c>
      <c r="D663" s="1" t="str">
        <f aca="false">Report!X882</f>
        <v>NF 295040 3/3 - ALICIA</v>
      </c>
    </row>
    <row r="664" customFormat="false" ht="12.75" hidden="false" customHeight="true" outlineLevel="0" collapsed="false">
      <c r="A664" s="15" t="n">
        <f aca="false">Report!C883</f>
        <v>46241</v>
      </c>
      <c r="B664" s="1" t="str">
        <f aca="false">Report!E883</f>
        <v>INDUSTRIA E COM. DE ALIMENTOS MORAES LTD</v>
      </c>
      <c r="C664" s="17" t="n">
        <f aca="false">Report!U883</f>
        <v>337.5</v>
      </c>
      <c r="D664" s="1" t="str">
        <f aca="false">Report!X883</f>
        <v>NF 111670 2/2 - ALICIA</v>
      </c>
    </row>
    <row r="665" customFormat="false" ht="12.75" hidden="false" customHeight="true" outlineLevel="0" collapsed="false">
      <c r="A665" s="15" t="n">
        <f aca="false">Report!C884</f>
        <v>46241</v>
      </c>
      <c r="B665" s="1" t="str">
        <f aca="false">Report!E884</f>
        <v>DISTRIBUIDORA ESTRELA LTDA</v>
      </c>
      <c r="C665" s="17" t="n">
        <f aca="false">Report!U884</f>
        <v>631.62</v>
      </c>
      <c r="D665" s="1" t="str">
        <f aca="false">Report!X884</f>
        <v>NF 35519 3/3 - ALICIA</v>
      </c>
    </row>
    <row r="666" customFormat="false" ht="12.75" hidden="false" customHeight="true" outlineLevel="0" collapsed="false">
      <c r="A666" s="15" t="n">
        <f aca="false">Report!C885</f>
        <v>46241</v>
      </c>
      <c r="B666" s="1" t="str">
        <f aca="false">Report!E885</f>
        <v>L S M COMERCIO DE ALIMENTOS E NAVEGACAO</v>
      </c>
      <c r="C666" s="17" t="n">
        <f aca="false">Report!U885</f>
        <v>894.33</v>
      </c>
      <c r="D666" s="1" t="str">
        <f aca="false">Report!X885</f>
        <v>NF 308737 1/3 - ALICIA</v>
      </c>
    </row>
    <row r="667" customFormat="false" ht="12.75" hidden="false" customHeight="true" outlineLevel="0" collapsed="false">
      <c r="A667" s="15" t="n">
        <f aca="false">Report!C886</f>
        <v>46241</v>
      </c>
      <c r="B667" s="1" t="str">
        <f aca="false">Report!E886</f>
        <v>COMERCIO DE FRIOS MANAUS LTDA</v>
      </c>
      <c r="C667" s="17" t="n">
        <f aca="false">Report!U886</f>
        <v>3653.9</v>
      </c>
      <c r="D667" s="1" t="str">
        <f aca="false">Report!X886</f>
        <v>NF 173728 2/2 - ALICIA</v>
      </c>
    </row>
    <row r="668" customFormat="false" ht="12.75" hidden="false" customHeight="true" outlineLevel="0" collapsed="false">
      <c r="A668" s="15" t="n">
        <f aca="false">Report!C887</f>
        <v>46241</v>
      </c>
      <c r="B668" s="1" t="str">
        <f aca="false">Report!E887</f>
        <v>GONCALES COMER DE HORT GRANJEIROS EIRELI</v>
      </c>
      <c r="C668" s="17" t="n">
        <f aca="false">Report!U887</f>
        <v>1387.5</v>
      </c>
      <c r="D668" s="1" t="str">
        <f aca="false">Report!X887</f>
        <v>NF 40047 1/1 - ALICIA</v>
      </c>
    </row>
    <row r="669" customFormat="false" ht="12.75" hidden="false" customHeight="true" outlineLevel="0" collapsed="false">
      <c r="A669" s="15" t="n">
        <f aca="false">Report!C889</f>
        <v>46241</v>
      </c>
      <c r="B669" s="1" t="str">
        <f aca="false">Report!E889</f>
        <v>ALEXANDRE DA SILVA RUFINO</v>
      </c>
      <c r="C669" s="17" t="n">
        <f aca="false">Report!U889</f>
        <v>1256</v>
      </c>
      <c r="D669" s="1" t="str">
        <f aca="false">Report!X889</f>
        <v>RECIBO- COMPRAS CIGARROS 1/1 - ALICIA</v>
      </c>
    </row>
    <row r="670" customFormat="false" ht="12.75" hidden="false" customHeight="true" outlineLevel="0" collapsed="false">
      <c r="A670" s="15" t="n">
        <f aca="false">Report!C890</f>
        <v>46241</v>
      </c>
      <c r="B670" s="1" t="str">
        <f aca="false">Report!E890</f>
        <v>OLIVEIRA E SILVA LTDA</v>
      </c>
      <c r="C670" s="17" t="n">
        <f aca="false">Report!U890</f>
        <v>600</v>
      </c>
      <c r="D670" s="1" t="str">
        <f aca="false">Report!X890</f>
        <v>COMPRAS FARINHA DE FEIRA -JOSE FARINHA - ALICIA</v>
      </c>
    </row>
    <row r="671" customFormat="false" ht="12.75" hidden="false" customHeight="true" outlineLevel="0" collapsed="false">
      <c r="A671" s="15" t="n">
        <f aca="false">Report!C891</f>
        <v>46241</v>
      </c>
      <c r="B671" s="1" t="str">
        <f aca="false">Report!E891</f>
        <v>H. L. DO NASCIMENTO</v>
      </c>
      <c r="C671" s="17" t="n">
        <f aca="false">Report!U891</f>
        <v>596.3</v>
      </c>
      <c r="D671" s="1" t="str">
        <f aca="false">Report!X891</f>
        <v>NF 5900 1/1 - ALICIA</v>
      </c>
    </row>
    <row r="672" customFormat="false" ht="12.75" hidden="false" customHeight="true" outlineLevel="0" collapsed="false">
      <c r="A672" s="15" t="n">
        <f aca="false">Report!C892</f>
        <v>46241</v>
      </c>
      <c r="B672" s="1" t="str">
        <f aca="false">Report!E892</f>
        <v>ELFORT FRUIT COMERCIO DE PRODUTOS ALIME</v>
      </c>
      <c r="C672" s="17" t="n">
        <f aca="false">Report!U892</f>
        <v>835.36</v>
      </c>
      <c r="D672" s="1" t="str">
        <f aca="false">Report!X892</f>
        <v>NF 27976 1/2 - ALICIA</v>
      </c>
    </row>
    <row r="673" customFormat="false" ht="12.75" hidden="false" customHeight="true" outlineLevel="0" collapsed="false">
      <c r="A673" s="15" t="n">
        <f aca="false">Report!C893</f>
        <v>46241</v>
      </c>
      <c r="B673" s="1" t="str">
        <f aca="false">Report!E893</f>
        <v>S E PEREIRA BARBOSA ME</v>
      </c>
      <c r="C673" s="17" t="n">
        <f aca="false">Report!U893</f>
        <v>151.6</v>
      </c>
      <c r="D673" s="1" t="str">
        <f aca="false">Report!X893</f>
        <v>NF 18475 1/1 - ALICIA</v>
      </c>
    </row>
    <row r="674" customFormat="false" ht="12.75" hidden="false" customHeight="true" outlineLevel="0" collapsed="false">
      <c r="A674" s="15" t="n">
        <f aca="false">Report!C894</f>
        <v>46241</v>
      </c>
      <c r="B674" s="1" t="str">
        <f aca="false">Report!E894</f>
        <v>COMERCIO E TRANSPORTE BRANDAO LTDA</v>
      </c>
      <c r="C674" s="17" t="n">
        <f aca="false">Report!U894</f>
        <v>410</v>
      </c>
      <c r="D674" s="1" t="str">
        <f aca="false">Report!X894</f>
        <v>NF 15026 1/1 -COMPRAS CARLOS VERDURAS - ALICIA</v>
      </c>
    </row>
    <row r="675" customFormat="false" ht="12.75" hidden="false" customHeight="true" outlineLevel="0" collapsed="false">
      <c r="A675" s="15" t="n">
        <f aca="false">Report!C895</f>
        <v>46241</v>
      </c>
      <c r="B675" s="1" t="str">
        <f aca="false">Report!E895</f>
        <v>COMERCIO E TRANSPORTE BRANDAO LTDA</v>
      </c>
      <c r="C675" s="17" t="n">
        <f aca="false">Report!U895</f>
        <v>216</v>
      </c>
      <c r="D675" s="1" t="str">
        <f aca="false">Report!X895</f>
        <v>RECIBO - COMPRA QUEIJO /CARLOS VERDURAS - ALICIA</v>
      </c>
    </row>
    <row r="676" customFormat="false" ht="12.75" hidden="false" customHeight="true" outlineLevel="0" collapsed="false">
      <c r="A676" s="15" t="n">
        <f aca="false">Report!C896</f>
        <v>46241</v>
      </c>
      <c r="B676" s="1" t="str">
        <f aca="false">Report!E896</f>
        <v>OLIVEIRA E SILVA LTDA</v>
      </c>
      <c r="C676" s="17" t="n">
        <f aca="false">Report!U896</f>
        <v>1493</v>
      </c>
      <c r="D676" s="1" t="str">
        <f aca="false">Report!X896</f>
        <v>COMPRAS VERDURAS / CARLOS VERDURAS -ALICIA</v>
      </c>
    </row>
    <row r="677" customFormat="false" ht="12.75" hidden="false" customHeight="true" outlineLevel="0" collapsed="false">
      <c r="A677" s="15" t="n">
        <f aca="false">Report!C899</f>
        <v>46241</v>
      </c>
      <c r="B677" s="1" t="str">
        <f aca="false">Report!E899</f>
        <v>OLIVEIRA E SILVA LTDA</v>
      </c>
      <c r="C677" s="17" t="n">
        <f aca="false">Report!U899</f>
        <v>85</v>
      </c>
      <c r="D677" s="1" t="str">
        <f aca="false">Report!X899</f>
        <v>COMPRAS CHEIRO VERDE - ALICIA</v>
      </c>
    </row>
    <row r="678" customFormat="false" ht="12.75" hidden="false" customHeight="true" outlineLevel="0" collapsed="false">
      <c r="A678" s="15" t="n">
        <f aca="false">Report!C900</f>
        <v>46242</v>
      </c>
      <c r="B678" s="1" t="str">
        <f aca="false">Report!E900</f>
        <v>MARE DISTRIBUIDORA DE BEBIDAS E DE PRODUTOS ALIMENTICIOS LTDA</v>
      </c>
      <c r="C678" s="17" t="n">
        <f aca="false">Report!U900</f>
        <v>1316.75</v>
      </c>
      <c r="D678" s="1" t="str">
        <f aca="false">Report!X900</f>
        <v>NF 1400510 2/2 - ALICIA</v>
      </c>
    </row>
    <row r="679" customFormat="false" ht="12.75" hidden="false" customHeight="true" outlineLevel="0" collapsed="false">
      <c r="A679" s="15" t="n">
        <f aca="false">Report!C901</f>
        <v>46242</v>
      </c>
      <c r="B679" s="1" t="str">
        <f aca="false">Report!E901</f>
        <v>MARE DISTRIBUIDORA DE BEBIDAS E DE PRODUTOS ALIMENTICIOS LTDA</v>
      </c>
      <c r="C679" s="17" t="n">
        <f aca="false">Report!U901</f>
        <v>887.5</v>
      </c>
      <c r="D679" s="1" t="str">
        <f aca="false">Report!X901</f>
        <v>NF 1400631 2/2 - ALICIA</v>
      </c>
    </row>
    <row r="680" customFormat="false" ht="12.75" hidden="false" customHeight="true" outlineLevel="0" collapsed="false">
      <c r="A680" s="15" t="n">
        <f aca="false">Report!C902</f>
        <v>46242</v>
      </c>
      <c r="B680" s="1" t="str">
        <f aca="false">Report!E902</f>
        <v>DISTRIBUIDORA LOPES LTDA</v>
      </c>
      <c r="C680" s="17" t="n">
        <f aca="false">Report!U902</f>
        <v>832.25</v>
      </c>
      <c r="D680" s="1" t="str">
        <f aca="false">Report!X902</f>
        <v>NF 1699133 1/3 - ALICIA</v>
      </c>
    </row>
    <row r="681" customFormat="false" ht="12.75" hidden="false" customHeight="true" outlineLevel="0" collapsed="false">
      <c r="A681" s="15" t="n">
        <f aca="false">Report!C903</f>
        <v>46242</v>
      </c>
      <c r="B681" s="1" t="str">
        <f aca="false">Report!E903</f>
        <v>BRAGA DIST. E COM. DE PROD. ALIMENT</v>
      </c>
      <c r="C681" s="17" t="n">
        <f aca="false">Report!U903</f>
        <v>1086.18</v>
      </c>
      <c r="D681" s="1" t="str">
        <f aca="false">Report!X903</f>
        <v>NF 19453 2/3 - ALICIA </v>
      </c>
    </row>
    <row r="682" customFormat="false" ht="12.75" hidden="false" customHeight="true" outlineLevel="0" collapsed="false">
      <c r="A682" s="15" t="n">
        <f aca="false">Report!C904</f>
        <v>46242</v>
      </c>
      <c r="B682" s="1" t="str">
        <f aca="false">Report!E904</f>
        <v>OLIVEIRA E SILVA LTDA</v>
      </c>
      <c r="C682" s="17" t="n">
        <f aca="false">Report!U904</f>
        <v>280</v>
      </c>
      <c r="D682" s="1" t="str">
        <f aca="false">Report!X904</f>
        <v>COMPRAS ACAI - PGT PIX:92991892419 NAILSON GARCES</v>
      </c>
    </row>
    <row r="683" customFormat="false" ht="12.75" hidden="false" customHeight="true" outlineLevel="0" collapsed="false">
      <c r="A683" s="15" t="n">
        <f aca="false">Report!C905</f>
        <v>46242</v>
      </c>
      <c r="B683" s="1" t="str">
        <f aca="false">Report!E905</f>
        <v>CINTIA MACIEL PEREIRA SANTOS 95986138287</v>
      </c>
      <c r="C683" s="17" t="n">
        <f aca="false">Report!U905</f>
        <v>907.7</v>
      </c>
      <c r="D683" s="1" t="str">
        <f aca="false">Report!X905</f>
        <v>NF 1411 1/1 - ALICIA</v>
      </c>
    </row>
    <row r="684" customFormat="false" ht="12.75" hidden="false" customHeight="true" outlineLevel="0" collapsed="false">
      <c r="A684" s="15" t="n">
        <f aca="false">Report!C906</f>
        <v>46242</v>
      </c>
      <c r="B684" s="1" t="str">
        <f aca="false">Report!E906</f>
        <v>MAXFRI DISTRIUIDORA LTDA</v>
      </c>
      <c r="C684" s="17" t="n">
        <f aca="false">Report!U906</f>
        <v>3573.2</v>
      </c>
      <c r="D684" s="1" t="str">
        <f aca="false">Report!X906</f>
        <v>NF 14912 1/2 - ALICIA</v>
      </c>
    </row>
    <row r="685" customFormat="false" ht="12.75" hidden="false" customHeight="true" outlineLevel="0" collapsed="false">
      <c r="A685" s="15" t="n">
        <f aca="false">Report!C908</f>
        <v>46243</v>
      </c>
      <c r="B685" s="1" t="str">
        <f aca="false">Report!E908</f>
        <v>WKL COMERCIO ATACADISTA DE ARTIGOS DE AR</v>
      </c>
      <c r="C685" s="17" t="n">
        <f aca="false">Report!U908</f>
        <v>592.05</v>
      </c>
      <c r="D685" s="1" t="str">
        <f aca="false">Report!X908</f>
        <v>NF 1330 2/4 - ALICIA</v>
      </c>
    </row>
    <row r="686" customFormat="false" ht="12.75" hidden="false" customHeight="true" outlineLevel="0" collapsed="false">
      <c r="A686" s="15" t="n">
        <f aca="false">Report!C909</f>
        <v>46243</v>
      </c>
      <c r="B686" s="1" t="str">
        <f aca="false">Report!E909</f>
        <v>STEFFANE VITORIA FERNANDES SILVA</v>
      </c>
      <c r="C686" s="17" t="n">
        <f aca="false">Report!U909</f>
        <v>614.99</v>
      </c>
      <c r="D686" s="1" t="str">
        <f aca="false">Report!X909</f>
        <v>NF 12877 2/3 - ALICIA</v>
      </c>
    </row>
    <row r="687" customFormat="false" ht="12.75" hidden="false" customHeight="true" outlineLevel="0" collapsed="false">
      <c r="A687" s="15" t="n">
        <f aca="false">Report!C911</f>
        <v>46244</v>
      </c>
      <c r="B687" s="1" t="str">
        <f aca="false">Report!E911</f>
        <v>MARTINS COM SERV DISTR SA</v>
      </c>
      <c r="C687" s="17" t="n">
        <f aca="false">Report!U911</f>
        <v>1718.76</v>
      </c>
      <c r="D687" s="1" t="str">
        <f aca="false">Report!X911</f>
        <v>NF 1771475 2/4 - ALICIA</v>
      </c>
    </row>
    <row r="688" customFormat="false" ht="12.75" hidden="false" customHeight="true" outlineLevel="0" collapsed="false">
      <c r="A688" s="15" t="n">
        <f aca="false">Report!C916</f>
        <v>46244</v>
      </c>
      <c r="B688" s="1" t="str">
        <f aca="false">Report!E916</f>
        <v>DUNORTE DISTRIBUIDORA DE PRODUTOS DE CONSUMO LTDA</v>
      </c>
      <c r="C688" s="17" t="n">
        <f aca="false">Report!U916</f>
        <v>930.36</v>
      </c>
      <c r="D688" s="1" t="str">
        <f aca="false">Report!X916</f>
        <v>NF 3218718 3/3 - ALICIA</v>
      </c>
    </row>
    <row r="689" customFormat="false" ht="12.75" hidden="false" customHeight="true" outlineLevel="0" collapsed="false">
      <c r="A689" s="15" t="n">
        <f aca="false">Report!C917</f>
        <v>46244</v>
      </c>
      <c r="B689" s="1" t="str">
        <f aca="false">Report!E917</f>
        <v>RACAO CONFIANCA AGROINDUSTRIAL LTDA</v>
      </c>
      <c r="C689" s="17" t="n">
        <f aca="false">Report!U917</f>
        <v>620.44</v>
      </c>
      <c r="D689" s="1" t="str">
        <f aca="false">Report!X917</f>
        <v>NF 27791 3/3 - ALICIA</v>
      </c>
    </row>
    <row r="690" customFormat="false" ht="12.75" hidden="false" customHeight="true" outlineLevel="0" collapsed="false">
      <c r="A690" s="15" t="n">
        <f aca="false">Report!C919</f>
        <v>46244</v>
      </c>
      <c r="B690" s="1" t="str">
        <f aca="false">Report!E919</f>
        <v>DISTRIBUIDORA ESTRELA LTDA</v>
      </c>
      <c r="C690" s="17" t="n">
        <f aca="false">Report!U919</f>
        <v>404.55</v>
      </c>
      <c r="D690" s="1" t="str">
        <f aca="false">Report!X919</f>
        <v>NF 35548 2/2 - ALICIA</v>
      </c>
    </row>
    <row r="691" customFormat="false" ht="12.75" hidden="false" customHeight="true" outlineLevel="0" collapsed="false">
      <c r="A691" s="15" t="n">
        <f aca="false">Report!C920</f>
        <v>46244</v>
      </c>
      <c r="B691" s="1" t="str">
        <f aca="false">Report!E920</f>
        <v>BRF S A</v>
      </c>
      <c r="C691" s="17" t="n">
        <f aca="false">Report!U920</f>
        <v>1315.92</v>
      </c>
      <c r="D691" s="1" t="str">
        <f aca="false">Report!X920</f>
        <v>NF 1609946 3/3 - ALICIA</v>
      </c>
    </row>
    <row r="692" customFormat="false" ht="12.75" hidden="false" customHeight="true" outlineLevel="0" collapsed="false">
      <c r="A692" s="15" t="n">
        <f aca="false">Report!C921</f>
        <v>46244</v>
      </c>
      <c r="B692" s="1" t="str">
        <f aca="false">Report!E921</f>
        <v>DISTRIBUIDORA LOPES LTDA</v>
      </c>
      <c r="C692" s="17" t="n">
        <f aca="false">Report!U921</f>
        <v>418.68</v>
      </c>
      <c r="D692" s="1" t="str">
        <f aca="false">Report!X921</f>
        <v>NF 1699885 1/3 - ALICIA</v>
      </c>
    </row>
    <row r="693" customFormat="false" ht="12.75" hidden="false" customHeight="true" outlineLevel="0" collapsed="false">
      <c r="A693" s="15" t="n">
        <f aca="false">Report!C922</f>
        <v>46244</v>
      </c>
      <c r="B693" s="1" t="str">
        <f aca="false">Report!E922</f>
        <v>DINÂMICA SOLUÇÕES EM SUPRIMENTOS E GESTÃ</v>
      </c>
      <c r="C693" s="17" t="n">
        <f aca="false">Report!U922</f>
        <v>746.66</v>
      </c>
      <c r="D693" s="1" t="str">
        <f aca="false">Report!X922</f>
        <v>NF 4 2/3 - ALICIA</v>
      </c>
    </row>
    <row r="694" customFormat="false" ht="12.75" hidden="false" customHeight="true" outlineLevel="0" collapsed="false">
      <c r="A694" s="15" t="n">
        <f aca="false">Report!C923</f>
        <v>46244</v>
      </c>
      <c r="B694" s="1" t="str">
        <f aca="false">Report!E923</f>
        <v>DISTRIBUIDORA LOPES LTDA</v>
      </c>
      <c r="C694" s="17" t="n">
        <f aca="false">Report!U923</f>
        <v>903.46</v>
      </c>
      <c r="D694" s="1" t="str">
        <f aca="false">Report!X923</f>
        <v>NF 1699593 1/3 - ALICIA</v>
      </c>
    </row>
    <row r="695" customFormat="false" ht="12.75" hidden="false" customHeight="true" outlineLevel="0" collapsed="false">
      <c r="A695" s="15" t="n">
        <f aca="false">Report!C924</f>
        <v>46244</v>
      </c>
      <c r="B695" s="1" t="str">
        <f aca="false">Report!E924</f>
        <v>MARE DISTRIBUIDORA DE BEBIDAS E DE PRODUTOS ALIMENTICIOS LTDA</v>
      </c>
      <c r="C695" s="17" t="n">
        <f aca="false">Report!U924</f>
        <v>537.5</v>
      </c>
      <c r="D695" s="1" t="str">
        <f aca="false">Report!X924</f>
        <v>NF 1407139 1/2 - ALICIA</v>
      </c>
    </row>
    <row r="696" customFormat="false" ht="12.75" hidden="false" customHeight="true" outlineLevel="0" collapsed="false">
      <c r="A696" s="15" t="n">
        <f aca="false">Report!C926</f>
        <v>46244</v>
      </c>
      <c r="B696" s="1" t="str">
        <f aca="false">Report!E926</f>
        <v>SOUZA CRUZ LTDA.</v>
      </c>
      <c r="C696" s="17" t="n">
        <f aca="false">Report!U926</f>
        <v>2964.55</v>
      </c>
      <c r="D696" s="1" t="str">
        <f aca="false">Report!X926</f>
        <v>NF 568665 1/2 - ALICIA</v>
      </c>
    </row>
    <row r="697" customFormat="false" ht="12.75" hidden="false" customHeight="true" outlineLevel="0" collapsed="false">
      <c r="A697" s="15" t="n">
        <f aca="false">Report!C927</f>
        <v>46245</v>
      </c>
      <c r="B697" s="1" t="str">
        <f aca="false">Report!E927</f>
        <v>BF COMERCIO DE ALIMENTOS REPRESENTACAO L</v>
      </c>
      <c r="C697" s="17" t="n">
        <f aca="false">Report!U927</f>
        <v>360.15</v>
      </c>
      <c r="D697" s="1" t="str">
        <f aca="false">Report!X927</f>
        <v>NF 21113 2/3 - ALICIA</v>
      </c>
    </row>
    <row r="698" customFormat="false" ht="12.75" hidden="false" customHeight="true" outlineLevel="0" collapsed="false">
      <c r="A698" s="15" t="n">
        <f aca="false">Report!C928</f>
        <v>46245</v>
      </c>
      <c r="B698" s="1" t="str">
        <f aca="false">Report!E928</f>
        <v>J G COMERCIO DE PRODUTOS ALIMENTICIOS LTDA</v>
      </c>
      <c r="C698" s="17" t="n">
        <f aca="false">Report!U928</f>
        <v>2067.28</v>
      </c>
      <c r="D698" s="1" t="str">
        <f aca="false">Report!X928</f>
        <v>NF 393808 2/3 - ALICIA</v>
      </c>
    </row>
    <row r="699" customFormat="false" ht="12.75" hidden="false" customHeight="true" outlineLevel="0" collapsed="false">
      <c r="A699" s="15" t="n">
        <f aca="false">Report!C929</f>
        <v>46245</v>
      </c>
      <c r="B699" s="1" t="str">
        <f aca="false">Report!E929</f>
        <v>DUNORTE DISTRIBUIDORA DE PRODUTOS DE CONSUMO LTDA</v>
      </c>
      <c r="C699" s="17" t="n">
        <f aca="false">Report!U929</f>
        <v>289.19</v>
      </c>
      <c r="D699" s="1" t="str">
        <f aca="false">Report!X929</f>
        <v>NF 3223572 2/3 - ALICIA</v>
      </c>
    </row>
    <row r="700" customFormat="false" ht="12.75" hidden="false" customHeight="true" outlineLevel="0" collapsed="false">
      <c r="A700" s="15" t="n">
        <f aca="false">Report!C930</f>
        <v>46245</v>
      </c>
      <c r="B700" s="1" t="str">
        <f aca="false">Report!E930</f>
        <v>OCIDENTAL COMERCIO DE FRIOS LTDA</v>
      </c>
      <c r="C700" s="17" t="n">
        <f aca="false">Report!U930</f>
        <v>676.45</v>
      </c>
      <c r="D700" s="1" t="str">
        <f aca="false">Report!X930</f>
        <v>NF 1252244 1/3 - ALICIA</v>
      </c>
    </row>
    <row r="701" customFormat="false" ht="12.75" hidden="false" customHeight="true" outlineLevel="0" collapsed="false">
      <c r="A701" s="15" t="n">
        <f aca="false">Report!C931</f>
        <v>46245</v>
      </c>
      <c r="B701" s="1" t="str">
        <f aca="false">Report!E931</f>
        <v>ORIENTE COM. ATACADISTA E REPRES. LTDA</v>
      </c>
      <c r="C701" s="17" t="n">
        <f aca="false">Report!U931</f>
        <v>1398.66</v>
      </c>
      <c r="D701" s="1" t="str">
        <f aca="false">Report!X931</f>
        <v>NF 2956 2/3 - ALICIA</v>
      </c>
    </row>
    <row r="702" customFormat="false" ht="12.75" hidden="false" customHeight="true" outlineLevel="0" collapsed="false">
      <c r="A702" s="15" t="n">
        <f aca="false">Report!C932</f>
        <v>46245</v>
      </c>
      <c r="B702" s="1" t="str">
        <f aca="false">Report!E932</f>
        <v>COMERCIO DE FRIOS MANAUS LTDA</v>
      </c>
      <c r="C702" s="17" t="n">
        <f aca="false">Report!U932</f>
        <v>2040.8</v>
      </c>
      <c r="D702" s="1" t="str">
        <f aca="false">Report!X932</f>
        <v>NF 173903 2/2 - ALICIA</v>
      </c>
    </row>
    <row r="703" customFormat="false" ht="12.75" hidden="false" customHeight="true" outlineLevel="0" collapsed="false">
      <c r="A703" s="15" t="n">
        <f aca="false">Report!C933</f>
        <v>46245</v>
      </c>
      <c r="B703" s="1" t="str">
        <f aca="false">Report!E933</f>
        <v>BRF S A</v>
      </c>
      <c r="C703" s="17" t="n">
        <f aca="false">Report!U933</f>
        <v>1468.01</v>
      </c>
      <c r="D703" s="1" t="str">
        <f aca="false">Report!X933</f>
        <v>NF 1613517 2/3 - ALICIA</v>
      </c>
    </row>
    <row r="704" customFormat="false" ht="12.75" hidden="false" customHeight="true" outlineLevel="0" collapsed="false">
      <c r="A704" s="15" t="n">
        <f aca="false">Report!C935</f>
        <v>46245</v>
      </c>
      <c r="B704" s="1" t="str">
        <f aca="false">Report!E935</f>
        <v>NESTLÉ BRASIL LTDA.</v>
      </c>
      <c r="C704" s="17" t="n">
        <f aca="false">Report!U935</f>
        <v>1385.79</v>
      </c>
      <c r="D704" s="1" t="str">
        <f aca="false">Report!X935</f>
        <v>NF 1433260 1/1 - ALICIA</v>
      </c>
    </row>
    <row r="705" customFormat="false" ht="12.75" hidden="false" customHeight="true" outlineLevel="0" collapsed="false">
      <c r="A705" s="15" t="n">
        <f aca="false">Report!C936</f>
        <v>46245</v>
      </c>
      <c r="B705" s="1" t="str">
        <f aca="false">Report!E936</f>
        <v>CRBS S/A</v>
      </c>
      <c r="C705" s="17" t="n">
        <f aca="false">Report!U936</f>
        <v>944.87</v>
      </c>
      <c r="D705" s="1" t="str">
        <f aca="false">Report!X936</f>
        <v>NF 935472 1/1 - ALICIA</v>
      </c>
    </row>
    <row r="706" customFormat="false" ht="12.75" hidden="false" customHeight="true" outlineLevel="0" collapsed="false">
      <c r="A706" s="15" t="n">
        <f aca="false">Report!C937</f>
        <v>46245</v>
      </c>
      <c r="B706" s="1" t="str">
        <f aca="false">Report!E937</f>
        <v>TOYA INDUSTRIA E COMERCIO LTDA.</v>
      </c>
      <c r="C706" s="17" t="n">
        <f aca="false">Report!U937</f>
        <v>430</v>
      </c>
      <c r="D706" s="1" t="str">
        <f aca="false">Report!X937</f>
        <v>NF 256208 2/2 - ALICIA</v>
      </c>
    </row>
    <row r="707" customFormat="false" ht="12.75" hidden="false" customHeight="true" outlineLevel="0" collapsed="false">
      <c r="A707" s="15" t="n">
        <f aca="false">Report!C938</f>
        <v>46245</v>
      </c>
      <c r="B707" s="1" t="str">
        <f aca="false">Report!E938</f>
        <v>S E PEREIRA BARBOSA ME</v>
      </c>
      <c r="C707" s="17" t="n">
        <f aca="false">Report!U938</f>
        <v>282</v>
      </c>
      <c r="D707" s="1" t="str">
        <f aca="false">Report!X938</f>
        <v>NF 18523 1/1 - ALICIA</v>
      </c>
    </row>
    <row r="708" customFormat="false" ht="12.75" hidden="false" customHeight="true" outlineLevel="0" collapsed="false">
      <c r="A708" s="15" t="n">
        <f aca="false">Report!C939</f>
        <v>46245</v>
      </c>
      <c r="B708" s="1" t="str">
        <f aca="false">Report!E939</f>
        <v>BRASIL NORTE BEBIDAS S/A</v>
      </c>
      <c r="C708" s="17" t="n">
        <f aca="false">Report!U939</f>
        <v>3781.27</v>
      </c>
      <c r="D708" s="1" t="str">
        <f aca="false">Report!X939</f>
        <v>NF 1968512 1/1 - ALICIA</v>
      </c>
    </row>
    <row r="709" customFormat="false" ht="12.75" hidden="false" customHeight="true" outlineLevel="0" collapsed="false">
      <c r="A709" s="15" t="n">
        <f aca="false">Report!C940</f>
        <v>46245</v>
      </c>
      <c r="B709" s="1" t="str">
        <f aca="false">Report!E940</f>
        <v>BRASIL NORTE BEBIDAS S/A</v>
      </c>
      <c r="C709" s="17" t="n">
        <f aca="false">Report!U940</f>
        <v>593.41</v>
      </c>
      <c r="D709" s="1" t="str">
        <f aca="false">Report!X940</f>
        <v>NF 1968355 1/1 - ALICIA</v>
      </c>
    </row>
    <row r="710" customFormat="false" ht="12.75" hidden="false" customHeight="true" outlineLevel="0" collapsed="false">
      <c r="A710" s="15" t="n">
        <f aca="false">Report!C941</f>
        <v>46245</v>
      </c>
      <c r="B710" s="1" t="str">
        <f aca="false">Report!E941</f>
        <v>BRASIL NORTE BEBIDAS S/A</v>
      </c>
      <c r="C710" s="17" t="n">
        <f aca="false">Report!U941</f>
        <v>2416.27</v>
      </c>
      <c r="D710" s="1" t="str">
        <f aca="false">Report!X941</f>
        <v>NF 1232508 1/1 - ALICIA</v>
      </c>
    </row>
    <row r="711" customFormat="false" ht="12.75" hidden="false" customHeight="true" outlineLevel="0" collapsed="false">
      <c r="A711" s="15" t="n">
        <f aca="false">Report!C942</f>
        <v>46245</v>
      </c>
      <c r="B711" s="1" t="str">
        <f aca="false">Report!E942</f>
        <v>TOYA INDUSTRIA E COMERCIO LTDA.</v>
      </c>
      <c r="C711" s="17" t="n">
        <f aca="false">Report!U942</f>
        <v>482.52</v>
      </c>
      <c r="D711" s="1" t="str">
        <f aca="false">Report!X942</f>
        <v>NF 257005 1/1 - ALICIA</v>
      </c>
    </row>
    <row r="712" customFormat="false" ht="12.75" hidden="false" customHeight="true" outlineLevel="0" collapsed="false">
      <c r="A712" s="15" t="n">
        <f aca="false">Report!C943</f>
        <v>46245</v>
      </c>
      <c r="B712" s="1" t="str">
        <f aca="false">Report!E943</f>
        <v>DISTRIBUIDORA LOPES LTDA</v>
      </c>
      <c r="C712" s="17" t="n">
        <f aca="false">Report!U943</f>
        <v>156.12</v>
      </c>
      <c r="D712" s="1" t="str">
        <f aca="false">Report!X943</f>
        <v>NF 1704577  1/1 - ALICIA</v>
      </c>
    </row>
    <row r="713" customFormat="false" ht="12.75" hidden="false" customHeight="true" outlineLevel="0" collapsed="false">
      <c r="A713" s="15" t="n">
        <f aca="false">Report!C944</f>
        <v>46245</v>
      </c>
      <c r="B713" s="1" t="str">
        <f aca="false">Report!E944</f>
        <v>COMERCIO E TRANSPORTE BRANDAO LTDA</v>
      </c>
      <c r="C713" s="17" t="n">
        <f aca="false">Report!U944</f>
        <v>270</v>
      </c>
      <c r="D713" s="1" t="str">
        <f aca="false">Report!X944</f>
        <v>NF 15055 1/1 - CARLOS VERDURAS  - ALICIA </v>
      </c>
    </row>
    <row r="714" customFormat="false" ht="12.75" hidden="false" customHeight="true" outlineLevel="0" collapsed="false">
      <c r="A714" s="15" t="n">
        <f aca="false">Report!C945</f>
        <v>46245</v>
      </c>
      <c r="B714" s="1" t="str">
        <f aca="false">Report!E945</f>
        <v>COMERCIO E TRANSPORTE BRANDAO LTDA</v>
      </c>
      <c r="C714" s="17" t="n">
        <f aca="false">Report!U945</f>
        <v>108</v>
      </c>
      <c r="D714" s="1" t="str">
        <f aca="false">Report!X945</f>
        <v>RECIBO - COMPRAS QUEIJO , CARLOS VERDURAS - ALICIA </v>
      </c>
    </row>
    <row r="715" customFormat="false" ht="12.75" hidden="false" customHeight="true" outlineLevel="0" collapsed="false">
      <c r="A715" s="15" t="n">
        <f aca="false">Report!C946</f>
        <v>46245</v>
      </c>
      <c r="B715" s="1" t="str">
        <f aca="false">Report!E946</f>
        <v>OLIVEIRA E SILVA LTDA</v>
      </c>
      <c r="C715" s="17" t="n">
        <f aca="false">Report!U946</f>
        <v>1991</v>
      </c>
      <c r="D715" s="1" t="str">
        <f aca="false">Report!X946</f>
        <v>COMPRAS CARLOS VERDURAS - ALICIA</v>
      </c>
    </row>
    <row r="716" customFormat="false" ht="12.75" hidden="false" customHeight="true" outlineLevel="0" collapsed="false">
      <c r="A716" s="15" t="n">
        <f aca="false">Report!C947</f>
        <v>46246</v>
      </c>
      <c r="B716" s="1" t="str">
        <f aca="false">Report!E947</f>
        <v>KAROLINY RODRIGUES SOUZA VENANCIO 915783</v>
      </c>
      <c r="C716" s="17" t="n">
        <f aca="false">Report!U947</f>
        <v>250</v>
      </c>
      <c r="D716" s="1" t="str">
        <f aca="false">Report!X947</f>
        <v>NF 1716 1/1 - ALICIA </v>
      </c>
    </row>
    <row r="717" customFormat="false" ht="12.75" hidden="false" customHeight="true" outlineLevel="0" collapsed="false">
      <c r="A717" s="15" t="n">
        <f aca="false">Report!C948</f>
        <v>46246</v>
      </c>
      <c r="B717" s="1" t="str">
        <f aca="false">Report!E948</f>
        <v>OCIDENTAL COMERCIO DE FRIOS LTDA</v>
      </c>
      <c r="C717" s="17" t="n">
        <f aca="false">Report!U948</f>
        <v>867.31</v>
      </c>
      <c r="D717" s="1" t="str">
        <f aca="false">Report!X948</f>
        <v>NF 1250418 2/3 - ALICIA</v>
      </c>
    </row>
    <row r="718" customFormat="false" ht="12.75" hidden="false" customHeight="true" outlineLevel="0" collapsed="false">
      <c r="A718" s="15" t="n">
        <f aca="false">Report!C949</f>
        <v>46246</v>
      </c>
      <c r="B718" s="1" t="str">
        <f aca="false">Report!E949</f>
        <v>OCIDENTAL COMERCIO DE FRIOS LTDA</v>
      </c>
      <c r="C718" s="17" t="n">
        <f aca="false">Report!U949</f>
        <v>546.32</v>
      </c>
      <c r="D718" s="1" t="str">
        <f aca="false">Report!X949</f>
        <v>nf 1252896 1/1 - alicia</v>
      </c>
    </row>
    <row r="719" customFormat="false" ht="12.75" hidden="false" customHeight="true" outlineLevel="0" collapsed="false">
      <c r="A719" s="15" t="n">
        <f aca="false">Report!C950</f>
        <v>46246</v>
      </c>
      <c r="B719" s="1" t="str">
        <f aca="false">Report!E950</f>
        <v>BRAGA TABACARIA EIRELI ME</v>
      </c>
      <c r="C719" s="17" t="n">
        <f aca="false">Report!U950</f>
        <v>978.6</v>
      </c>
      <c r="D719" s="1" t="str">
        <f aca="false">Report!X950</f>
        <v>NF 19509 2/3 - ALICIA</v>
      </c>
    </row>
    <row r="720" customFormat="false" ht="12.75" hidden="false" customHeight="true" outlineLevel="0" collapsed="false">
      <c r="A720" s="15" t="n">
        <f aca="false">Report!C951</f>
        <v>46246</v>
      </c>
      <c r="B720" s="1" t="str">
        <f aca="false">Report!E951</f>
        <v>BRAGA TABACARIA EIRELI ME</v>
      </c>
      <c r="C720" s="17" t="n">
        <f aca="false">Report!U951</f>
        <v>512.4</v>
      </c>
      <c r="D720" s="1" t="str">
        <f aca="false">Report!X951</f>
        <v>RECIBO - 2/3 COMPRAS CIGARROS - ALICIA</v>
      </c>
    </row>
    <row r="721" customFormat="false" ht="12.75" hidden="false" customHeight="true" outlineLevel="0" collapsed="false">
      <c r="A721" s="15" t="n">
        <f aca="false">Report!C953</f>
        <v>46246</v>
      </c>
      <c r="B721" s="1" t="str">
        <f aca="false">Report!E953</f>
        <v>FRIGORIFICO FEITOSA</v>
      </c>
      <c r="C721" s="17" t="n">
        <f aca="false">Report!U953</f>
        <v>5068.23</v>
      </c>
      <c r="D721" s="1" t="str">
        <f aca="false">Report!X953</f>
        <v>NF 1481 1/1 - ALICIA</v>
      </c>
    </row>
    <row r="722" customFormat="false" ht="12.75" hidden="false" customHeight="true" outlineLevel="0" collapsed="false">
      <c r="A722" s="15" t="n">
        <f aca="false">Report!C954</f>
        <v>46246</v>
      </c>
      <c r="B722" s="1" t="str">
        <f aca="false">Report!E954</f>
        <v>REAL BEBIDAS DA AMAZONIA LTDA</v>
      </c>
      <c r="C722" s="17" t="n">
        <f aca="false">Report!U954</f>
        <v>105</v>
      </c>
      <c r="D722" s="1" t="str">
        <f aca="false">Report!X954</f>
        <v>NF 615608 1/2 - ALICIA</v>
      </c>
    </row>
    <row r="723" customFormat="false" ht="12.75" hidden="false" customHeight="true" outlineLevel="0" collapsed="false">
      <c r="A723" s="15" t="n">
        <f aca="false">Report!C955</f>
        <v>46246</v>
      </c>
      <c r="B723" s="1" t="str">
        <f aca="false">Report!E955</f>
        <v>BRF S A</v>
      </c>
      <c r="C723" s="17" t="n">
        <f aca="false">Report!U955</f>
        <v>1173.52</v>
      </c>
      <c r="D723" s="1" t="str">
        <f aca="false">Report!X955</f>
        <v>NF 1615570 1/3 - ALICIA</v>
      </c>
    </row>
    <row r="724" customFormat="false" ht="12.75" hidden="false" customHeight="true" outlineLevel="0" collapsed="false">
      <c r="A724" s="15" t="n">
        <f aca="false">Report!C956</f>
        <v>46246</v>
      </c>
      <c r="B724" s="1" t="str">
        <f aca="false">Report!E956</f>
        <v>AGL DISTRIBUIDORA LIMITADA MATRIZ</v>
      </c>
      <c r="C724" s="17" t="n">
        <f aca="false">Report!U956</f>
        <v>366.4</v>
      </c>
      <c r="D724" s="1" t="str">
        <f aca="false">Report!X956</f>
        <v>NF 13932 1/1 - ALICIA</v>
      </c>
    </row>
    <row r="725" customFormat="false" ht="12.75" hidden="false" customHeight="true" outlineLevel="0" collapsed="false">
      <c r="A725" s="15" t="n">
        <f aca="false">Report!C957</f>
        <v>46246</v>
      </c>
      <c r="B725" s="1" t="str">
        <f aca="false">Report!E957</f>
        <v>COMPRAS NA PORTA AVULSO</v>
      </c>
      <c r="C725" s="17" t="n">
        <f aca="false">Report!U957</f>
        <v>735</v>
      </c>
      <c r="D725" s="1" t="str">
        <f aca="false">Report!X957</f>
        <v>RECIBO - COMPRAS HARINA PAN - ALICIA</v>
      </c>
    </row>
    <row r="726" customFormat="false" ht="12.75" hidden="false" customHeight="true" outlineLevel="0" collapsed="false">
      <c r="A726" s="15" t="n">
        <f aca="false">Report!C958</f>
        <v>46246</v>
      </c>
      <c r="B726" s="1" t="str">
        <f aca="false">Report!E958</f>
        <v>COMERCIO DE FRIOS MANAUS LTDA</v>
      </c>
      <c r="C726" s="17" t="n">
        <f aca="false">Report!U958</f>
        <v>1142.4</v>
      </c>
      <c r="D726" s="1" t="str">
        <f aca="false">Report!X958</f>
        <v>NF 174381 1/2 -ALICIA</v>
      </c>
    </row>
    <row r="727" customFormat="false" ht="12.75" hidden="false" customHeight="true" outlineLevel="0" collapsed="false">
      <c r="A727" s="15" t="n">
        <f aca="false">Report!C959</f>
        <v>46247</v>
      </c>
      <c r="B727" s="1" t="str">
        <f aca="false">Report!E959</f>
        <v>OPPORTUNITY ALIMENTOS PARA ANIMAIS LTDA</v>
      </c>
      <c r="C727" s="17" t="n">
        <f aca="false">Report!U959</f>
        <v>925.9</v>
      </c>
      <c r="D727" s="1" t="str">
        <f aca="false">Report!X959</f>
        <v>NF 34468 3/3 - ALICIA</v>
      </c>
    </row>
    <row r="728" customFormat="false" ht="12.75" hidden="false" customHeight="true" outlineLevel="0" collapsed="false">
      <c r="A728" s="15" t="n">
        <f aca="false">Report!C960</f>
        <v>46247</v>
      </c>
      <c r="B728" s="1" t="str">
        <f aca="false">Report!E960</f>
        <v>FH DE OLIVEIRA PEIXOTO - EIRELI</v>
      </c>
      <c r="C728" s="17" t="n">
        <f aca="false">Report!U960</f>
        <v>172.25</v>
      </c>
      <c r="D728" s="1" t="str">
        <f aca="false">Report!X960</f>
        <v>NF193402 1/2 - ALICIA</v>
      </c>
    </row>
    <row r="729" customFormat="false" ht="12.75" hidden="false" customHeight="true" outlineLevel="0" collapsed="false">
      <c r="A729" s="15" t="n">
        <f aca="false">Report!C961</f>
        <v>46247</v>
      </c>
      <c r="B729" s="1" t="str">
        <f aca="false">Report!E961</f>
        <v>H.V.M. XAVIER ALIMENTOS</v>
      </c>
      <c r="C729" s="17" t="n">
        <f aca="false">Report!U961</f>
        <v>243</v>
      </c>
      <c r="D729" s="1" t="str">
        <f aca="false">Report!X961</f>
        <v>NF 135484 1/1 - ALICIA</v>
      </c>
    </row>
    <row r="730" customFormat="false" ht="12.75" hidden="false" customHeight="true" outlineLevel="0" collapsed="false">
      <c r="A730" s="15" t="n">
        <f aca="false">Report!C962</f>
        <v>46247</v>
      </c>
      <c r="B730" s="1" t="str">
        <f aca="false">Report!E962</f>
        <v>MAXFRI DISTRIUIDORA LTDA</v>
      </c>
      <c r="C730" s="17" t="n">
        <f aca="false">Report!U962</f>
        <v>3135.1</v>
      </c>
      <c r="D730" s="1" t="str">
        <f aca="false">Report!X962</f>
        <v>NF 14880 2/2 - ALICIA</v>
      </c>
    </row>
    <row r="731" customFormat="false" ht="12.75" hidden="false" customHeight="true" outlineLevel="0" collapsed="false">
      <c r="A731" s="15" t="n">
        <f aca="false">Report!C963</f>
        <v>46247</v>
      </c>
      <c r="B731" s="1" t="str">
        <f aca="false">Report!E963</f>
        <v>DISTRIBUIDORA FARIAS LTDA.</v>
      </c>
      <c r="C731" s="17" t="n">
        <f aca="false">Report!U963</f>
        <v>1000.47</v>
      </c>
      <c r="D731" s="1" t="str">
        <f aca="false">Report!X963</f>
        <v>NF 685877 1/3 - ALICIA</v>
      </c>
    </row>
    <row r="732" customFormat="false" ht="12.75" hidden="false" customHeight="true" outlineLevel="0" collapsed="false">
      <c r="A732" s="15" t="n">
        <f aca="false">Report!C964</f>
        <v>46247</v>
      </c>
      <c r="B732" s="1" t="str">
        <f aca="false">Report!E964</f>
        <v>MARE DISTRIBUIDORA DE BEBIDAS E DE PRODUTOS ALIMENTICIOS LTDA</v>
      </c>
      <c r="C732" s="17" t="n">
        <f aca="false">Report!U964</f>
        <v>245</v>
      </c>
      <c r="D732" s="1" t="str">
        <f aca="false">Report!X964</f>
        <v>NF 1411864 1/2 - ALICIA</v>
      </c>
    </row>
    <row r="733" customFormat="false" ht="12.75" hidden="false" customHeight="true" outlineLevel="0" collapsed="false">
      <c r="A733" s="15" t="n">
        <f aca="false">Report!C965</f>
        <v>46247</v>
      </c>
      <c r="B733" s="1" t="str">
        <f aca="false">Report!E965</f>
        <v>BROTHERS  INDUSTRIA DE ALIMENTOS LTDA</v>
      </c>
      <c r="C733" s="17" t="n">
        <f aca="false">Report!U965</f>
        <v>648.24</v>
      </c>
      <c r="D733" s="1" t="str">
        <f aca="false">Report!X965</f>
        <v>NF 1035517 1/1- ALICIA</v>
      </c>
    </row>
    <row r="734" customFormat="false" ht="12.75" hidden="false" customHeight="true" outlineLevel="0" collapsed="false">
      <c r="A734" s="15" t="n">
        <f aca="false">Report!C966</f>
        <v>46247</v>
      </c>
      <c r="B734" s="1" t="str">
        <f aca="false">Report!E966</f>
        <v>FENNIX BRASIL DISTRIBUIDORA DE PRODUTOS</v>
      </c>
      <c r="C734" s="17" t="n">
        <f aca="false">Report!U966</f>
        <v>610.14</v>
      </c>
      <c r="D734" s="1" t="str">
        <f aca="false">Report!X966</f>
        <v>NF 397888 1/3 - ALICIA</v>
      </c>
    </row>
    <row r="735" customFormat="false" ht="12.75" hidden="false" customHeight="true" outlineLevel="0" collapsed="false">
      <c r="A735" s="15" t="n">
        <f aca="false">Report!C967</f>
        <v>46247</v>
      </c>
      <c r="B735" s="1" t="str">
        <f aca="false">Report!E967</f>
        <v>ELZILENE DA SILVA</v>
      </c>
      <c r="C735" s="17" t="n">
        <f aca="false">Report!U967</f>
        <v>940</v>
      </c>
      <c r="D735" s="1" t="str">
        <f aca="false">Report!X967</f>
        <v>NF 2676 1/1 - ALICIA</v>
      </c>
    </row>
    <row r="736" customFormat="false" ht="12.75" hidden="false" customHeight="true" outlineLevel="0" collapsed="false">
      <c r="A736" s="15" t="n">
        <f aca="false">Report!C969</f>
        <v>46248</v>
      </c>
      <c r="B736" s="1" t="str">
        <f aca="false">Report!E969</f>
        <v>L S M COMERCIO DE ALIMENTOS E NAVEGACAO</v>
      </c>
      <c r="C736" s="17" t="n">
        <f aca="false">Report!U969</f>
        <v>894.33</v>
      </c>
      <c r="D736" s="1" t="str">
        <f aca="false">Report!X969</f>
        <v>NF 308737 2/3 - ALICIA</v>
      </c>
    </row>
    <row r="737" customFormat="false" ht="12.75" hidden="false" customHeight="true" outlineLevel="0" collapsed="false">
      <c r="A737" s="15" t="n">
        <f aca="false">Report!C970</f>
        <v>46248</v>
      </c>
      <c r="B737" s="1" t="str">
        <f aca="false">Report!E970</f>
        <v>L S M COMERCIO DE ALIMENTOS E NAVEGACAO</v>
      </c>
      <c r="C737" s="17" t="n">
        <f aca="false">Report!U970</f>
        <v>983.7</v>
      </c>
      <c r="D737" s="1" t="str">
        <f aca="false">Report!X970</f>
        <v>NF 309542 1/3 - ALICIA</v>
      </c>
    </row>
    <row r="738" customFormat="false" ht="12.75" hidden="false" customHeight="true" outlineLevel="0" collapsed="false">
      <c r="A738" s="15" t="n">
        <f aca="false">Report!C971</f>
        <v>46248</v>
      </c>
      <c r="B738" s="1" t="str">
        <f aca="false">Report!E971</f>
        <v>PIARARA COMERCIO, IMPORTACAO E EXPORTACAO LTDA</v>
      </c>
      <c r="C738" s="17" t="n">
        <f aca="false">Report!U971</f>
        <v>1191.82</v>
      </c>
      <c r="D738" s="1" t="str">
        <f aca="false">Report!X971</f>
        <v>NF 195089 1/3 - ALICIA</v>
      </c>
    </row>
    <row r="739" customFormat="false" ht="12.75" hidden="false" customHeight="true" outlineLevel="0" collapsed="false">
      <c r="A739" s="15" t="n">
        <f aca="false">Report!C972</f>
        <v>46248</v>
      </c>
      <c r="B739" s="1" t="str">
        <f aca="false">Report!E972</f>
        <v>GONCALES COMER DE HORT GRANJEIROS EIRELI</v>
      </c>
      <c r="C739" s="17" t="n">
        <f aca="false">Report!U972</f>
        <v>105</v>
      </c>
      <c r="D739" s="1" t="str">
        <f aca="false">Report!X972</f>
        <v>NF 2604 1/1 - ALICIA</v>
      </c>
    </row>
    <row r="740" customFormat="false" ht="12.75" hidden="false" customHeight="true" outlineLevel="0" collapsed="false">
      <c r="A740" s="15" t="n">
        <f aca="false">Report!C973</f>
        <v>46248</v>
      </c>
      <c r="B740" s="1" t="str">
        <f aca="false">Report!E973</f>
        <v>VICTORIA COMERCIO INTERNACIONAL DE ALIME</v>
      </c>
      <c r="C740" s="17" t="n">
        <f aca="false">Report!U973</f>
        <v>481.15</v>
      </c>
      <c r="D740" s="1" t="str">
        <f aca="false">Report!X973</f>
        <v>NF 12548 1/3 -ALICIA</v>
      </c>
    </row>
    <row r="741" customFormat="false" ht="12.75" hidden="false" customHeight="true" outlineLevel="0" collapsed="false">
      <c r="A741" s="15" t="n">
        <f aca="false">Report!C974</f>
        <v>46248</v>
      </c>
      <c r="B741" s="1" t="str">
        <f aca="false">Report!E974</f>
        <v>ELFORT FRUIT COMERCIO DE PRODUTOS ALIME</v>
      </c>
      <c r="C741" s="17" t="n">
        <f aca="false">Report!U974</f>
        <v>835.37</v>
      </c>
      <c r="D741" s="1" t="str">
        <f aca="false">Report!X974</f>
        <v>NF 27976 2/2 - ALICIA</v>
      </c>
    </row>
    <row r="742" customFormat="false" ht="12.75" hidden="false" customHeight="true" outlineLevel="0" collapsed="false">
      <c r="A742" s="15" t="n">
        <f aca="false">Report!C975</f>
        <v>46248</v>
      </c>
      <c r="B742" s="1" t="str">
        <f aca="false">Report!E975</f>
        <v>DISTRIBUIDORA LOPES LTDA</v>
      </c>
      <c r="C742" s="17" t="n">
        <f aca="false">Report!U975</f>
        <v>362.69</v>
      </c>
      <c r="D742" s="1" t="str">
        <f aca="false">Report!X975</f>
        <v>NF 1703152 1/3 - ALICIA</v>
      </c>
    </row>
    <row r="743" customFormat="false" ht="12.75" hidden="false" customHeight="true" outlineLevel="0" collapsed="false">
      <c r="A743" s="15" t="n">
        <f aca="false">Report!C976</f>
        <v>46248</v>
      </c>
      <c r="B743" s="1" t="str">
        <f aca="false">Report!E976</f>
        <v>CINTIA MACIEL PEREIRA SANTOS 95986138287</v>
      </c>
      <c r="C743" s="17" t="n">
        <f aca="false">Report!U976</f>
        <v>700.4</v>
      </c>
      <c r="D743" s="1" t="str">
        <f aca="false">Report!X976</f>
        <v>NF 1420 1/1 - ALICIA</v>
      </c>
    </row>
    <row r="744" customFormat="false" ht="12.75" hidden="false" customHeight="true" outlineLevel="0" collapsed="false">
      <c r="A744" s="15" t="n">
        <f aca="false">Report!C977</f>
        <v>46248</v>
      </c>
      <c r="B744" s="1" t="str">
        <f aca="false">Report!E977</f>
        <v>OLIVEIRA E SILVA LTDA</v>
      </c>
      <c r="C744" s="17" t="n">
        <f aca="false">Report!U977</f>
        <v>300</v>
      </c>
      <c r="D744" s="1" t="str">
        <f aca="false">Report!X977</f>
        <v>COMPRAS ACAI DE ANORI , PIX:92991892419 - NAILSON GARCES</v>
      </c>
    </row>
    <row r="745" customFormat="false" ht="12.75" hidden="false" customHeight="true" outlineLevel="0" collapsed="false">
      <c r="A745" s="15" t="n">
        <f aca="false">Report!C978</f>
        <v>46248</v>
      </c>
      <c r="B745" s="1" t="str">
        <f aca="false">Report!E978</f>
        <v>COMERCIO DE FRIOS MANAUS LTDA</v>
      </c>
      <c r="C745" s="17" t="n">
        <f aca="false">Report!U978</f>
        <v>1847.6</v>
      </c>
      <c r="D745" s="1" t="str">
        <f aca="false">Report!X978</f>
        <v>NF 174518 1/2 - ALICIA</v>
      </c>
    </row>
    <row r="746" customFormat="false" ht="12.75" hidden="false" customHeight="true" outlineLevel="0" collapsed="false">
      <c r="A746" s="15" t="n">
        <f aca="false">Report!C980</f>
        <v>46249</v>
      </c>
      <c r="B746" s="1" t="str">
        <f aca="false">Report!E980</f>
        <v>DISTRIBUIDORA LOPES LTDA</v>
      </c>
      <c r="C746" s="17" t="n">
        <f aca="false">Report!U980</f>
        <v>832.25</v>
      </c>
      <c r="D746" s="1" t="str">
        <f aca="false">Report!X980</f>
        <v>NF 1699133 2/3 - ALICIA</v>
      </c>
    </row>
    <row r="747" customFormat="false" ht="12.75" hidden="false" customHeight="true" outlineLevel="0" collapsed="false">
      <c r="A747" s="15" t="n">
        <f aca="false">Report!C981</f>
        <v>46249</v>
      </c>
      <c r="B747" s="1" t="str">
        <f aca="false">Report!E981</f>
        <v>BRAGA DIST. E COM. DE PROD. ALIMENT</v>
      </c>
      <c r="C747" s="17" t="n">
        <f aca="false">Report!U981</f>
        <v>1086.18</v>
      </c>
      <c r="D747" s="1" t="str">
        <f aca="false">Report!X981</f>
        <v>NF 19453 3/3 - ALICIA</v>
      </c>
    </row>
    <row r="748" customFormat="false" ht="12.75" hidden="false" customHeight="true" outlineLevel="0" collapsed="false">
      <c r="A748" s="15" t="n">
        <f aca="false">Report!C983</f>
        <v>46249</v>
      </c>
      <c r="B748" s="1" t="str">
        <f aca="false">Report!E983</f>
        <v>MAXFRI DISTRIUIDORA LTDA</v>
      </c>
      <c r="C748" s="17" t="n">
        <f aca="false">Report!U983</f>
        <v>3573.2</v>
      </c>
      <c r="D748" s="1" t="str">
        <f aca="false">Report!X983</f>
        <v>NF 14912 2/2 - ALICIA</v>
      </c>
    </row>
    <row r="749" customFormat="false" ht="12.75" hidden="false" customHeight="true" outlineLevel="0" collapsed="false">
      <c r="A749" s="15" t="n">
        <f aca="false">Report!C984</f>
        <v>46249</v>
      </c>
      <c r="B749" s="1" t="str">
        <f aca="false">Report!E984</f>
        <v>MARE DISTRIBUIDORA DE BEBIDAS E DE PRODUTOS ALIMENTICIOS LTDA</v>
      </c>
      <c r="C749" s="17" t="n">
        <f aca="false">Report!U984</f>
        <v>725.05</v>
      </c>
      <c r="D749" s="1" t="str">
        <f aca="false">Report!X984</f>
        <v>NF 1413401 1/2 - ALICIA</v>
      </c>
    </row>
    <row r="750" customFormat="false" ht="12.75" hidden="false" customHeight="true" outlineLevel="0" collapsed="false">
      <c r="A750" s="15" t="n">
        <f aca="false">Report!C985</f>
        <v>46251</v>
      </c>
      <c r="B750" s="1" t="str">
        <f aca="false">Report!E985</f>
        <v>ELFORT FRUIT COMERCIO DE PRODUTOS ALIME</v>
      </c>
      <c r="C750" s="17" t="n">
        <f aca="false">Report!U985</f>
        <v>587.62</v>
      </c>
      <c r="D750" s="1" t="str">
        <f aca="false">Report!X985</f>
        <v>NF 27252 2/2 - ALICIA </v>
      </c>
    </row>
    <row r="751" customFormat="false" ht="12.75" hidden="false" customHeight="true" outlineLevel="0" collapsed="false">
      <c r="A751" s="15" t="n">
        <f aca="false">Report!C986</f>
        <v>46251</v>
      </c>
      <c r="B751" s="1" t="str">
        <f aca="false">Report!E986</f>
        <v>FORTVET DISTRIBUIDORA LTDA</v>
      </c>
      <c r="C751" s="17" t="n">
        <f aca="false">Report!U986</f>
        <v>565.04</v>
      </c>
      <c r="D751" s="1" t="str">
        <f aca="false">Report!X986</f>
        <v>NF 2751 3/4 - ALICIA </v>
      </c>
    </row>
    <row r="752" customFormat="false" ht="12.75" hidden="false" customHeight="true" outlineLevel="0" collapsed="false">
      <c r="A752" s="15" t="n">
        <f aca="false">Report!C989</f>
        <v>46251</v>
      </c>
      <c r="B752" s="1" t="str">
        <f aca="false">Report!E989</f>
        <v>J G COMERCIO DE PRODUTOS ALIMENTICIOS LTDA</v>
      </c>
      <c r="C752" s="17" t="n">
        <f aca="false">Report!U989</f>
        <v>2067.28</v>
      </c>
      <c r="D752" s="1" t="str">
        <f aca="false">Report!X989</f>
        <v>NF 393808 3/3 - ALICIA</v>
      </c>
    </row>
    <row r="753" customFormat="false" ht="12.75" hidden="false" customHeight="true" outlineLevel="0" collapsed="false">
      <c r="A753" s="15" t="n">
        <f aca="false">Report!C990</f>
        <v>46251</v>
      </c>
      <c r="B753" s="1" t="str">
        <f aca="false">Report!E990</f>
        <v>DISTRIBUIDORA LOPES LTDA</v>
      </c>
      <c r="C753" s="17" t="n">
        <f aca="false">Report!U990</f>
        <v>418.68</v>
      </c>
      <c r="D753" s="1" t="str">
        <f aca="false">Report!X990</f>
        <v>NF 1699885 2/3 - ALICIA</v>
      </c>
    </row>
    <row r="754" customFormat="false" ht="12.75" hidden="false" customHeight="true" outlineLevel="0" collapsed="false">
      <c r="A754" s="15" t="n">
        <f aca="false">Report!C991</f>
        <v>46251</v>
      </c>
      <c r="B754" s="1" t="str">
        <f aca="false">Report!E991</f>
        <v>DINÂMICA SOLUÇÕES EM SUPRIMENTOS E GESTÃ</v>
      </c>
      <c r="C754" s="17" t="n">
        <f aca="false">Report!U991</f>
        <v>746.68</v>
      </c>
      <c r="D754" s="1" t="str">
        <f aca="false">Report!X991</f>
        <v>NF 4 3/3 - ALICIA</v>
      </c>
    </row>
    <row r="755" customFormat="false" ht="12.75" hidden="false" customHeight="true" outlineLevel="0" collapsed="false">
      <c r="A755" s="15" t="n">
        <f aca="false">Report!C993</f>
        <v>46251</v>
      </c>
      <c r="B755" s="1" t="str">
        <f aca="false">Report!E993</f>
        <v>DISTRIBUIDORA LOPES LTDA</v>
      </c>
      <c r="C755" s="17" t="n">
        <f aca="false">Report!U993</f>
        <v>903.47</v>
      </c>
      <c r="D755" s="1" t="str">
        <f aca="false">Report!X993</f>
        <v>NF 1699593 2/3 - ALICIA</v>
      </c>
    </row>
    <row r="756" customFormat="false" ht="12.75" hidden="false" customHeight="true" outlineLevel="0" collapsed="false">
      <c r="A756" s="15" t="n">
        <f aca="false">Report!C994</f>
        <v>46251</v>
      </c>
      <c r="B756" s="1" t="str">
        <f aca="false">Report!E994</f>
        <v>MARE DISTRIBUIDORA DE BEBIDAS E DE PRODUTOS ALIMENTICIOS LTDA</v>
      </c>
      <c r="C756" s="17" t="n">
        <f aca="false">Report!U994</f>
        <v>537.5</v>
      </c>
      <c r="D756" s="1" t="str">
        <f aca="false">Report!X994</f>
        <v>NF 1407139 1/1 - ALICIA</v>
      </c>
    </row>
    <row r="757" customFormat="false" ht="12.75" hidden="false" customHeight="true" outlineLevel="0" collapsed="false">
      <c r="A757" s="15" t="n">
        <f aca="false">Report!C995</f>
        <v>46251</v>
      </c>
      <c r="B757" s="1" t="str">
        <f aca="false">Report!E995</f>
        <v>NESTLÉ BRASIL LTDA.</v>
      </c>
      <c r="C757" s="17" t="n">
        <f aca="false">Report!U995</f>
        <v>742.93</v>
      </c>
      <c r="D757" s="1" t="str">
        <f aca="false">Report!X995</f>
        <v>NF 1431918 1/1- ALICIA</v>
      </c>
    </row>
    <row r="758" customFormat="false" ht="12.75" hidden="false" customHeight="true" outlineLevel="0" collapsed="false">
      <c r="A758" s="15" t="n">
        <f aca="false">Report!C996</f>
        <v>46251</v>
      </c>
      <c r="B758" s="1" t="str">
        <f aca="false">Report!E996</f>
        <v>NESTLÉ BRASIL LTDA.</v>
      </c>
      <c r="C758" s="17" t="n">
        <f aca="false">Report!U996</f>
        <v>1015.17</v>
      </c>
      <c r="D758" s="1" t="str">
        <f aca="false">Report!X996</f>
        <v>NF 1432680 1/1 - ALICIA</v>
      </c>
    </row>
    <row r="759" customFormat="false" ht="12.75" hidden="false" customHeight="true" outlineLevel="0" collapsed="false">
      <c r="A759" s="15" t="n">
        <f aca="false">Report!C997</f>
        <v>46251</v>
      </c>
      <c r="B759" s="1" t="str">
        <f aca="false">Report!E997</f>
        <v>COMERCIO DE FRIOS MANAUS LTDA</v>
      </c>
      <c r="C759" s="17" t="n">
        <f aca="false">Report!U997</f>
        <v>3287</v>
      </c>
      <c r="D759" s="1" t="str">
        <f aca="false">Report!X997</f>
        <v>NF174238 1/1 - ALICIA</v>
      </c>
    </row>
    <row r="760" customFormat="false" ht="12.75" hidden="false" customHeight="true" outlineLevel="0" collapsed="false">
      <c r="A760" s="15" t="n">
        <f aca="false">Report!C999</f>
        <v>46251</v>
      </c>
      <c r="B760" s="1" t="str">
        <f aca="false">Report!E999</f>
        <v>SOUZA CRUZ LTDA.</v>
      </c>
      <c r="C760" s="17" t="n">
        <f aca="false">Report!U999</f>
        <v>2964.56</v>
      </c>
      <c r="D760" s="1" t="str">
        <f aca="false">Report!X999</f>
        <v>NF 568665 2/2 - ALICIA</v>
      </c>
    </row>
    <row r="761" customFormat="false" ht="12.75" hidden="false" customHeight="true" outlineLevel="0" collapsed="false">
      <c r="A761" s="15" t="n">
        <f aca="false">Report!C1000</f>
        <v>46251</v>
      </c>
      <c r="B761" s="1" t="str">
        <f aca="false">Report!E1000</f>
        <v>DISTRIBUIDORA LOPES LTDA</v>
      </c>
      <c r="C761" s="17" t="n">
        <f aca="false">Report!U1000</f>
        <v>166.32</v>
      </c>
      <c r="D761" s="1" t="str">
        <f aca="false">Report!X1000</f>
        <v>NF 1704243 1/1 - ALICIA</v>
      </c>
    </row>
    <row r="762" customFormat="false" ht="12.75" hidden="false" customHeight="true" outlineLevel="0" collapsed="false">
      <c r="A762" s="15" t="n">
        <f aca="false">Report!C1001</f>
        <v>46251</v>
      </c>
      <c r="B762" s="1" t="str">
        <f aca="false">Report!E1001</f>
        <v>DUNORTE DISTRIBUIDORA DE PRODUTOS DE CONSUMO LTDA</v>
      </c>
      <c r="C762" s="17" t="n">
        <f aca="false">Report!U1001</f>
        <v>947.74</v>
      </c>
      <c r="D762" s="1" t="str">
        <f aca="false">Report!X1001</f>
        <v>NF 3229254 1/4 - ALICIA</v>
      </c>
    </row>
    <row r="763" customFormat="false" ht="12.75" hidden="false" customHeight="true" outlineLevel="0" collapsed="false">
      <c r="A763" s="15" t="n">
        <f aca="false">Report!C1002</f>
        <v>46251</v>
      </c>
      <c r="B763" s="1" t="str">
        <f aca="false">Report!E1002</f>
        <v>GILBERTO SILVA NASCIMENTO</v>
      </c>
      <c r="C763" s="17" t="n">
        <f aca="false">Report!U1002</f>
        <v>538.21</v>
      </c>
      <c r="D763" s="1" t="str">
        <f aca="false">Report!X1002</f>
        <v>NF 846 1/4 - ALICIA</v>
      </c>
    </row>
    <row r="764" customFormat="false" ht="12.75" hidden="false" customHeight="true" outlineLevel="0" collapsed="false">
      <c r="A764" s="15" t="n">
        <f aca="false">Report!C1003</f>
        <v>46251</v>
      </c>
      <c r="B764" s="1" t="str">
        <f aca="false">Report!E1003</f>
        <v>BRF S A</v>
      </c>
      <c r="C764" s="17" t="n">
        <f aca="false">Report!U1003</f>
        <v>1173.52</v>
      </c>
      <c r="D764" s="1" t="str">
        <f aca="false">Report!X1003</f>
        <v>NF 1615570 2/3 - ALICIA</v>
      </c>
    </row>
    <row r="765" customFormat="false" ht="12.75" hidden="false" customHeight="true" outlineLevel="0" collapsed="false">
      <c r="A765" s="15" t="n">
        <f aca="false">Report!C1007</f>
        <v>46252</v>
      </c>
      <c r="B765" s="1" t="str">
        <f aca="false">Report!E1007</f>
        <v>BF COMERCIO DE ALIMENTOS REPRESENTACAO L</v>
      </c>
      <c r="C765" s="17" t="n">
        <f aca="false">Report!U1007</f>
        <v>360.16</v>
      </c>
      <c r="D765" s="1" t="str">
        <f aca="false">Report!X1007</f>
        <v>NF 21113 3/3 - ALICIA</v>
      </c>
    </row>
    <row r="766" customFormat="false" ht="12.75" hidden="false" customHeight="true" outlineLevel="0" collapsed="false">
      <c r="A766" s="15" t="n">
        <f aca="false">Report!C1008</f>
        <v>46252</v>
      </c>
      <c r="B766" s="1" t="str">
        <f aca="false">Report!E1008</f>
        <v>DUNORTE DISTRIBUIDORA DE PRODUTOS DE CONSUMO LTDA</v>
      </c>
      <c r="C766" s="17" t="n">
        <f aca="false">Report!U1008</f>
        <v>289.19</v>
      </c>
      <c r="D766" s="1" t="str">
        <f aca="false">Report!X1008</f>
        <v>NF 3223572 3/3 - ALICIA</v>
      </c>
    </row>
    <row r="767" customFormat="false" ht="12.75" hidden="false" customHeight="true" outlineLevel="0" collapsed="false">
      <c r="A767" s="15" t="n">
        <f aca="false">Report!C1009</f>
        <v>46252</v>
      </c>
      <c r="B767" s="1" t="str">
        <f aca="false">Report!E1009</f>
        <v>OCIDENTAL COMERCIO DE FRIOS LTDA</v>
      </c>
      <c r="C767" s="17" t="n">
        <f aca="false">Report!U1009</f>
        <v>676.45</v>
      </c>
      <c r="D767" s="1" t="str">
        <f aca="false">Report!X1009</f>
        <v>NF 1252244 2/3 - ALICIA</v>
      </c>
    </row>
    <row r="768" customFormat="false" ht="12.75" hidden="false" customHeight="true" outlineLevel="0" collapsed="false">
      <c r="A768" s="15" t="n">
        <f aca="false">Report!C1010</f>
        <v>46252</v>
      </c>
      <c r="B768" s="1" t="str">
        <f aca="false">Report!E1010</f>
        <v>ORIENTE COM. ATACADISTA E REPRES. LTDA</v>
      </c>
      <c r="C768" s="17" t="n">
        <f aca="false">Report!U1010</f>
        <v>1399.08</v>
      </c>
      <c r="D768" s="1" t="str">
        <f aca="false">Report!X1010</f>
        <v>NF 2956 3/3 - ALICIA</v>
      </c>
    </row>
    <row r="769" customFormat="false" ht="12.75" hidden="false" customHeight="true" outlineLevel="0" collapsed="false">
      <c r="A769" s="15" t="n">
        <f aca="false">Report!C1011</f>
        <v>46252</v>
      </c>
      <c r="B769" s="1" t="str">
        <f aca="false">Report!E1011</f>
        <v>BRF S A</v>
      </c>
      <c r="C769" s="17" t="n">
        <f aca="false">Report!U1011</f>
        <v>1468.46</v>
      </c>
      <c r="D769" s="1" t="str">
        <f aca="false">Report!X1011</f>
        <v>NF 1613517 3/3 - ALICIA</v>
      </c>
    </row>
    <row r="770" customFormat="false" ht="12.75" hidden="false" customHeight="true" outlineLevel="0" collapsed="false">
      <c r="A770" s="15" t="n">
        <f aca="false">Report!C1012</f>
        <v>46252</v>
      </c>
      <c r="B770" s="1" t="str">
        <f aca="false">Report!E1012</f>
        <v>COMERCIAL DE ESTIVAS REGO LTDA</v>
      </c>
      <c r="C770" s="17" t="n">
        <f aca="false">Report!U1012</f>
        <v>358.73</v>
      </c>
      <c r="D770" s="1" t="str">
        <f aca="false">Report!X1012</f>
        <v>NF 224551 1/3 - ALICIA</v>
      </c>
    </row>
    <row r="771" customFormat="false" ht="12.75" hidden="false" customHeight="true" outlineLevel="0" collapsed="false">
      <c r="A771" s="15" t="n">
        <f aca="false">Report!C1013</f>
        <v>46252</v>
      </c>
      <c r="B771" s="1" t="str">
        <f aca="false">Report!E1013</f>
        <v>ADRIANA G MACIEL COMERCIO</v>
      </c>
      <c r="C771" s="17" t="n">
        <f aca="false">Report!U1013</f>
        <v>768</v>
      </c>
      <c r="D771" s="1" t="str">
        <f aca="false">Report!X1013</f>
        <v>NF 393 1/2 - ALICIA</v>
      </c>
    </row>
    <row r="772" customFormat="false" ht="12.75" hidden="false" customHeight="true" outlineLevel="0" collapsed="false">
      <c r="A772" s="15" t="n">
        <f aca="false">Report!C1014</f>
        <v>46252</v>
      </c>
      <c r="B772" s="1" t="str">
        <f aca="false">Report!E1014</f>
        <v>RCL COMERCIO DE PRODUTOS ALIMENTICIOS LT</v>
      </c>
      <c r="C772" s="17" t="n">
        <f aca="false">Report!U1014</f>
        <v>686.64</v>
      </c>
      <c r="D772" s="1" t="str">
        <f aca="false">Report!X1014</f>
        <v>NF 221498 1/1 - ALICIA</v>
      </c>
    </row>
    <row r="773" customFormat="false" ht="12.75" hidden="false" customHeight="true" outlineLevel="0" collapsed="false">
      <c r="A773" s="15" t="n">
        <f aca="false">Report!C1015</f>
        <v>46252</v>
      </c>
      <c r="B773" s="1" t="str">
        <f aca="false">Report!E1015</f>
        <v>COMERCIO DE FRIOS MANAUS LTDA</v>
      </c>
      <c r="C773" s="17" t="n">
        <f aca="false">Report!U1015</f>
        <v>3624</v>
      </c>
      <c r="D773" s="1" t="str">
        <f aca="false">Report!X1015</f>
        <v>NF 174334 1/1 - ALICIA</v>
      </c>
    </row>
    <row r="774" customFormat="false" ht="12.75" hidden="false" customHeight="true" outlineLevel="0" collapsed="false">
      <c r="A774" s="15" t="n">
        <f aca="false">Report!C1016</f>
        <v>46252</v>
      </c>
      <c r="B774" s="1" t="str">
        <f aca="false">Report!E1016</f>
        <v>TRES CORACOES ALIMENTOS S.A.</v>
      </c>
      <c r="C774" s="17" t="n">
        <f aca="false">Report!U1016</f>
        <v>590.43</v>
      </c>
      <c r="D774" s="1" t="str">
        <f aca="false">Report!X1016</f>
        <v>NF 356005 1/3 - ALICIA</v>
      </c>
    </row>
    <row r="775" customFormat="false" ht="12.75" hidden="false" customHeight="true" outlineLevel="0" collapsed="false">
      <c r="A775" s="15" t="n">
        <f aca="false">Report!C1017</f>
        <v>46252</v>
      </c>
      <c r="B775" s="1" t="str">
        <f aca="false">Report!E1017</f>
        <v>NATUREZA COMERCIO DE DESCARTAVEIS LTDA</v>
      </c>
      <c r="C775" s="17" t="n">
        <f aca="false">Report!U1017</f>
        <v>1242.27</v>
      </c>
      <c r="D775" s="1" t="str">
        <f aca="false">Report!X1017</f>
        <v>NF 7455920 1/3 - ALICIA</v>
      </c>
    </row>
    <row r="776" customFormat="false" ht="12.75" hidden="false" customHeight="true" outlineLevel="0" collapsed="false">
      <c r="A776" s="15" t="n">
        <f aca="false">Report!C1018</f>
        <v>46252</v>
      </c>
      <c r="B776" s="1" t="str">
        <f aca="false">Report!E1018</f>
        <v>TOYA INDUSTRIA E COMERCIO LTDA.</v>
      </c>
      <c r="C776" s="17" t="n">
        <f aca="false">Report!U1018</f>
        <v>496</v>
      </c>
      <c r="D776" s="1" t="str">
        <f aca="false">Report!X1018</f>
        <v>NF 257004 1/2 - ALICIA</v>
      </c>
    </row>
    <row r="777" customFormat="false" ht="12.75" hidden="false" customHeight="true" outlineLevel="0" collapsed="false">
      <c r="A777" s="15" t="n">
        <f aca="false">Report!C1019</f>
        <v>46253</v>
      </c>
      <c r="B777" s="1" t="str">
        <f aca="false">Report!E1019</f>
        <v>OCIDENTAL COMERCIO DE FRIOS LTDA</v>
      </c>
      <c r="C777" s="17" t="n">
        <f aca="false">Report!U1019</f>
        <v>867.31</v>
      </c>
      <c r="D777" s="1" t="str">
        <f aca="false">Report!X1019</f>
        <v>NF 1250418 3/3 - ALICIA</v>
      </c>
    </row>
    <row r="778" customFormat="false" ht="12.75" hidden="false" customHeight="true" outlineLevel="0" collapsed="false">
      <c r="A778" s="15" t="n">
        <f aca="false">Report!C1020</f>
        <v>46253</v>
      </c>
      <c r="B778" s="1" t="str">
        <f aca="false">Report!E1020</f>
        <v>BRAGA TABACARIA EIRELI ME</v>
      </c>
      <c r="C778" s="17" t="n">
        <f aca="false">Report!U1020</f>
        <v>978.59</v>
      </c>
      <c r="D778" s="1" t="str">
        <f aca="false">Report!X1020</f>
        <v>NF 19509 3/3 - ALICIA</v>
      </c>
    </row>
    <row r="779" customFormat="false" ht="12.75" hidden="false" customHeight="true" outlineLevel="0" collapsed="false">
      <c r="A779" s="15" t="n">
        <f aca="false">Report!C1021</f>
        <v>46253</v>
      </c>
      <c r="B779" s="1" t="str">
        <f aca="false">Report!E1021</f>
        <v>BRAGA TABACARIA EIRELI ME</v>
      </c>
      <c r="C779" s="17" t="n">
        <f aca="false">Report!U1021</f>
        <v>512.4</v>
      </c>
      <c r="D779" s="1" t="str">
        <f aca="false">Report!X1021</f>
        <v>RECIBO - 3/3 COMPRAS CIGARROS - ALICIA</v>
      </c>
    </row>
    <row r="780" customFormat="false" ht="12.75" hidden="false" customHeight="true" outlineLevel="0" collapsed="false">
      <c r="A780" s="15" t="n">
        <f aca="false">Report!C1023</f>
        <v>46253</v>
      </c>
      <c r="B780" s="1" t="str">
        <f aca="false">Report!E1023</f>
        <v>SUPER CANCUN COMERCIO DE PRODUTOS ALIMEN</v>
      </c>
      <c r="C780" s="17" t="n">
        <f aca="false">Report!U1023</f>
        <v>260.46</v>
      </c>
      <c r="D780" s="1" t="str">
        <f aca="false">Report!X1023</f>
        <v>NF 264696 1/3 - ALICIA</v>
      </c>
    </row>
    <row r="781" customFormat="false" ht="12.75" hidden="false" customHeight="true" outlineLevel="0" collapsed="false">
      <c r="A781" s="15" t="n">
        <f aca="false">Report!C1024</f>
        <v>46253</v>
      </c>
      <c r="B781" s="1" t="str">
        <f aca="false">Report!E1024</f>
        <v>REAL BEBIDAS DA AMAZONIA LTDA</v>
      </c>
      <c r="C781" s="17" t="n">
        <f aca="false">Report!U1024</f>
        <v>105</v>
      </c>
      <c r="D781" s="1" t="str">
        <f aca="false">Report!X1024</f>
        <v>NF 615608 2/2 - ALICIA</v>
      </c>
    </row>
    <row r="782" customFormat="false" ht="12.75" hidden="false" customHeight="true" outlineLevel="0" collapsed="false">
      <c r="A782" s="15" t="n">
        <f aca="false">Report!C1025</f>
        <v>46253</v>
      </c>
      <c r="B782" s="1" t="str">
        <f aca="false">Report!E1025</f>
        <v>DISTRIBUIDORA LOPES LTDA</v>
      </c>
      <c r="C782" s="17" t="n">
        <f aca="false">Report!U1025</f>
        <v>166.32</v>
      </c>
      <c r="D782" s="1" t="str">
        <f aca="false">Report!X1025</f>
        <v>NF 1704242 1/1 - ALICIA</v>
      </c>
    </row>
    <row r="783" customFormat="false" ht="12.75" hidden="false" customHeight="true" outlineLevel="0" collapsed="false">
      <c r="A783" s="15" t="n">
        <f aca="false">Report!C1026</f>
        <v>46253</v>
      </c>
      <c r="B783" s="1" t="str">
        <f aca="false">Report!E1026</f>
        <v>OCIDENTAL COMERCIO DE FRIOS LTDA</v>
      </c>
      <c r="C783" s="17" t="n">
        <f aca="false">Report!U1026</f>
        <v>445.69</v>
      </c>
      <c r="D783" s="1" t="str">
        <f aca="false">Report!X1026</f>
        <v>NF 1255607 1/1 - ALICIA</v>
      </c>
    </row>
    <row r="784" customFormat="false" ht="12.75" hidden="false" customHeight="true" outlineLevel="0" collapsed="false">
      <c r="A784" s="15" t="n">
        <f aca="false">Report!C1027</f>
        <v>46253</v>
      </c>
      <c r="B784" s="1" t="str">
        <f aca="false">Report!E1027</f>
        <v>OCIDENTAL COMERCIO DE FRIOS LTDA</v>
      </c>
      <c r="C784" s="17" t="n">
        <f aca="false">Report!U1027</f>
        <v>771.86</v>
      </c>
      <c r="D784" s="1" t="str">
        <f aca="false">Report!X1027</f>
        <v>NF 12556061 1/3 - ALICIA</v>
      </c>
    </row>
    <row r="785" customFormat="false" ht="12.75" hidden="false" customHeight="true" outlineLevel="0" collapsed="false">
      <c r="A785" s="15" t="n">
        <f aca="false">Report!C1028</f>
        <v>46253</v>
      </c>
      <c r="B785" s="1" t="str">
        <f aca="false">Report!E1028</f>
        <v>COMERCIO DE FRIOS MANAUS LTDA</v>
      </c>
      <c r="C785" s="17" t="n">
        <f aca="false">Report!U1028</f>
        <v>1142.4</v>
      </c>
      <c r="D785" s="1" t="str">
        <f aca="false">Report!X1028</f>
        <v>NF 174381 2/2 -ALICIA</v>
      </c>
    </row>
    <row r="786" customFormat="false" ht="12.75" hidden="false" customHeight="true" outlineLevel="0" collapsed="false">
      <c r="A786" s="15" t="n">
        <f aca="false">Report!C1033</f>
        <v>46254</v>
      </c>
      <c r="B786" s="1" t="str">
        <f aca="false">Report!E1033</f>
        <v>DISTRIBUIDORA FARIAS LTDA.</v>
      </c>
      <c r="C786" s="17" t="n">
        <f aca="false">Report!U1033</f>
        <v>1000.47</v>
      </c>
      <c r="D786" s="1" t="str">
        <f aca="false">Report!X1033</f>
        <v>NF 685877 2/3 - ALICIA</v>
      </c>
    </row>
    <row r="787" customFormat="false" ht="12.75" hidden="false" customHeight="true" outlineLevel="0" collapsed="false">
      <c r="A787" s="15" t="n">
        <f aca="false">Report!C1034</f>
        <v>46254</v>
      </c>
      <c r="B787" s="1" t="str">
        <f aca="false">Report!E1034</f>
        <v>NESTLÉ BRASIL LTDA.</v>
      </c>
      <c r="C787" s="17" t="n">
        <f aca="false">Report!U1034</f>
        <v>228.24</v>
      </c>
      <c r="D787" s="1" t="str">
        <f aca="false">Report!X1034</f>
        <v>NF 1434035 1/1 - ALICIA</v>
      </c>
    </row>
    <row r="788" customFormat="false" ht="12.75" hidden="false" customHeight="true" outlineLevel="0" collapsed="false">
      <c r="A788" s="15" t="n">
        <f aca="false">Report!C1035</f>
        <v>46254</v>
      </c>
      <c r="B788" s="1" t="str">
        <f aca="false">Report!E1035</f>
        <v>EMPRESA BRASILEIRA DE DISTRIBUICAO LTDA</v>
      </c>
      <c r="C788" s="17" t="n">
        <f aca="false">Report!U1035</f>
        <v>496.59</v>
      </c>
      <c r="D788" s="1" t="str">
        <f aca="false">Report!X1035</f>
        <v>NF 2307607 1/3 - ALICIA</v>
      </c>
    </row>
    <row r="789" customFormat="false" ht="12.75" hidden="false" customHeight="true" outlineLevel="0" collapsed="false">
      <c r="A789" s="15" t="n">
        <f aca="false">Report!C1036</f>
        <v>46254</v>
      </c>
      <c r="B789" s="1" t="str">
        <f aca="false">Report!E1036</f>
        <v>EMPRESA BRASILEIRA DE DISTRIBUICAO LTDA</v>
      </c>
      <c r="C789" s="17" t="n">
        <f aca="false">Report!U1036</f>
        <v>368.38</v>
      </c>
      <c r="D789" s="1" t="str">
        <f aca="false">Report!X1036</f>
        <v>NF 2307608 1/3 - ALICIA</v>
      </c>
    </row>
    <row r="790" customFormat="false" ht="12.75" hidden="false" customHeight="true" outlineLevel="0" collapsed="false">
      <c r="A790" s="15" t="n">
        <f aca="false">Report!C1037</f>
        <v>46254</v>
      </c>
      <c r="B790" s="1" t="str">
        <f aca="false">Report!E1037</f>
        <v>MARE DISTRIBUIDORA DE BEBIDAS E DE PRODUTOS ALIMENTICIOS LTDA</v>
      </c>
      <c r="C790" s="17" t="n">
        <f aca="false">Report!U1037</f>
        <v>245</v>
      </c>
      <c r="D790" s="1" t="str">
        <f aca="false">Report!X1037</f>
        <v>NF 1411864 2/2 - ALICIA</v>
      </c>
    </row>
    <row r="791" customFormat="false" ht="12.75" hidden="false" customHeight="false" outlineLevel="0" collapsed="false">
      <c r="A791" s="23" t="n">
        <f aca="false">Report!C1038</f>
        <v>46254</v>
      </c>
      <c r="B791" s="1" t="str">
        <f aca="false">Report!E1038</f>
        <v>CB COMERCIO E DISTRIBUIDORA DE ALIMENTOS</v>
      </c>
      <c r="C791" s="24" t="n">
        <f aca="false">Report!U1038</f>
        <v>477.88</v>
      </c>
      <c r="D791" s="1" t="str">
        <f aca="false">Report!X1038</f>
        <v>NF 860572 1/3 - ALICIA</v>
      </c>
    </row>
    <row r="792" customFormat="false" ht="12.75" hidden="false" customHeight="false" outlineLevel="0" collapsed="false">
      <c r="A792" s="23" t="n">
        <f aca="false">Report!C1039</f>
        <v>46254</v>
      </c>
      <c r="B792" s="1" t="str">
        <f aca="false">Report!E1039</f>
        <v>T A DE MATTOS COMIM EIRELI</v>
      </c>
      <c r="C792" s="24" t="n">
        <f aca="false">Report!U1039</f>
        <v>228</v>
      </c>
      <c r="D792" s="1" t="str">
        <f aca="false">Report!X1039</f>
        <v>NF 10809 1/1 - ALICIA</v>
      </c>
    </row>
    <row r="793" customFormat="false" ht="12.75" hidden="false" customHeight="false" outlineLevel="0" collapsed="false">
      <c r="A793" s="23" t="n">
        <f aca="false">Report!C1040</f>
        <v>46254</v>
      </c>
      <c r="B793" s="1" t="str">
        <f aca="false">Report!E1040</f>
        <v>OESA COMERCIO E REPRESENTACOES S/A</v>
      </c>
      <c r="C793" s="24" t="n">
        <f aca="false">Report!U1040</f>
        <v>984.44</v>
      </c>
      <c r="D793" s="1" t="str">
        <f aca="false">Report!X1040</f>
        <v>NF 438335 1/3 - ALICIA</v>
      </c>
    </row>
    <row r="794" customFormat="false" ht="12.75" hidden="false" customHeight="false" outlineLevel="0" collapsed="false">
      <c r="A794" s="23" t="n">
        <f aca="false">Report!C1041</f>
        <v>46254</v>
      </c>
      <c r="B794" s="1" t="str">
        <f aca="false">Report!E1041</f>
        <v>FENNIX BRASIL DISTRIBUIDORA DE PRODUTOS</v>
      </c>
      <c r="C794" s="24" t="n">
        <f aca="false">Report!U1041</f>
        <v>610.15</v>
      </c>
      <c r="D794" s="1" t="str">
        <f aca="false">Report!X1041</f>
        <v>NF 397888 2/3 - ALICIA</v>
      </c>
    </row>
    <row r="795" customFormat="false" ht="12.75" hidden="false" customHeight="false" outlineLevel="0" collapsed="false">
      <c r="A795" s="23" t="n">
        <f aca="false">Report!C1042</f>
        <v>46254</v>
      </c>
      <c r="B795" s="1" t="str">
        <f aca="false">Report!E1042</f>
        <v>COMERCIO DE FRIOS MANAUS LTDA</v>
      </c>
      <c r="C795" s="24" t="n">
        <f aca="false">Report!U1042</f>
        <v>1194.6</v>
      </c>
      <c r="D795" s="1" t="str">
        <f aca="false">Report!X1042</f>
        <v>NF 174443 1/1 - ALICIA</v>
      </c>
    </row>
    <row r="796" customFormat="false" ht="12.75" hidden="false" customHeight="false" outlineLevel="0" collapsed="false">
      <c r="A796" s="23" t="n">
        <f aca="false">Report!C1043</f>
        <v>46255</v>
      </c>
      <c r="B796" s="1" t="str">
        <f aca="false">Report!E1043</f>
        <v>FORTVET DISTRIBUIDORA LTDA</v>
      </c>
      <c r="C796" s="24" t="n">
        <f aca="false">Report!U1043</f>
        <v>565.02</v>
      </c>
      <c r="D796" s="1" t="str">
        <f aca="false">Report!X1043</f>
        <v>NF 2751 4/4 - ALICIA </v>
      </c>
    </row>
    <row r="797" customFormat="false" ht="12.75" hidden="false" customHeight="false" outlineLevel="0" collapsed="false">
      <c r="A797" s="23" t="n">
        <f aca="false">Report!C1044</f>
        <v>46255</v>
      </c>
      <c r="B797" s="1" t="str">
        <f aca="false">Report!E1044</f>
        <v>L S M COMERCIO DE ALIMENTOS E NAVEGACAO</v>
      </c>
      <c r="C797" s="24" t="n">
        <f aca="false">Report!U1044</f>
        <v>894.34</v>
      </c>
      <c r="D797" s="1" t="str">
        <f aca="false">Report!X1044</f>
        <v>NF 308737 3/3 - ALICIA</v>
      </c>
    </row>
    <row r="798" customFormat="false" ht="12.75" hidden="false" customHeight="false" outlineLevel="0" collapsed="false">
      <c r="A798" s="23" t="n">
        <f aca="false">Report!C1045</f>
        <v>46255</v>
      </c>
      <c r="B798" s="1" t="str">
        <f aca="false">Report!E1045</f>
        <v>L S M COMERCIO DE ALIMENTOS E NAVEGACAO</v>
      </c>
      <c r="C798" s="24" t="n">
        <f aca="false">Report!U1045</f>
        <v>983.7</v>
      </c>
      <c r="D798" s="1" t="str">
        <f aca="false">Report!X1045</f>
        <v>NF 309542 2/3- ALICIA</v>
      </c>
    </row>
    <row r="799" customFormat="false" ht="12.75" hidden="false" customHeight="false" outlineLevel="0" collapsed="false">
      <c r="A799" s="23" t="n">
        <f aca="false">Report!C1046</f>
        <v>46255</v>
      </c>
      <c r="B799" s="1" t="str">
        <f aca="false">Report!E1046</f>
        <v>PIARARA COMERCIO, IMPORTACAO E EXPORTACAO LTDA</v>
      </c>
      <c r="C799" s="24" t="n">
        <f aca="false">Report!U1046</f>
        <v>1191.81</v>
      </c>
      <c r="D799" s="1" t="str">
        <f aca="false">Report!X1046</f>
        <v>NF 195089 2/3 - ALICIA</v>
      </c>
    </row>
    <row r="800" customFormat="false" ht="12.75" hidden="false" customHeight="false" outlineLevel="0" collapsed="false">
      <c r="A800" s="23" t="n">
        <f aca="false">Report!C1047</f>
        <v>46255</v>
      </c>
      <c r="B800" s="1" t="str">
        <f aca="false">Report!E1047</f>
        <v>VICTORIA COMERCIO INTERNACIONAL DE ALIME</v>
      </c>
      <c r="C800" s="24" t="n">
        <f aca="false">Report!U1047</f>
        <v>481.15</v>
      </c>
      <c r="D800" s="1" t="str">
        <f aca="false">Report!X1047</f>
        <v>NF 12548 2/3 - ALICIA</v>
      </c>
    </row>
    <row r="801" customFormat="false" ht="12.75" hidden="false" customHeight="false" outlineLevel="0" collapsed="false">
      <c r="A801" s="23" t="n">
        <f aca="false">Report!C1048</f>
        <v>46255</v>
      </c>
      <c r="B801" s="1" t="str">
        <f aca="false">Report!E1048</f>
        <v>DISTRIBUIDORA LOPES LTDA</v>
      </c>
      <c r="C801" s="24" t="n">
        <f aca="false">Report!U1048</f>
        <v>362.68</v>
      </c>
      <c r="D801" s="1" t="str">
        <f aca="false">Report!X1048</f>
        <v>NF 1703152 2/3 - ALICIA</v>
      </c>
    </row>
    <row r="802" customFormat="false" ht="12.75" hidden="false" customHeight="false" outlineLevel="0" collapsed="false">
      <c r="A802" s="23" t="n">
        <f aca="false">Report!C1049</f>
        <v>46255</v>
      </c>
      <c r="B802" s="1" t="str">
        <f aca="false">Report!E1049</f>
        <v>L S M COMERCIO DE ALIMENTOS E NAVEGACAO</v>
      </c>
      <c r="C802" s="24" t="n">
        <f aca="false">Report!U1049</f>
        <v>986.03</v>
      </c>
      <c r="D802" s="1" t="str">
        <f aca="false">Report!X1049</f>
        <v>NF 310154 1/3 - ALICIA</v>
      </c>
    </row>
    <row r="803" customFormat="false" ht="12.75" hidden="false" customHeight="false" outlineLevel="0" collapsed="false">
      <c r="A803" s="23" t="n">
        <f aca="false">Report!C1050</f>
        <v>46255</v>
      </c>
      <c r="B803" s="1" t="str">
        <f aca="false">Report!E1050</f>
        <v>VIA CERTA IMPORTACAO E DISTRIBUICAO DE A</v>
      </c>
      <c r="C803" s="24" t="n">
        <f aca="false">Report!U1050</f>
        <v>500.78</v>
      </c>
      <c r="D803" s="1" t="str">
        <f aca="false">Report!X1050</f>
        <v>NF 53548 1/3 - ALICIA</v>
      </c>
    </row>
    <row r="804" customFormat="false" ht="12.75" hidden="false" customHeight="false" outlineLevel="0" collapsed="false">
      <c r="A804" s="23" t="n">
        <f aca="false">Report!C1051</f>
        <v>46255</v>
      </c>
      <c r="B804" s="1" t="str">
        <f aca="false">Report!E1051</f>
        <v>COMERCIO DE FRIOS MANAUS LTDA</v>
      </c>
      <c r="C804" s="24" t="n">
        <f aca="false">Report!U1051</f>
        <v>1847.6</v>
      </c>
      <c r="D804" s="1" t="str">
        <f aca="false">Report!X1051</f>
        <v>NF 174518 2/2 - ALICIA</v>
      </c>
    </row>
    <row r="805" customFormat="false" ht="12.75" hidden="false" customHeight="false" outlineLevel="0" collapsed="false">
      <c r="A805" s="23" t="n">
        <f aca="false">Report!C1058</f>
        <v>46256</v>
      </c>
      <c r="B805" s="1" t="str">
        <f aca="false">Report!E1058</f>
        <v>DISTRIBUIDORA LOPES LTDA</v>
      </c>
      <c r="C805" s="24" t="n">
        <f aca="false">Report!U1058</f>
        <v>832.25</v>
      </c>
      <c r="D805" s="1" t="str">
        <f aca="false">Report!X1058</f>
        <v>NF 1699133 3/3 - ALICIA</v>
      </c>
    </row>
    <row r="806" customFormat="false" ht="12.75" hidden="false" customHeight="false" outlineLevel="0" collapsed="false">
      <c r="A806" s="23" t="n">
        <f aca="false">Report!C1060</f>
        <v>46256</v>
      </c>
      <c r="B806" s="1" t="str">
        <f aca="false">Report!E1060</f>
        <v>MARE DISTRIBUIDORA DE BEBIDAS E DE PRODUTOS ALIMENTICIOS LTDA</v>
      </c>
      <c r="C806" s="24" t="n">
        <f aca="false">Report!U1060</f>
        <v>725.05</v>
      </c>
      <c r="D806" s="1" t="str">
        <f aca="false">Report!X1060</f>
        <v>NF 1413401 2/2 - ALICIA</v>
      </c>
    </row>
    <row r="807" customFormat="false" ht="12.75" hidden="false" customHeight="false" outlineLevel="0" collapsed="false">
      <c r="A807" s="23" t="n">
        <f aca="false">Report!C1061</f>
        <v>46258</v>
      </c>
      <c r="B807" s="1" t="str">
        <f aca="false">Report!E1061</f>
        <v>WKL COMERCIO ATACADISTA DE ARTIGOS DE AR</v>
      </c>
      <c r="C807" s="24" t="n">
        <f aca="false">Report!U1061</f>
        <v>592.05</v>
      </c>
      <c r="D807" s="1" t="str">
        <f aca="false">Report!X1061</f>
        <v>NF 1330 3/4 - ALICIA</v>
      </c>
    </row>
    <row r="808" customFormat="false" ht="12.75" hidden="false" customHeight="false" outlineLevel="0" collapsed="false">
      <c r="A808" s="23" t="n">
        <f aca="false">Report!C1062</f>
        <v>46258</v>
      </c>
      <c r="B808" s="1" t="str">
        <f aca="false">Report!E1062</f>
        <v>STEFFANE VITORIA FERNANDES SILVA</v>
      </c>
      <c r="C808" s="24" t="n">
        <f aca="false">Report!U1062</f>
        <v>614.98</v>
      </c>
      <c r="D808" s="1" t="str">
        <f aca="false">Report!X1062</f>
        <v>NF 12877 3/3 - ALICIA</v>
      </c>
    </row>
    <row r="809" customFormat="false" ht="12.75" hidden="false" customHeight="false" outlineLevel="0" collapsed="false">
      <c r="A809" s="23" t="n">
        <f aca="false">Report!C1063</f>
        <v>46258</v>
      </c>
      <c r="B809" s="1" t="str">
        <f aca="false">Report!E1063</f>
        <v>DISTRIBUIDORA LOPES LTDA</v>
      </c>
      <c r="C809" s="24" t="n">
        <f aca="false">Report!U1063</f>
        <v>418.68</v>
      </c>
      <c r="D809" s="1" t="str">
        <f aca="false">Report!X1063</f>
        <v>NF 1699885 3/3 - ALICIA</v>
      </c>
    </row>
    <row r="810" customFormat="false" ht="12.75" hidden="false" customHeight="false" outlineLevel="0" collapsed="false">
      <c r="A810" s="23" t="n">
        <f aca="false">Report!C1064</f>
        <v>46258</v>
      </c>
      <c r="B810" s="1" t="str">
        <f aca="false">Report!E1064</f>
        <v>DISTRIBUIDORA LOPES LTDA</v>
      </c>
      <c r="C810" s="24" t="n">
        <f aca="false">Report!U1064</f>
        <v>903.47</v>
      </c>
      <c r="D810" s="1" t="str">
        <f aca="false">Report!X1064</f>
        <v>NF 1699593 3/3 - ALICIA</v>
      </c>
    </row>
    <row r="811" customFormat="false" ht="12.75" hidden="false" customHeight="false" outlineLevel="0" collapsed="false">
      <c r="A811" s="23" t="n">
        <f aca="false">Report!C1065</f>
        <v>46258</v>
      </c>
      <c r="B811" s="1" t="str">
        <f aca="false">Report!E1065</f>
        <v>DUNORTE DISTRIBUIDORA DE PRODUTOS DE CONSUMO LTDA</v>
      </c>
      <c r="C811" s="24" t="n">
        <f aca="false">Report!U1065</f>
        <v>949.63</v>
      </c>
      <c r="D811" s="1" t="str">
        <f aca="false">Report!X1065</f>
        <v>NF 3229254 2/4 - ALICIA</v>
      </c>
    </row>
    <row r="812" customFormat="false" ht="12.75" hidden="false" customHeight="false" outlineLevel="0" collapsed="false">
      <c r="A812" s="23" t="n">
        <f aca="false">Report!C1066</f>
        <v>46258</v>
      </c>
      <c r="B812" s="1" t="str">
        <f aca="false">Report!E1066</f>
        <v>GILBERTO SILVA NASCIMENTO</v>
      </c>
      <c r="C812" s="24" t="n">
        <f aca="false">Report!U1066</f>
        <v>538.18</v>
      </c>
      <c r="D812" s="1" t="str">
        <f aca="false">Report!X1066</f>
        <v>NF 846 2/4 - ALICIA</v>
      </c>
    </row>
    <row r="813" customFormat="false" ht="12.75" hidden="false" customHeight="false" outlineLevel="0" collapsed="false">
      <c r="A813" s="23" t="n">
        <f aca="false">Report!C1067</f>
        <v>46258</v>
      </c>
      <c r="B813" s="1" t="str">
        <f aca="false">Report!E1067</f>
        <v>BRF S A</v>
      </c>
      <c r="C813" s="24" t="n">
        <f aca="false">Report!U1067</f>
        <v>1173.86</v>
      </c>
      <c r="D813" s="1" t="str">
        <f aca="false">Report!X1067</f>
        <v>NF 1615570 3/3 - ALICIA</v>
      </c>
    </row>
    <row r="814" customFormat="false" ht="12.75" hidden="false" customHeight="false" outlineLevel="0" collapsed="false">
      <c r="A814" s="23" t="n">
        <f aca="false">Report!C1071</f>
        <v>46259</v>
      </c>
      <c r="B814" s="1" t="str">
        <f aca="false">Report!E1071</f>
        <v>SHMILY COMERCIO DE ARTIGOS DO VESTUARIO</v>
      </c>
      <c r="C814" s="24" t="n">
        <f aca="false">Report!U1071</f>
        <v>309.75</v>
      </c>
      <c r="D814" s="1" t="str">
        <f aca="false">Report!X1071</f>
        <v>NF 416 3/3 - A PRAZO </v>
      </c>
    </row>
    <row r="815" customFormat="false" ht="12.75" hidden="false" customHeight="false" outlineLevel="0" collapsed="false">
      <c r="A815" s="23" t="n">
        <f aca="false">Report!C1072</f>
        <v>46259</v>
      </c>
      <c r="B815" s="1" t="str">
        <f aca="false">Report!E1072</f>
        <v>A. CORREA JUNIOR</v>
      </c>
      <c r="C815" s="24" t="n">
        <f aca="false">Report!U1072</f>
        <v>1633.2</v>
      </c>
      <c r="D815" s="1" t="str">
        <f aca="false">Report!X1072</f>
        <v>NF 1820 3/3 - ALICIA</v>
      </c>
    </row>
    <row r="816" customFormat="false" ht="12.75" hidden="false" customHeight="false" outlineLevel="0" collapsed="false">
      <c r="A816" s="23" t="n">
        <f aca="false">Report!C1073</f>
        <v>46259</v>
      </c>
      <c r="B816" s="1" t="str">
        <f aca="false">Report!E1073</f>
        <v>COMPRAS NA PORTA AVULSO</v>
      </c>
      <c r="C816" s="24" t="n">
        <f aca="false">Report!U1073</f>
        <v>101.12</v>
      </c>
      <c r="D816" s="1" t="str">
        <f aca="false">Report!X1073</f>
        <v>S/NF COMPRAS BONE 2/2 / ITAU 9303 - ALICIA </v>
      </c>
    </row>
    <row r="817" customFormat="false" ht="12.75" hidden="false" customHeight="false" outlineLevel="0" collapsed="false">
      <c r="A817" s="23" t="n">
        <f aca="false">Report!C1078</f>
        <v>46259</v>
      </c>
      <c r="B817" s="1" t="str">
        <f aca="false">Report!E1078</f>
        <v>OCIDENTAL COMERCIO DE FRIOS LTDA</v>
      </c>
      <c r="C817" s="24" t="n">
        <f aca="false">Report!U1078</f>
        <v>676.45</v>
      </c>
      <c r="D817" s="1" t="str">
        <f aca="false">Report!X1078</f>
        <v>NF 1252244 3/3 - ALICIA</v>
      </c>
    </row>
    <row r="818" customFormat="false" ht="12.75" hidden="false" customHeight="false" outlineLevel="0" collapsed="false">
      <c r="A818" s="23" t="n">
        <f aca="false">Report!C1079</f>
        <v>46259</v>
      </c>
      <c r="B818" s="1" t="str">
        <f aca="false">Report!E1079</f>
        <v>A. CORREA JUNIOR</v>
      </c>
      <c r="C818" s="24" t="n">
        <f aca="false">Report!U1079</f>
        <v>1615.17</v>
      </c>
      <c r="D818" s="1" t="str">
        <f aca="false">Report!X1079</f>
        <v>NF 1887 COMPRAS ELETRONICOS - ALICIA</v>
      </c>
    </row>
    <row r="819" customFormat="false" ht="12.75" hidden="false" customHeight="false" outlineLevel="0" collapsed="false">
      <c r="A819" s="23" t="n">
        <f aca="false">Report!C1082</f>
        <v>46259</v>
      </c>
      <c r="B819" s="1" t="str">
        <f aca="false">Report!E1082</f>
        <v>COMERCIAL DE ESTIVAS REGO LTDA</v>
      </c>
      <c r="C819" s="24" t="n">
        <f aca="false">Report!U1082</f>
        <v>358.74</v>
      </c>
      <c r="D819" s="1" t="str">
        <f aca="false">Report!X1082</f>
        <v>NF 224551 2/3 - ALICIA</v>
      </c>
    </row>
    <row r="820" customFormat="false" ht="12.75" hidden="false" customHeight="false" outlineLevel="0" collapsed="false">
      <c r="A820" s="23" t="n">
        <f aca="false">Report!C1083</f>
        <v>46259</v>
      </c>
      <c r="B820" s="1" t="str">
        <f aca="false">Report!E1083</f>
        <v>ADRIANA G MACIEL COMERCIO</v>
      </c>
      <c r="C820" s="24" t="n">
        <f aca="false">Report!U1083</f>
        <v>768</v>
      </c>
      <c r="D820" s="1" t="str">
        <f aca="false">Report!X1083</f>
        <v>NF 393 2/2 - ALICIA</v>
      </c>
    </row>
    <row r="821" customFormat="false" ht="12.75" hidden="false" customHeight="false" outlineLevel="0" collapsed="false">
      <c r="A821" s="23" t="n">
        <f aca="false">Report!C1084</f>
        <v>46259</v>
      </c>
      <c r="B821" s="1" t="str">
        <f aca="false">Report!E1084</f>
        <v>GRANDE MOINHO CEARENSE S/A </v>
      </c>
      <c r="C821" s="24" t="n">
        <f aca="false">Report!U1084</f>
        <v>432.97</v>
      </c>
      <c r="D821" s="1" t="str">
        <f aca="false">Report!X1084</f>
        <v>NF 143793 1/1 - ALICIA</v>
      </c>
    </row>
    <row r="822" customFormat="false" ht="12.75" hidden="false" customHeight="false" outlineLevel="0" collapsed="false">
      <c r="A822" s="23" t="n">
        <f aca="false">Report!C1085</f>
        <v>46259</v>
      </c>
      <c r="B822" s="1" t="str">
        <f aca="false">Report!E1085</f>
        <v>TRES CORACOES ALIMENTOS S.A.</v>
      </c>
      <c r="C822" s="24" t="n">
        <f aca="false">Report!U1085</f>
        <v>590.43</v>
      </c>
      <c r="D822" s="1" t="str">
        <f aca="false">Report!X1085</f>
        <v>NF 356005 2/3 - ALICIA</v>
      </c>
    </row>
    <row r="823" customFormat="false" ht="12.75" hidden="false" customHeight="false" outlineLevel="0" collapsed="false">
      <c r="A823" s="23" t="n">
        <f aca="false">Report!C1086</f>
        <v>46259</v>
      </c>
      <c r="B823" s="1" t="str">
        <f aca="false">Report!E1086</f>
        <v>NATUREZA COMERCIO DE DESCARTAVEIS LTDA</v>
      </c>
      <c r="C823" s="24" t="n">
        <f aca="false">Report!U1086</f>
        <v>1242.27</v>
      </c>
      <c r="D823" s="1" t="str">
        <f aca="false">Report!X1086</f>
        <v>NF 7455920 2/3 - ALICIA</v>
      </c>
    </row>
    <row r="824" customFormat="false" ht="12.75" hidden="false" customHeight="false" outlineLevel="0" collapsed="false">
      <c r="A824" s="23" t="n">
        <f aca="false">Report!C1087</f>
        <v>46259</v>
      </c>
      <c r="B824" s="1" t="str">
        <f aca="false">Report!E1087</f>
        <v>TOYA INDUSTRIA E COMERCIO LTDA.</v>
      </c>
      <c r="C824" s="24" t="n">
        <f aca="false">Report!U1087</f>
        <v>497.23</v>
      </c>
      <c r="D824" s="1" t="str">
        <f aca="false">Report!X1087</f>
        <v>NF 257004 2/2 - ALICIA</v>
      </c>
    </row>
    <row r="825" customFormat="false" ht="12.75" hidden="false" customHeight="false" outlineLevel="0" collapsed="false">
      <c r="A825" s="23" t="n">
        <f aca="false">Report!C1089</f>
        <v>46260</v>
      </c>
      <c r="B825" s="1" t="str">
        <f aca="false">Report!E1089</f>
        <v>SUPER CANCUN COMERCIO DE PRODUTOS ALIMEN</v>
      </c>
      <c r="C825" s="24" t="n">
        <f aca="false">Report!U1089</f>
        <v>260.45</v>
      </c>
      <c r="D825" s="1" t="str">
        <f aca="false">Report!X1089</f>
        <v>NF 264696 2/3 - ALICIA</v>
      </c>
    </row>
    <row r="826" customFormat="false" ht="12.75" hidden="false" customHeight="false" outlineLevel="0" collapsed="false">
      <c r="A826" s="23" t="n">
        <f aca="false">Report!C1090</f>
        <v>46260</v>
      </c>
      <c r="B826" s="1" t="str">
        <f aca="false">Report!E1090</f>
        <v>OCIDENTAL COMERCIO DE FRIOS LTDA</v>
      </c>
      <c r="C826" s="24" t="n">
        <f aca="false">Report!U1090</f>
        <v>771.86</v>
      </c>
      <c r="D826" s="1" t="str">
        <f aca="false">Report!X1090</f>
        <v>NF 12556061 2/3 - ALICIA</v>
      </c>
    </row>
    <row r="827" customFormat="false" ht="12.75" hidden="false" customHeight="false" outlineLevel="0" collapsed="false">
      <c r="A827" s="23" t="n">
        <f aca="false">Report!C1091</f>
        <v>46261</v>
      </c>
      <c r="B827" s="1" t="str">
        <f aca="false">Report!E1091</f>
        <v>FH DE OLIVEIRA PEIXOTO - EIRELI</v>
      </c>
      <c r="C827" s="24" t="n">
        <f aca="false">Report!U1091</f>
        <v>172.25</v>
      </c>
      <c r="D827" s="1" t="str">
        <f aca="false">Report!X1091</f>
        <v>NF 193402 2/2 - ALICIA</v>
      </c>
    </row>
    <row r="828" customFormat="false" ht="12.75" hidden="false" customHeight="false" outlineLevel="0" collapsed="false">
      <c r="A828" s="23" t="n">
        <f aca="false">Report!C1092</f>
        <v>46261</v>
      </c>
      <c r="B828" s="1" t="str">
        <f aca="false">Report!E1092</f>
        <v>DISTRIBUIDORA FARIAS LTDA.</v>
      </c>
      <c r="C828" s="24" t="n">
        <f aca="false">Report!U1092</f>
        <v>1000.46</v>
      </c>
      <c r="D828" s="1" t="str">
        <f aca="false">Report!X1092</f>
        <v>NF 685877 3/3 - ALICIA</v>
      </c>
    </row>
    <row r="829" customFormat="false" ht="12.75" hidden="false" customHeight="false" outlineLevel="0" collapsed="false">
      <c r="A829" s="23" t="n">
        <f aca="false">Report!C1093</f>
        <v>46261</v>
      </c>
      <c r="B829" s="1" t="str">
        <f aca="false">Report!E1093</f>
        <v>EMPRESA BRASILEIRA DE DISTRIBUICAO LTDA</v>
      </c>
      <c r="C829" s="24" t="n">
        <f aca="false">Report!U1093</f>
        <v>496.59</v>
      </c>
      <c r="D829" s="1" t="str">
        <f aca="false">Report!X1093</f>
        <v>NF 2307607 2/3 - ALICIA</v>
      </c>
    </row>
    <row r="830" customFormat="false" ht="12.75" hidden="false" customHeight="false" outlineLevel="0" collapsed="false">
      <c r="A830" s="23" t="n">
        <f aca="false">Report!C1094</f>
        <v>46261</v>
      </c>
      <c r="B830" s="1" t="str">
        <f aca="false">Report!E1094</f>
        <v>EMPRESA BRASILEIRA DE DISTRIBUICAO LTDA</v>
      </c>
      <c r="C830" s="24" t="n">
        <f aca="false">Report!U1094</f>
        <v>368.38</v>
      </c>
      <c r="D830" s="1" t="str">
        <f aca="false">Report!X1094</f>
        <v>NF 2307608 2/3 - ALICIA</v>
      </c>
    </row>
    <row r="831" customFormat="false" ht="12.75" hidden="false" customHeight="false" outlineLevel="0" collapsed="false">
      <c r="A831" s="23" t="n">
        <f aca="false">Report!C1095</f>
        <v>46261</v>
      </c>
      <c r="B831" s="1" t="str">
        <f aca="false">Report!E1095</f>
        <v>CB COMERCIO E DISTRIBUIDORA DE ALIMENTOS</v>
      </c>
      <c r="C831" s="24" t="n">
        <f aca="false">Report!U1095</f>
        <v>477.88</v>
      </c>
      <c r="D831" s="1" t="str">
        <f aca="false">Report!X1095</f>
        <v>NF 860572 2/3 - ALICIA</v>
      </c>
    </row>
    <row r="832" customFormat="false" ht="12.75" hidden="false" customHeight="false" outlineLevel="0" collapsed="false">
      <c r="A832" s="23" t="n">
        <f aca="false">Report!C1096</f>
        <v>46261</v>
      </c>
      <c r="B832" s="1" t="str">
        <f aca="false">Report!E1096</f>
        <v>OESA COMERCIO E REPRESENTACOES S/A</v>
      </c>
      <c r="C832" s="24" t="n">
        <f aca="false">Report!U1096</f>
        <v>984.44</v>
      </c>
      <c r="D832" s="1" t="str">
        <f aca="false">Report!X1096</f>
        <v>NF 438335 2/3 - ALICIA</v>
      </c>
    </row>
    <row r="833" customFormat="false" ht="12.75" hidden="false" customHeight="false" outlineLevel="0" collapsed="false">
      <c r="A833" s="23" t="n">
        <f aca="false">Report!C1097</f>
        <v>46261</v>
      </c>
      <c r="B833" s="1" t="str">
        <f aca="false">Report!E1097</f>
        <v>FENNIX BRASIL DISTRIBUIDORA DE PRODUTOS</v>
      </c>
      <c r="C833" s="24" t="n">
        <f aca="false">Report!U1097</f>
        <v>610.15</v>
      </c>
      <c r="D833" s="1" t="str">
        <f aca="false">Report!X1097</f>
        <v>NF 397888 3/3 - ALICIA</v>
      </c>
    </row>
    <row r="834" customFormat="false" ht="12.75" hidden="false" customHeight="false" outlineLevel="0" collapsed="false">
      <c r="A834" s="23" t="n">
        <f aca="false">Report!C1098</f>
        <v>46262</v>
      </c>
      <c r="B834" s="1" t="str">
        <f aca="false">Report!E1098</f>
        <v>VICTORIA COMERCIO INTERNACIONAL DE ALIME</v>
      </c>
      <c r="C834" s="24" t="n">
        <f aca="false">Report!U1098</f>
        <v>481.16</v>
      </c>
      <c r="D834" s="1" t="str">
        <f aca="false">Report!X1098</f>
        <v>NF 12548 3/3 - ALICIA</v>
      </c>
    </row>
    <row r="835" customFormat="false" ht="12.75" hidden="false" customHeight="false" outlineLevel="0" collapsed="false">
      <c r="A835" s="23" t="n">
        <f aca="false">Report!C1100</f>
        <v>46262</v>
      </c>
      <c r="B835" s="1" t="str">
        <f aca="false">Report!E1100</f>
        <v>L S M COMERCIO DE ALIMENTOS E NAVEGACAO</v>
      </c>
      <c r="C835" s="24" t="n">
        <f aca="false">Report!U1100</f>
        <v>983.7</v>
      </c>
      <c r="D835" s="1" t="str">
        <f aca="false">Report!X1100</f>
        <v>NF 309542 3/3- ALICIA</v>
      </c>
    </row>
    <row r="836" customFormat="false" ht="12.75" hidden="false" customHeight="false" outlineLevel="0" collapsed="false">
      <c r="A836" s="23" t="n">
        <f aca="false">Report!C1101</f>
        <v>46262</v>
      </c>
      <c r="B836" s="1" t="str">
        <f aca="false">Report!E1101</f>
        <v>PIARARA COMERCIO, IMPORTACAO E EXPORTACAO LTDA</v>
      </c>
      <c r="C836" s="24" t="n">
        <f aca="false">Report!U1101</f>
        <v>1191.81</v>
      </c>
      <c r="D836" s="1" t="str">
        <f aca="false">Report!X1101</f>
        <v>NF 195089 3/3 - ALICIA</v>
      </c>
    </row>
    <row r="837" customFormat="false" ht="12.75" hidden="false" customHeight="false" outlineLevel="0" collapsed="false">
      <c r="A837" s="23" t="n">
        <f aca="false">Report!C1102</f>
        <v>46262</v>
      </c>
      <c r="B837" s="1" t="str">
        <f aca="false">Report!E1102</f>
        <v>DISTRIBUIDORA LOPES LTDA</v>
      </c>
      <c r="C837" s="24" t="n">
        <f aca="false">Report!U1102</f>
        <v>362.68</v>
      </c>
      <c r="D837" s="1" t="str">
        <f aca="false">Report!X1102</f>
        <v>NF 1703152 3/3 - ALICIA</v>
      </c>
    </row>
    <row r="838" customFormat="false" ht="12.75" hidden="false" customHeight="false" outlineLevel="0" collapsed="false">
      <c r="A838" s="23" t="n">
        <f aca="false">Report!C1103</f>
        <v>46262</v>
      </c>
      <c r="B838" s="1" t="str">
        <f aca="false">Report!E1103</f>
        <v>L S M COMERCIO DE ALIMENTOS E NAVEGACAO</v>
      </c>
      <c r="C838" s="24" t="n">
        <f aca="false">Report!U1103</f>
        <v>986.03</v>
      </c>
      <c r="D838" s="1" t="str">
        <f aca="false">Report!X1103</f>
        <v>NF 310154 2/3 - ALICIA</v>
      </c>
    </row>
    <row r="839" customFormat="false" ht="12.75" hidden="false" customHeight="false" outlineLevel="0" collapsed="false">
      <c r="A839" s="23" t="n">
        <f aca="false">Report!C1104</f>
        <v>46262</v>
      </c>
      <c r="B839" s="1" t="str">
        <f aca="false">Report!E1104</f>
        <v>VIA CERTA IMPORTACAO E DISTRIBUICAO DE A</v>
      </c>
      <c r="C839" s="24" t="n">
        <f aca="false">Report!U1104</f>
        <v>500.78</v>
      </c>
      <c r="D839" s="1" t="str">
        <f aca="false">Report!X1104</f>
        <v>NF 53548 2/3 - ALICIA</v>
      </c>
    </row>
    <row r="840" customFormat="false" ht="12.75" hidden="false" customHeight="false" outlineLevel="0" collapsed="false">
      <c r="A840" s="23" t="n">
        <f aca="false">Report!C1105</f>
        <v>46265</v>
      </c>
      <c r="B840" s="1" t="str">
        <f aca="false">Report!E1105</f>
        <v>DUNORTE DISTRIBUIDORA DE PRODUTOS DE CONSUMO LTDA</v>
      </c>
      <c r="C840" s="24" t="n">
        <f aca="false">Report!U1105</f>
        <v>949.63</v>
      </c>
      <c r="D840" s="1" t="str">
        <f aca="false">Report!X1105</f>
        <v>NF 3229254 3/4 - ALICIA</v>
      </c>
    </row>
    <row r="841" customFormat="false" ht="12.75" hidden="false" customHeight="false" outlineLevel="0" collapsed="false">
      <c r="A841" s="23" t="n">
        <f aca="false">Report!C1106</f>
        <v>46265</v>
      </c>
      <c r="B841" s="1" t="str">
        <f aca="false">Report!E1106</f>
        <v>GILBERTO SILVA NASCIMENTO</v>
      </c>
      <c r="C841" s="24" t="n">
        <f aca="false">Report!U1106</f>
        <v>538.18</v>
      </c>
      <c r="D841" s="1" t="str">
        <f aca="false">Report!X1106</f>
        <v>NF 846 3/4 - ALICIA</v>
      </c>
    </row>
    <row r="842" customFormat="false" ht="12.75" hidden="false" customHeight="false" outlineLevel="0" collapsed="false">
      <c r="A842" s="23" t="n">
        <f aca="false">Report!C1107</f>
        <v>46266</v>
      </c>
      <c r="B842" s="1" t="str">
        <f aca="false">Report!E1107</f>
        <v>OLIVEIRA E SILVA LTDA</v>
      </c>
      <c r="C842" s="24" t="n">
        <f aca="false">Report!U1107</f>
        <v>250</v>
      </c>
      <c r="D842" s="1" t="str">
        <f aca="false">Report!X1107</f>
        <v>COMPRAS 2CX DE BANANAS - ALICIA</v>
      </c>
    </row>
    <row r="843" customFormat="false" ht="12.75" hidden="false" customHeight="false" outlineLevel="0" collapsed="false">
      <c r="A843" s="23" t="n">
        <f aca="false">Report!C1108</f>
        <v>46266</v>
      </c>
      <c r="B843" s="1" t="str">
        <f aca="false">Report!E1108</f>
        <v>COMERCIAL DE ESTIVAS REGO LTDA</v>
      </c>
      <c r="C843" s="24" t="n">
        <f aca="false">Report!U1108</f>
        <v>358.74</v>
      </c>
      <c r="D843" s="1" t="str">
        <f aca="false">Report!X1108</f>
        <v>NF 224551 3/3 - ALICIA</v>
      </c>
    </row>
    <row r="844" customFormat="false" ht="12.75" hidden="false" customHeight="false" outlineLevel="0" collapsed="false">
      <c r="A844" s="23" t="n">
        <f aca="false">Report!C1109</f>
        <v>46266</v>
      </c>
      <c r="B844" s="1" t="str">
        <f aca="false">Report!E1109</f>
        <v>TRES CORACOES ALIMENTOS S.A.</v>
      </c>
      <c r="C844" s="24" t="n">
        <f aca="false">Report!U1109</f>
        <v>590.45</v>
      </c>
      <c r="D844" s="1" t="str">
        <f aca="false">Report!X1109</f>
        <v>NF 356005 3/3 - ALICIA</v>
      </c>
    </row>
    <row r="845" customFormat="false" ht="12.75" hidden="false" customHeight="false" outlineLevel="0" collapsed="false">
      <c r="A845" s="23" t="n">
        <f aca="false">Report!C1110</f>
        <v>46266</v>
      </c>
      <c r="B845" s="1" t="str">
        <f aca="false">Report!E1110</f>
        <v>NATUREZA COMERCIO DE DESCARTAVEIS LTDA</v>
      </c>
      <c r="C845" s="24" t="n">
        <f aca="false">Report!U1110</f>
        <v>2242.26</v>
      </c>
      <c r="D845" s="1" t="str">
        <f aca="false">Report!X1110</f>
        <v>NF 7455920 3/3 - ALICIA</v>
      </c>
    </row>
    <row r="846" customFormat="false" ht="12.75" hidden="false" customHeight="false" outlineLevel="0" collapsed="false">
      <c r="A846" s="23" t="n">
        <f aca="false">Report!C1114</f>
        <v>46267</v>
      </c>
      <c r="B846" s="1" t="str">
        <f aca="false">Report!E1114</f>
        <v>SUPER CANCUN COMERCIO DE PRODUTOS ALIMEN</v>
      </c>
      <c r="C846" s="24" t="n">
        <f aca="false">Report!U1114</f>
        <v>260.45</v>
      </c>
      <c r="D846" s="1" t="str">
        <f aca="false">Report!X1114</f>
        <v>NF 264696 3/3 - ALICIA</v>
      </c>
    </row>
    <row r="847" customFormat="false" ht="12.75" hidden="false" customHeight="false" outlineLevel="0" collapsed="false">
      <c r="A847" s="23" t="n">
        <f aca="false">Report!C1115</f>
        <v>46267</v>
      </c>
      <c r="B847" s="1" t="str">
        <f aca="false">Report!E1115</f>
        <v>OCIDENTAL COMERCIO DE FRIOS LTDA</v>
      </c>
      <c r="C847" s="24" t="n">
        <f aca="false">Report!U1115</f>
        <v>771.86</v>
      </c>
      <c r="D847" s="1" t="str">
        <f aca="false">Report!X1115</f>
        <v>NF 12556061 3/3 - ALICIA</v>
      </c>
    </row>
    <row r="848" customFormat="false" ht="12.75" hidden="false" customHeight="false" outlineLevel="0" collapsed="false">
      <c r="A848" s="23" t="n">
        <f aca="false">Report!C1116</f>
        <v>46267</v>
      </c>
      <c r="B848" s="1" t="str">
        <f aca="false">Report!E1116</f>
        <v>NATUREZA COMERCIO DE DESCARTAVEIS LTDA</v>
      </c>
      <c r="C848" s="24" t="n">
        <f aca="false">Report!U1116</f>
        <v>274.14</v>
      </c>
      <c r="D848" s="1" t="str">
        <f aca="false">Report!X1116</f>
        <v>NF 746264 1/1 - ALICIA</v>
      </c>
    </row>
    <row r="849" customFormat="false" ht="12.75" hidden="false" customHeight="false" outlineLevel="0" collapsed="false">
      <c r="A849" s="23" t="n">
        <f aca="false">Report!C1117</f>
        <v>46268</v>
      </c>
      <c r="B849" s="1" t="str">
        <f aca="false">Report!E1117</f>
        <v>EMPRESA BRASILEIRA DE DISTRIBUICAO LTDA</v>
      </c>
      <c r="C849" s="24" t="n">
        <f aca="false">Report!U1117</f>
        <v>496.59</v>
      </c>
      <c r="D849" s="1" t="str">
        <f aca="false">Report!X1117</f>
        <v>NF 2307607 3/3 - ALICIA</v>
      </c>
    </row>
    <row r="850" customFormat="false" ht="12.75" hidden="false" customHeight="false" outlineLevel="0" collapsed="false">
      <c r="A850" s="23" t="n">
        <f aca="false">Report!C1118</f>
        <v>46268</v>
      </c>
      <c r="B850" s="1" t="str">
        <f aca="false">Report!E1118</f>
        <v>EMPRESA BRASILEIRA DE DISTRIBUICAO LTDA</v>
      </c>
      <c r="C850" s="24" t="n">
        <f aca="false">Report!U1118</f>
        <v>368.38</v>
      </c>
      <c r="D850" s="1" t="str">
        <f aca="false">Report!X1118</f>
        <v>NF 2307608 3/3 - ALICIA</v>
      </c>
    </row>
    <row r="851" customFormat="false" ht="12.75" hidden="false" customHeight="false" outlineLevel="0" collapsed="false">
      <c r="A851" s="23" t="n">
        <f aca="false">Report!C1119</f>
        <v>46268</v>
      </c>
      <c r="B851" s="1" t="str">
        <f aca="false">Report!E1119</f>
        <v>CB COMERCIO E DISTRIBUIDORA DE ALIMENTOS</v>
      </c>
      <c r="C851" s="24" t="n">
        <f aca="false">Report!U1119</f>
        <v>477.87</v>
      </c>
      <c r="D851" s="1" t="str">
        <f aca="false">Report!X1119</f>
        <v>NF 860572 3/3 - ALICIA</v>
      </c>
    </row>
    <row r="852" customFormat="false" ht="12.75" hidden="false" customHeight="false" outlineLevel="0" collapsed="false">
      <c r="A852" s="23" t="n">
        <f aca="false">Report!C1120</f>
        <v>46268</v>
      </c>
      <c r="B852" s="1" t="str">
        <f aca="false">Report!E1120</f>
        <v>OESA COMERCIO E REPRESENTACOES S/A</v>
      </c>
      <c r="C852" s="24" t="n">
        <f aca="false">Report!U1120</f>
        <v>984.44</v>
      </c>
      <c r="D852" s="1" t="str">
        <f aca="false">Report!X1120</f>
        <v>NF 438335 3/3 - ALICIA</v>
      </c>
    </row>
    <row r="853" customFormat="false" ht="12.75" hidden="false" customHeight="false" outlineLevel="0" collapsed="false">
      <c r="A853" s="23" t="n">
        <f aca="false">Report!C1123</f>
        <v>46269</v>
      </c>
      <c r="B853" s="1" t="str">
        <f aca="false">Report!E1123</f>
        <v>L S M COMERCIO DE ALIMENTOS E NAVEGACAO</v>
      </c>
      <c r="C853" s="24" t="n">
        <f aca="false">Report!U1123</f>
        <v>986.04</v>
      </c>
      <c r="D853" s="1" t="str">
        <f aca="false">Report!X1123</f>
        <v>NF 310154 3/3 - ALICIA</v>
      </c>
    </row>
    <row r="854" customFormat="false" ht="12.75" hidden="false" customHeight="false" outlineLevel="0" collapsed="false">
      <c r="A854" s="23" t="n">
        <f aca="false">Report!C1124</f>
        <v>46269</v>
      </c>
      <c r="B854" s="1" t="str">
        <f aca="false">Report!E1124</f>
        <v>VIA CERTA IMPORTACAO E DISTRIBUICAO DE A</v>
      </c>
      <c r="C854" s="24" t="n">
        <f aca="false">Report!U1124</f>
        <v>500.78</v>
      </c>
      <c r="D854" s="1" t="str">
        <f aca="false">Report!X1124</f>
        <v>NF 53548 3/3 - ALICIA</v>
      </c>
    </row>
    <row r="855" customFormat="false" ht="12.75" hidden="false" customHeight="false" outlineLevel="0" collapsed="false">
      <c r="A855" s="23" t="n">
        <f aca="false">Report!C1127</f>
        <v>46272</v>
      </c>
      <c r="B855" s="1" t="str">
        <f aca="false">Report!E1127</f>
        <v>DUNORTE DISTRIBUIDORA DE PRODUTOS DE CONSUMO LTDA</v>
      </c>
      <c r="C855" s="24" t="n">
        <f aca="false">Report!U1127</f>
        <v>949.63</v>
      </c>
      <c r="D855" s="1" t="str">
        <f aca="false">Report!X1127</f>
        <v>NF 3229254 4/4 - ALICIA</v>
      </c>
    </row>
    <row r="856" customFormat="false" ht="12.75" hidden="false" customHeight="false" outlineLevel="0" collapsed="false">
      <c r="A856" s="23" t="n">
        <f aca="false">Report!C1128</f>
        <v>46272</v>
      </c>
      <c r="B856" s="1" t="str">
        <f aca="false">Report!E1128</f>
        <v>GILBERTO SILVA NASCIMENTO</v>
      </c>
      <c r="C856" s="24" t="n">
        <f aca="false">Report!U1128</f>
        <v>538.18</v>
      </c>
      <c r="D856" s="1" t="str">
        <f aca="false">Report!X1128</f>
        <v>NF 846 4/4 - ALICIA</v>
      </c>
    </row>
    <row r="857" customFormat="false" ht="12.75" hidden="false" customHeight="false" outlineLevel="0" collapsed="false">
      <c r="A857" s="23" t="n">
        <f aca="false">Report!C1129</f>
        <v>46272</v>
      </c>
      <c r="B857" s="1" t="str">
        <f aca="false">Report!E1129</f>
        <v>ADRIANA DISTRIBUIDORA DE PRODUTOS ALIMEN</v>
      </c>
      <c r="C857" s="24" t="n">
        <f aca="false">Report!U1129</f>
        <v>710.92</v>
      </c>
      <c r="D857" s="1" t="str">
        <f aca="false">Report!X1129</f>
        <v>NF 889382 1/3 - ALICIA</v>
      </c>
    </row>
    <row r="858" customFormat="false" ht="12.75" hidden="false" customHeight="false" outlineLevel="0" collapsed="false">
      <c r="A858" s="23" t="n">
        <f aca="false">Report!C1130</f>
        <v>46273</v>
      </c>
      <c r="B858" s="1" t="str">
        <f aca="false">Report!E1130</f>
        <v>WKL COMERCIO ATACADISTA DE ARTIGOS DE AR</v>
      </c>
      <c r="C858" s="24" t="n">
        <f aca="false">Report!U1130</f>
        <v>592.05</v>
      </c>
      <c r="D858" s="1" t="str">
        <f aca="false">Report!X1130</f>
        <v>NF 1330 4/4 - ALICIA</v>
      </c>
    </row>
    <row r="859" customFormat="false" ht="12.75" hidden="false" customHeight="false" outlineLevel="0" collapsed="false">
      <c r="A859" s="23" t="n">
        <f aca="false">Report!C1131</f>
        <v>46274</v>
      </c>
      <c r="B859" s="1" t="str">
        <f aca="false">Report!E1131</f>
        <v>MARTINS COM SERV DISTR SA</v>
      </c>
      <c r="C859" s="24" t="n">
        <f aca="false">Report!U1131</f>
        <v>1718.76</v>
      </c>
      <c r="D859" s="1" t="str">
        <f aca="false">Report!X1131</f>
        <v>NF 1771475 3/4 - ALICIA</v>
      </c>
    </row>
    <row r="860" customFormat="false" ht="12.75" hidden="false" customHeight="false" outlineLevel="0" collapsed="false">
      <c r="A860" s="23" t="n">
        <f aca="false">Report!C1136</f>
        <v>46276</v>
      </c>
      <c r="B860" s="1" t="str">
        <f aca="false">Report!E1136</f>
        <v>FUNNY PET DISTRIBUIDORA DE ALIMENTOS PAR</v>
      </c>
      <c r="C860" s="24" t="n">
        <f aca="false">Report!U1136</f>
        <v>245.49</v>
      </c>
      <c r="D860" s="1" t="str">
        <f aca="false">Report!X1136</f>
        <v>NF 20469 1/1 - ALICIA</v>
      </c>
    </row>
    <row r="861" customFormat="false" ht="12.75" hidden="false" customHeight="false" outlineLevel="0" collapsed="false">
      <c r="A861" s="23" t="n">
        <f aca="false">Report!C1155</f>
        <v>46287</v>
      </c>
      <c r="B861" s="1" t="str">
        <f aca="false">Report!E1155</f>
        <v>ADRIANA DISTRIBUIDORA DE PRODUTOS ALIMEN</v>
      </c>
      <c r="C861" s="24" t="n">
        <f aca="false">Report!U1155</f>
        <v>710.92</v>
      </c>
      <c r="D861" s="1" t="str">
        <f aca="false">Report!X1155</f>
        <v>NF 889382 2/3 - ALICIA</v>
      </c>
    </row>
    <row r="862" customFormat="false" ht="12.75" hidden="false" customHeight="false" outlineLevel="0" collapsed="false">
      <c r="A862" s="23" t="n">
        <f aca="false">Report!C1160</f>
        <v>46290</v>
      </c>
      <c r="B862" s="1" t="str">
        <f aca="false">Report!E1160</f>
        <v>CLEVERSON BARBOSA DA SILVA - ME</v>
      </c>
      <c r="C862" s="24" t="n">
        <f aca="false">Report!U1160</f>
        <v>93.33</v>
      </c>
      <c r="D862" s="1" t="str">
        <f aca="false">Report!X1160</f>
        <v>RECIBO- 3/3 COMPRA DE GAS E FILTRO P/ AR-CONDICIONADO-ALICIA</v>
      </c>
    </row>
    <row r="863" customFormat="false" ht="12.75" hidden="false" customHeight="false" outlineLevel="0" collapsed="false">
      <c r="A863" s="23" t="n">
        <f aca="false">Report!C1161</f>
        <v>46290</v>
      </c>
      <c r="B863" s="1" t="str">
        <f aca="false">Report!E1161</f>
        <v>A. CORREA JUNIOR</v>
      </c>
      <c r="C863" s="24" t="n">
        <f aca="false">Report!U1161</f>
        <v>1615.17</v>
      </c>
      <c r="D863" s="1" t="str">
        <f aca="false">Report!X1161</f>
        <v>NF 1887 COMPRAS ELETRONICOS - ALICIA</v>
      </c>
    </row>
    <row r="864" customFormat="false" ht="12.75" hidden="false" customHeight="false" outlineLevel="0" collapsed="false">
      <c r="A864" s="23" t="n">
        <f aca="false">Report!C1170</f>
        <v>46302</v>
      </c>
      <c r="B864" s="1" t="str">
        <f aca="false">Report!E1170</f>
        <v>ADRIANA DISTRIBUIDORA DE PRODUTOS ALIMEN</v>
      </c>
      <c r="C864" s="24" t="n">
        <f aca="false">Report!U1170</f>
        <v>710.92</v>
      </c>
      <c r="D864" s="1" t="str">
        <f aca="false">Report!X1170</f>
        <v>NF 889382 3/3 - ALICIA</v>
      </c>
    </row>
    <row r="865" customFormat="false" ht="12.75" hidden="false" customHeight="false" outlineLevel="0" collapsed="false">
      <c r="A865" s="23" t="n">
        <f aca="false">Report!C1171</f>
        <v>46304</v>
      </c>
      <c r="B865" s="1" t="str">
        <f aca="false">Report!E1171</f>
        <v>MARTINS COM SERV DISTR SA</v>
      </c>
      <c r="C865" s="24" t="n">
        <f aca="false">Report!U1171</f>
        <v>1718.76</v>
      </c>
      <c r="D865" s="1" t="str">
        <f aca="false">Report!X1171</f>
        <v>NF 1771475 4/4 - ALICIA</v>
      </c>
    </row>
    <row r="866" customFormat="false" ht="12.75" hidden="false" customHeight="false" outlineLevel="0" collapsed="false">
      <c r="A866" s="23" t="n">
        <f aca="false">Report!C1193</f>
        <v>46320</v>
      </c>
      <c r="B866" s="1" t="str">
        <f aca="false">Report!E1193</f>
        <v>A. CORREA JUNIOR</v>
      </c>
      <c r="C866" s="24" t="n">
        <f aca="false">Report!U1193</f>
        <v>1615.17</v>
      </c>
      <c r="D866" s="1" t="str">
        <f aca="false">Report!X1193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9"/>
      <c r="B1" s="27"/>
      <c r="C1" s="27"/>
      <c r="D1" s="27"/>
    </row>
    <row r="2" customFormat="false" ht="12.75" hidden="false" customHeight="true" outlineLevel="0" collapsed="false">
      <c r="A2" s="28" t="s">
        <v>1285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8" t="s">
        <v>1286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8" t="s">
        <v>1287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8" t="s">
        <v>1288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8" t="s">
        <v>1289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8" t="s">
        <v>1290</v>
      </c>
      <c r="B7" s="17" t="n">
        <f aca="false">SUMIFS(Report!$U:$U,Report!$T:$T,"&lt;&gt;"&amp;"MERCADORIAS P/REVENDA",Report!$AA:$AA,"SIM",Report!$C:$C,"&gt;="&amp;DATE(2026,6,1),Report!$C:$C,"&lt;="&amp;DATE(2026,6,30))</f>
        <v>7011.03</v>
      </c>
      <c r="C7" s="17" t="n">
        <f aca="false">SUMIFS(Report!$U:$U,Report!$T:$T,"MERCADORIAS P/REVENDA",Report!$AA:$AA,"SIM",Report!$C:$C,"&gt;="&amp;DATE(2026,6,1),Report!$C:$C,"&lt;="&amp;DATE(2026,6,30))</f>
        <v>67379.24</v>
      </c>
      <c r="D7" s="17" t="n">
        <f aca="false">B7+C7</f>
        <v>74390.27</v>
      </c>
    </row>
    <row r="8" customFormat="false" ht="12.75" hidden="false" customHeight="true" outlineLevel="0" collapsed="false">
      <c r="A8" s="28" t="s">
        <v>1291</v>
      </c>
      <c r="B8" s="17" t="n">
        <f aca="false">SUMIFS(Report!$U:$U,Report!$T:$T,"&lt;&gt;"&amp;"MERCADORIAS P/REVENDA",Report!$AA:$AA,"SIM",Report!$C:$C,"&gt;="&amp;DATE(2026,7,1),Report!$C:$C,"&lt;="&amp;DATE(2026,7,31))</f>
        <v>154728.31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604222.63</v>
      </c>
    </row>
    <row r="9" customFormat="false" ht="12.75" hidden="false" customHeight="true" outlineLevel="0" collapsed="false">
      <c r="A9" s="28" t="s">
        <v>1292</v>
      </c>
      <c r="B9" s="17" t="n">
        <f aca="false">SUMIFS(Report!$U:$U,Report!$T:$T,"&lt;&gt;"&amp;"MERCADORIAS P/REVENDA",Report!$AA:$AA,"SIM",Report!$C:$C,"&gt;="&amp;DATE(2026,8,1),Report!$C:$C,"&lt;="&amp;DATE(2026,8,31))</f>
        <v>102460.77</v>
      </c>
      <c r="C9" s="17" t="n">
        <f aca="false">SUMIFS(Report!$U:$U,Report!$T:$T,"MERCADORIAS P/REVENDA",Report!$AA:$AA,"SIM",Report!$C:$C,"&gt;="&amp;DATE(2026,8,1),Report!$C:$C,"&lt;="&amp;DATE(2026,8,31))</f>
        <v>230514.07</v>
      </c>
      <c r="D9" s="17" t="n">
        <f aca="false">B9+C9</f>
        <v>332974.84</v>
      </c>
    </row>
    <row r="10" customFormat="false" ht="12.75" hidden="false" customHeight="true" outlineLevel="0" collapsed="false">
      <c r="A10" s="28" t="s">
        <v>1293</v>
      </c>
      <c r="B10" s="17" t="n">
        <f aca="false">SUMIFS(Report!$U:$U,Report!$T:$T,"&lt;&gt;"&amp;"MERCADORIAS P/REVENDA",Report!$AA:$AA,"SIM",Report!$C:$C,"&gt;="&amp;DATE(2026,9,1),Report!$C:$C,"&lt;="&amp;DATE(2026,9,30))</f>
        <v>41965.86</v>
      </c>
      <c r="C10" s="17" t="n">
        <f aca="false">SUMIFS(Report!$U:$U,Report!$T:$T,"MERCADORIAS P/REVENDA",Report!$AA:$AA,"SIM",Report!$C:$C,"&gt;="&amp;DATE(2026,9,1),Report!$C:$C,"&lt;="&amp;DATE(2026,9,30))</f>
        <v>15736.45</v>
      </c>
      <c r="D10" s="17" t="n">
        <f aca="false">B10+C10</f>
        <v>57702.31</v>
      </c>
    </row>
    <row r="11" customFormat="false" ht="12.75" hidden="false" customHeight="true" outlineLevel="0" collapsed="false">
      <c r="A11" s="28" t="s">
        <v>1294</v>
      </c>
      <c r="B11" s="17" t="n">
        <f aca="false">SUMIFS(Report!$U:$U,Report!$T:$T,"&lt;&gt;"&amp;"MERCADORIAS P/REVENDA",Report!$AA:$AA,"SIM",Report!$C:$C,"&gt;="&amp;DATE(2026,10,1),Report!$C:$C,"&lt;="&amp;DATE(2026,10,31))</f>
        <v>40625.13</v>
      </c>
      <c r="C11" s="17" t="n">
        <f aca="false">SUMIFS(Report!$U:$U,Report!$T:$T,"MERCADORIAS P/REVENDA",Report!$AA:$AA,"SIM",Report!$C:$C,"&gt;="&amp;DATE(2026,10,1),Report!$C:$C,"&lt;="&amp;DATE(2026,10,31))</f>
        <v>4044.85</v>
      </c>
      <c r="D11" s="17" t="n">
        <f aca="false">B11+C11</f>
        <v>44669.98</v>
      </c>
    </row>
    <row r="12" customFormat="false" ht="12.75" hidden="false" customHeight="true" outlineLevel="0" collapsed="false">
      <c r="A12" s="28" t="s">
        <v>1295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8" t="s">
        <v>1296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8" t="s">
        <v>1297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8" t="s">
        <v>1298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8" t="s">
        <v>1299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8" t="s">
        <v>1300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8" t="s">
        <v>1301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8" t="s">
        <v>1302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8" t="s">
        <v>1303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8" t="s">
        <v>1304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8" t="s">
        <v>1305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8" t="s">
        <v>1306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8" t="s">
        <v>1307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8" t="s">
        <v>1308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1309</v>
      </c>
      <c r="B26" s="27" t="n">
        <f aca="false">SUM(B2:B25)</f>
        <v>346791.1</v>
      </c>
      <c r="C26" s="27" t="n">
        <f aca="false">SUM(C2:C25)</f>
        <v>767168.93</v>
      </c>
      <c r="D26" s="27" t="n">
        <f aca="false">SUM(D2:D25)</f>
        <v>1113960.03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6" t="s">
        <v>1310</v>
      </c>
      <c r="B2" s="30" t="n">
        <v>46023</v>
      </c>
      <c r="C2" s="30" t="n">
        <v>46054</v>
      </c>
      <c r="D2" s="30" t="n">
        <v>46082</v>
      </c>
      <c r="E2" s="30" t="n">
        <v>46113</v>
      </c>
      <c r="F2" s="30" t="n">
        <v>46143</v>
      </c>
      <c r="G2" s="30" t="n">
        <v>46174</v>
      </c>
      <c r="H2" s="30" t="n">
        <v>46204</v>
      </c>
      <c r="I2" s="30" t="n">
        <v>46235</v>
      </c>
      <c r="J2" s="30" t="n">
        <v>46266</v>
      </c>
      <c r="K2" s="30" t="n">
        <v>46296</v>
      </c>
      <c r="L2" s="30" t="n">
        <v>46327</v>
      </c>
      <c r="M2" s="30" t="n">
        <v>46357</v>
      </c>
      <c r="N2" s="30" t="n">
        <v>46388</v>
      </c>
      <c r="O2" s="30" t="n">
        <v>46419</v>
      </c>
      <c r="P2" s="30" t="n">
        <v>46447</v>
      </c>
      <c r="Q2" s="30" t="n">
        <v>46478</v>
      </c>
      <c r="R2" s="30" t="n">
        <v>46508</v>
      </c>
      <c r="S2" s="30" t="n">
        <v>46539</v>
      </c>
      <c r="T2" s="30" t="n">
        <v>46569</v>
      </c>
      <c r="U2" s="30" t="n">
        <v>46600</v>
      </c>
      <c r="V2" s="30" t="n">
        <v>46631</v>
      </c>
      <c r="W2" s="30" t="n">
        <v>46661</v>
      </c>
      <c r="X2" s="30" t="n">
        <v>46692</v>
      </c>
      <c r="Y2" s="30" t="n">
        <v>46722</v>
      </c>
      <c r="Z2" s="27" t="s">
        <v>1311</v>
      </c>
      <c r="AA2" s="26"/>
      <c r="AB2" s="26" t="s">
        <v>1312</v>
      </c>
      <c r="AC2" s="26" t="s">
        <v>1313</v>
      </c>
      <c r="AE2" s="1" t="s">
        <v>1314</v>
      </c>
    </row>
    <row r="3" customFormat="false" ht="12.75" hidden="false" customHeight="true" outlineLevel="0" collapsed="false">
      <c r="A3" s="26" t="s">
        <v>1315</v>
      </c>
      <c r="B3" s="27" t="n">
        <f aca="false">SUMIFS(Report!$U:$U,Report!$AA:$AA,"SIM",Report!$C:$C,"&gt;="&amp;DATE(2026,1,1),Report!$C:$C,"&lt;="&amp;DATE(2026,1,31))</f>
        <v>0</v>
      </c>
      <c r="C3" s="27" t="n">
        <f aca="false">SUMIFS(Report!$U:$U,Report!$AA:$AA,"SIM",Report!$C:$C,"&gt;="&amp;DATE(2026,2,1),Report!$C:$C,"&lt;="&amp;DATE(2026,2,28))</f>
        <v>0</v>
      </c>
      <c r="D3" s="27" t="n">
        <f aca="false">SUMIFS(Report!$U:$U,Report!$AA:$AA,"SIM",Report!$C:$C,"&gt;="&amp;DATE(2026,3,1),Report!$C:$C,"&lt;="&amp;DATE(2026,3,31))</f>
        <v>0</v>
      </c>
      <c r="E3" s="27" t="n">
        <f aca="false">SUMIFS(Report!$U:$U,Report!$AA:$AA,"SIM",Report!$C:$C,"&gt;="&amp;DATE(2026,4,1),Report!$C:$C,"&lt;="&amp;DATE(2026,4,30))</f>
        <v>0</v>
      </c>
      <c r="F3" s="27" t="n">
        <f aca="false">SUMIFS(Report!$U:$U,Report!$AA:$AA,"SIM",Report!$C:$C,"&gt;="&amp;DATE(2026,5,1),Report!$C:$C,"&lt;="&amp;DATE(2026,5,31))</f>
        <v>0</v>
      </c>
      <c r="G3" s="27" t="n">
        <f aca="false">SUMIFS(Report!$U:$U,Report!$AA:$AA,"SIM",Report!$C:$C,"&gt;="&amp;DATE(2026,6,1),Report!$C:$C,"&lt;="&amp;DATE(2026,6,30))</f>
        <v>74390.27</v>
      </c>
      <c r="H3" s="27" t="n">
        <f aca="false">SUMIFS(Report!$U:$U,Report!$AA:$AA,"SIM",Report!$C:$C,"&gt;="&amp;DATE(2026,7,1),Report!$C:$C,"&lt;="&amp;DATE(2026,7,31))</f>
        <v>604222.63</v>
      </c>
      <c r="I3" s="27" t="n">
        <f aca="false">SUMIFS(Report!$U:$U,Report!$AA:$AA,"SIM",Report!$C:$C,"&gt;="&amp;DATE(2026,8,1),Report!$C:$C,"&lt;="&amp;DATE(2026,8,31))</f>
        <v>332974.84</v>
      </c>
      <c r="J3" s="27" t="n">
        <f aca="false">SUMIFS(Report!$U:$U,Report!$AA:$AA,"SIM",Report!$C:$C,"&gt;="&amp;DATE(2026,9,1),Report!$C:$C,"&lt;="&amp;DATE(2026,9,30))</f>
        <v>57702.31</v>
      </c>
      <c r="K3" s="27" t="n">
        <f aca="false">SUMIFS(Report!$U:$U,Report!$AA:$AA,"SIM",Report!$C:$C,"&gt;="&amp;DATE(2026,10,1),Report!$C:$C,"&lt;="&amp;DATE(2026,10,31))</f>
        <v>44669.98</v>
      </c>
      <c r="L3" s="27" t="n">
        <f aca="false">SUMIFS(Report!$U:$U,Report!$AA:$AA,"SIM",Report!$C:$C,"&gt;="&amp;DATE(2026,11,1),Report!$C:$C,"&lt;="&amp;DATE(2026,11,30))</f>
        <v>0</v>
      </c>
      <c r="M3" s="27" t="n">
        <f aca="false">SUMIFS(Report!$U:$U,Report!$AA:$AA,"SIM",Report!$C:$C,"&gt;="&amp;DATE(2026,12,1),Report!$C:$C,"&lt;="&amp;DATE(2026,12,31))</f>
        <v>0</v>
      </c>
      <c r="N3" s="27" t="n">
        <f aca="false">SUMIFS(Report!$U:$U,Report!$AA:$AA,"SIM",Report!$C:$C,"&gt;="&amp;DATE(2027,1,1),Report!$C:$C,"&lt;="&amp;DATE(2027,1,31))</f>
        <v>0</v>
      </c>
      <c r="O3" s="27" t="n">
        <f aca="false">SUMIFS(Report!$U:$U,Report!$AA:$AA,"SIM",Report!$C:$C,"&gt;="&amp;DATE(2027,2,1),Report!$C:$C,"&lt;="&amp;DATE(2027,2,28))</f>
        <v>0</v>
      </c>
      <c r="P3" s="27" t="n">
        <f aca="false">SUMIFS(Report!$U:$U,Report!$AA:$AA,"SIM",Report!$C:$C,"&gt;="&amp;DATE(2027,3,1),Report!$C:$C,"&lt;="&amp;DATE(2027,3,31))</f>
        <v>0</v>
      </c>
      <c r="Q3" s="27" t="n">
        <f aca="false">SUMIFS(Report!$U:$U,Report!$AA:$AA,"SIM",Report!$C:$C,"&gt;="&amp;DATE(2027,4,1),Report!$C:$C,"&lt;="&amp;DATE(2027,4,30))</f>
        <v>0</v>
      </c>
      <c r="R3" s="27" t="n">
        <f aca="false">SUMIFS(Report!$U:$U,Report!$AA:$AA,"SIM",Report!$C:$C,"&gt;="&amp;DATE(2027,5,1),Report!$C:$C,"&lt;="&amp;DATE(2027,5,31))</f>
        <v>0</v>
      </c>
      <c r="S3" s="27" t="n">
        <f aca="false">SUMIFS(Report!$U:$U,Report!$AA:$AA,"SIM",Report!$C:$C,"&gt;="&amp;DATE(2027,6,1),Report!$C:$C,"&lt;="&amp;DATE(2027,6,30))</f>
        <v>0</v>
      </c>
      <c r="T3" s="27" t="n">
        <f aca="false">SUMIFS(Report!$U:$U,Report!$AA:$AA,"SIM",Report!$C:$C,"&gt;="&amp;DATE(2027,7,1),Report!$C:$C,"&lt;="&amp;DATE(2027,7,31))</f>
        <v>0</v>
      </c>
      <c r="U3" s="27" t="n">
        <f aca="false">SUMIFS(Report!$U:$U,Report!$AA:$AA,"SIM",Report!$C:$C,"&gt;="&amp;DATE(2027,8,1),Report!$C:$C,"&lt;="&amp;DATE(2027,8,31))</f>
        <v>0</v>
      </c>
      <c r="V3" s="27" t="n">
        <f aca="false">SUMIFS(Report!$U:$U,Report!$AA:$AA,"SIM",Report!$C:$C,"&gt;="&amp;DATE(2027,9,1),Report!$C:$C,"&lt;="&amp;DATE(2027,9,30))</f>
        <v>0</v>
      </c>
      <c r="W3" s="27" t="n">
        <f aca="false">SUMIFS(Report!$U:$U,Report!$AA:$AA,"SIM",Report!$C:$C,"&gt;="&amp;DATE(2027,10,1),Report!$C:$C,"&lt;="&amp;DATE(2027,10,31))</f>
        <v>0</v>
      </c>
      <c r="X3" s="27" t="n">
        <f aca="false">SUMIFS(Report!$U:$U,Report!$AA:$AA,"SIM",Report!$C:$C,"&gt;="&amp;DATE(2027,11,1),Report!$C:$C,"&lt;="&amp;DATE(2027,11,30))</f>
        <v>0</v>
      </c>
      <c r="Y3" s="27" t="n">
        <f aca="false">SUMIFS(Report!$U:$U,Report!$AA:$AA,"SIM",Report!$C:$C,"&gt;="&amp;DATE(2027,12,1),Report!$C:$C,"&lt;="&amp;DATE(2027,12,31))</f>
        <v>0</v>
      </c>
      <c r="Z3" s="27" t="n">
        <f aca="false">SUM(B3:Y3)</f>
        <v>1113960.03</v>
      </c>
      <c r="AB3" s="1" t="s">
        <v>249</v>
      </c>
      <c r="AC3" s="1" t="s">
        <v>1316</v>
      </c>
      <c r="AE3" s="1" t="s">
        <v>1016</v>
      </c>
    </row>
    <row r="4" customFormat="false" ht="12.75" hidden="false" customHeight="true" outlineLevel="0" collapsed="false">
      <c r="A4" s="1" t="s">
        <v>1316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1718.85</v>
      </c>
      <c r="H4" s="17" t="n">
        <f aca="false">SUMIFS(Report!$U:$U,Report!$Z:$Z,"Despesa",Report!$AA:$AA,"SIM",Report!$C:$C,"&gt;="&amp;DATE(2026,7,1),Report!$C:$C,"&lt;="&amp;DATE(2026,7,31))</f>
        <v>76044.63</v>
      </c>
      <c r="I4" s="17" t="n">
        <f aca="false">SUMIFS(Report!$U:$U,Report!$Z:$Z,"Despesa",Report!$AA:$AA,"SIM",Report!$C:$C,"&gt;="&amp;DATE(2026,8,1),Report!$C:$C,"&lt;="&amp;DATE(2026,8,31))</f>
        <v>40912.82</v>
      </c>
      <c r="J4" s="17" t="n">
        <f aca="false">SUMIFS(Report!$U:$U,Report!$Z:$Z,"Despesa",Report!$AA:$AA,"SIM",Report!$C:$C,"&gt;="&amp;DATE(2026,9,1),Report!$C:$C,"&lt;="&amp;DATE(2026,9,30))</f>
        <v>19948.65</v>
      </c>
      <c r="K4" s="17" t="n">
        <f aca="false">SUMIFS(Report!$U:$U,Report!$Z:$Z,"Despesa",Report!$AA:$AA,"SIM",Report!$C:$C,"&gt;="&amp;DATE(2026,10,1),Report!$C:$C,"&lt;="&amp;DATE(2026,10,31))</f>
        <v>18607.92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157232.87</v>
      </c>
      <c r="AB4" s="1" t="s">
        <v>226</v>
      </c>
      <c r="AC4" s="1" t="s">
        <v>1316</v>
      </c>
    </row>
    <row r="5" customFormat="false" ht="12.75" hidden="false" customHeight="true" outlineLevel="0" collapsed="false">
      <c r="A5" s="1" t="s">
        <v>1317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0</v>
      </c>
      <c r="H5" s="17" t="n">
        <f aca="false">SUMIFS(Report!$U:$U,Report!$Z:$Z,"Empréstimo",Report!$AA:$AA,"SIM",Report!$C:$C,"&gt;="&amp;DATE(2026,7,1),Report!$C:$C,"&lt;="&amp;DATE(2026,7,31))</f>
        <v>19303.34</v>
      </c>
      <c r="I5" s="17" t="n">
        <f aca="false">SUMIFS(Report!$U:$U,Report!$Z:$Z,"Empréstimo",Report!$AA:$AA,"SIM",Report!$C:$C,"&gt;="&amp;DATE(2026,8,1),Report!$C:$C,"&lt;="&amp;DATE(2026,8,31))</f>
        <v>20228.92</v>
      </c>
      <c r="J5" s="17" t="n">
        <f aca="false">SUMIFS(Report!$U:$U,Report!$Z:$Z,"Empréstimo",Report!$AA:$AA,"SIM",Report!$C:$C,"&gt;="&amp;DATE(2026,9,1),Report!$C:$C,"&lt;="&amp;DATE(2026,9,30))</f>
        <v>19192.01</v>
      </c>
      <c r="K5" s="17" t="n">
        <f aca="false">SUMIFS(Report!$U:$U,Report!$Z:$Z,"Empréstimo",Report!$AA:$AA,"SIM",Report!$C:$C,"&gt;="&amp;DATE(2026,10,1),Report!$C:$C,"&lt;="&amp;DATE(2026,10,31))</f>
        <v>19192.01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77916.28</v>
      </c>
      <c r="AB5" s="1" t="s">
        <v>488</v>
      </c>
      <c r="AC5" s="1" t="s">
        <v>1316</v>
      </c>
    </row>
    <row r="6" customFormat="false" ht="12.75" hidden="false" customHeight="true" outlineLevel="0" collapsed="false">
      <c r="A6" s="1" t="s">
        <v>1318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612.62</v>
      </c>
      <c r="H6" s="17" t="n">
        <f aca="false">SUMIFS(Report!$U:$U,Report!$Z:$Z,"Impostos",Report!$AA:$AA,"SIM",Report!$C:$C,"&gt;="&amp;DATE(2026,7,1),Report!$C:$C,"&lt;="&amp;DATE(2026,7,31))</f>
        <v>13314.44</v>
      </c>
      <c r="I6" s="17" t="n">
        <f aca="false">SUMIFS(Report!$U:$U,Report!$Z:$Z,"Impostos",Report!$AA:$AA,"SIM",Report!$C:$C,"&gt;="&amp;DATE(2026,8,1),Report!$C:$C,"&lt;="&amp;DATE(2026,8,31))</f>
        <v>10978.68</v>
      </c>
      <c r="J6" s="17" t="n">
        <f aca="false">SUMIFS(Report!$U:$U,Report!$Z:$Z,"Impostos",Report!$AA:$AA,"SIM",Report!$C:$C,"&gt;="&amp;DATE(2026,9,1),Report!$C:$C,"&lt;="&amp;DATE(2026,9,30))</f>
        <v>225.2</v>
      </c>
      <c r="K6" s="17" t="n">
        <f aca="false">SUMIFS(Report!$U:$U,Report!$Z:$Z,"Impostos",Report!$AA:$AA,"SIM",Report!$C:$C,"&gt;="&amp;DATE(2026,10,1),Report!$C:$C,"&lt;="&amp;DATE(2026,10,31))</f>
        <v>225.2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25356.14</v>
      </c>
      <c r="AB6" s="1" t="s">
        <v>667</v>
      </c>
      <c r="AC6" s="1" t="s">
        <v>1316</v>
      </c>
    </row>
    <row r="7" customFormat="false" ht="12.75" hidden="false" customHeight="true" outlineLevel="0" collapsed="false">
      <c r="A7" s="1" t="s">
        <v>1319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67379.24</v>
      </c>
      <c r="H7" s="17" t="n">
        <f aca="false">SUMIFS(Report!$U:$U,Report!$Z:$Z,"Mercadoria",Report!$AA:$AA,"SIM",Report!$C:$C,"&gt;="&amp;DATE(2026,7,1),Report!$C:$C,"&lt;="&amp;DATE(2026,7,31))</f>
        <v>449494.32</v>
      </c>
      <c r="I7" s="17" t="n">
        <f aca="false">SUMIFS(Report!$U:$U,Report!$Z:$Z,"Mercadoria",Report!$AA:$AA,"SIM",Report!$C:$C,"&gt;="&amp;DATE(2026,8,1),Report!$C:$C,"&lt;="&amp;DATE(2026,8,31))</f>
        <v>230514.07</v>
      </c>
      <c r="J7" s="17" t="n">
        <f aca="false">SUMIFS(Report!$U:$U,Report!$Z:$Z,"Mercadoria",Report!$AA:$AA,"SIM",Report!$C:$C,"&gt;="&amp;DATE(2026,9,1),Report!$C:$C,"&lt;="&amp;DATE(2026,9,30))</f>
        <v>15736.45</v>
      </c>
      <c r="K7" s="17" t="n">
        <f aca="false">SUMIFS(Report!$U:$U,Report!$Z:$Z,"Mercadoria",Report!$AA:$AA,"SIM",Report!$C:$C,"&gt;="&amp;DATE(2026,10,1),Report!$C:$C,"&lt;="&amp;DATE(2026,10,31))</f>
        <v>4044.85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767168.93</v>
      </c>
      <c r="AB7" s="1" t="s">
        <v>241</v>
      </c>
      <c r="AC7" s="1" t="s">
        <v>1316</v>
      </c>
    </row>
    <row r="8" customFormat="false" ht="12.75" hidden="false" customHeight="true" outlineLevel="0" collapsed="false">
      <c r="A8" s="1" t="s">
        <v>1320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0</v>
      </c>
      <c r="H8" s="17" t="n">
        <f aca="false">SUMIFS(Report!$U:$U,Report!$Z:$Z,"Pagamentos outros não operacionais",Report!$AA:$AA,"SIM",Report!$C:$C,"&gt;="&amp;DATE(2026,7,1),Report!$C:$C,"&lt;="&amp;DATE(2026,7,31))</f>
        <v>16460.27</v>
      </c>
      <c r="I8" s="17" t="n">
        <f aca="false">SUMIFS(Report!$U:$U,Report!$Z:$Z,"Pagamentos outros não operacionais",Report!$AA:$AA,"SIM",Report!$C:$C,"&gt;="&amp;DATE(2026,8,1),Report!$C:$C,"&lt;="&amp;DATE(2026,8,31))</f>
        <v>10669.98</v>
      </c>
      <c r="J8" s="17" t="n">
        <f aca="false">SUMIFS(Report!$U:$U,Report!$Z:$Z,"Pagamentos outros não operacionais",Report!$AA:$AA,"SIM",Report!$C:$C,"&gt;="&amp;DATE(2026,9,1),Report!$C:$C,"&lt;="&amp;DATE(2026,9,30))</f>
        <v>2600</v>
      </c>
      <c r="K8" s="17" t="n">
        <f aca="false">SUMIFS(Report!$U:$U,Report!$Z:$Z,"Pagamentos outros não operacionais",Report!$AA:$AA,"SIM",Report!$C:$C,"&gt;="&amp;DATE(2026,10,1),Report!$C:$C,"&lt;="&amp;DATE(2026,10,31))</f>
        <v>2600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32330.25</v>
      </c>
      <c r="AB8" s="1" t="s">
        <v>673</v>
      </c>
      <c r="AC8" s="1" t="s">
        <v>1316</v>
      </c>
    </row>
    <row r="9" customFormat="false" ht="12.75" hidden="false" customHeight="true" outlineLevel="0" collapsed="false">
      <c r="A9" s="1" t="s">
        <v>1321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4679.56</v>
      </c>
      <c r="H9" s="17" t="n">
        <f aca="false">SUMIFS(Report!$U:$U,Report!$Z:$Z,"Salários",Report!$AA:$AA,"SIM",Report!$C:$C,"&gt;="&amp;DATE(2026,7,1),Report!$C:$C,"&lt;="&amp;DATE(2026,7,31))</f>
        <v>29605.63</v>
      </c>
      <c r="I9" s="17" t="n">
        <f aca="false">SUMIFS(Report!$U:$U,Report!$Z:$Z,"Salários",Report!$AA:$AA,"SIM",Report!$C:$C,"&gt;="&amp;DATE(2026,8,1),Report!$C:$C,"&lt;="&amp;DATE(2026,8,31))</f>
        <v>19670.37</v>
      </c>
      <c r="J9" s="17" t="n">
        <f aca="false">SUMIFS(Report!$U:$U,Report!$Z:$Z,"Salários",Report!$AA:$AA,"SIM",Report!$C:$C,"&gt;="&amp;DATE(2026,9,1),Report!$C:$C,"&lt;="&amp;DATE(2026,9,30))</f>
        <v>0</v>
      </c>
      <c r="K9" s="17" t="n">
        <f aca="false">SUMIFS(Report!$U:$U,Report!$Z:$Z,"Salários",Report!$AA:$AA,"SIM",Report!$C:$C,"&gt;="&amp;DATE(2026,10,1),Report!$C:$C,"&lt;="&amp;DATE(2026,10,31))</f>
        <v>0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53955.56</v>
      </c>
      <c r="AB9" s="1" t="s">
        <v>615</v>
      </c>
      <c r="AC9" s="1" t="s">
        <v>1316</v>
      </c>
    </row>
    <row r="10" customFormat="false" ht="12.75" hidden="false" customHeight="true" outlineLevel="0" collapsed="false">
      <c r="A10" s="1" t="s">
        <v>1322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L10" s="17" t="n">
        <f aca="false">L3-SUM(L4:L9)</f>
        <v>0</v>
      </c>
      <c r="M10" s="17" t="n">
        <f aca="false">M3-SUM(M4:M9)</f>
        <v>0</v>
      </c>
      <c r="N10" s="17" t="n">
        <f aca="false">N3-SUM(N4:N9)</f>
        <v>0</v>
      </c>
      <c r="O10" s="17" t="n">
        <f aca="false">O3-SUM(O4:O9)</f>
        <v>0</v>
      </c>
      <c r="P10" s="17" t="n">
        <f aca="false">P3-SUM(P4:P9)</f>
        <v>0</v>
      </c>
      <c r="Q10" s="17" t="n">
        <f aca="false">Q3-SUM(Q4:Q9)</f>
        <v>0</v>
      </c>
      <c r="R10" s="17" t="n">
        <f aca="false">R3-SUM(R4:R9)</f>
        <v>0</v>
      </c>
      <c r="S10" s="17" t="n">
        <f aca="false">S3-SUM(S4:S9)</f>
        <v>0</v>
      </c>
      <c r="T10" s="17" t="n">
        <f aca="false">T3-SUM(T4:T9)</f>
        <v>0</v>
      </c>
      <c r="U10" s="17" t="n">
        <f aca="false">U3-SUM(U4:U9)</f>
        <v>0</v>
      </c>
      <c r="V10" s="17" t="n">
        <f aca="false">V3-SUM(V4:V9)</f>
        <v>0</v>
      </c>
      <c r="W10" s="17" t="n">
        <f aca="false">W3-SUM(W4:W9)</f>
        <v>0</v>
      </c>
      <c r="X10" s="17" t="n">
        <f aca="false">X3-SUM(X4:X9)</f>
        <v>0</v>
      </c>
      <c r="Y10" s="17" t="n">
        <f aca="false">Y3-SUM(Y4:Y9)</f>
        <v>0</v>
      </c>
      <c r="Z10" s="17" t="n">
        <f aca="false">Z3-SUM(Z4:Z9)</f>
        <v>0</v>
      </c>
      <c r="AB10" s="1" t="s">
        <v>166</v>
      </c>
      <c r="AC10" s="1" t="s">
        <v>1316</v>
      </c>
    </row>
    <row r="11" customFormat="false" ht="12.75" hidden="false" customHeight="true" outlineLevel="0" collapsed="false">
      <c r="AB11" s="1" t="s">
        <v>65</v>
      </c>
      <c r="AC11" s="1" t="s">
        <v>1316</v>
      </c>
    </row>
    <row r="12" customFormat="false" ht="12.75" hidden="false" customHeight="true" outlineLevel="0" collapsed="false">
      <c r="A12" s="1" t="s">
        <v>1323</v>
      </c>
      <c r="B12" s="17" t="n">
        <f aca="false">SUMIFS(Report!$U:$U,Report!$AA:$AA,"NAO",Report!$C:$C,"&gt;="&amp;DATE(2026,1,1),Report!$C:$C,"&lt;="&amp;DATE(2027,12,31))</f>
        <v>475000</v>
      </c>
      <c r="AB12" s="1" t="s">
        <v>412</v>
      </c>
      <c r="AC12" s="1" t="s">
        <v>1317</v>
      </c>
    </row>
    <row r="13" customFormat="false" ht="12.75" hidden="false" customHeight="true" outlineLevel="0" collapsed="false">
      <c r="AB13" s="1" t="s">
        <v>372</v>
      </c>
      <c r="AC13" s="1" t="s">
        <v>1317</v>
      </c>
    </row>
    <row r="14" customFormat="false" ht="12.75" hidden="false" customHeight="true" outlineLevel="0" collapsed="false">
      <c r="AB14" s="1" t="s">
        <v>207</v>
      </c>
      <c r="AC14" s="1" t="s">
        <v>1316</v>
      </c>
    </row>
    <row r="15" customFormat="false" ht="12.75" hidden="false" customHeight="true" outlineLevel="0" collapsed="false">
      <c r="AB15" s="1" t="s">
        <v>138</v>
      </c>
      <c r="AC15" s="1" t="s">
        <v>1321</v>
      </c>
    </row>
    <row r="16" customFormat="false" ht="12.75" hidden="false" customHeight="true" outlineLevel="0" collapsed="false">
      <c r="AB16" s="1" t="s">
        <v>700</v>
      </c>
      <c r="AC16" s="1" t="s">
        <v>1318</v>
      </c>
    </row>
    <row r="17" customFormat="false" ht="12.75" hidden="false" customHeight="true" outlineLevel="0" collapsed="false">
      <c r="AB17" s="1" t="s">
        <v>32</v>
      </c>
      <c r="AC17" s="1" t="s">
        <v>1316</v>
      </c>
    </row>
    <row r="18" customFormat="false" ht="12.75" hidden="false" customHeight="true" outlineLevel="0" collapsed="false">
      <c r="AB18" s="1" t="s">
        <v>354</v>
      </c>
      <c r="AC18" s="1" t="s">
        <v>1316</v>
      </c>
    </row>
    <row r="19" customFormat="false" ht="12.75" hidden="false" customHeight="true" outlineLevel="0" collapsed="false">
      <c r="AB19" s="1" t="s">
        <v>298</v>
      </c>
      <c r="AC19" s="1" t="s">
        <v>1316</v>
      </c>
    </row>
    <row r="20" customFormat="false" ht="12.75" hidden="false" customHeight="true" outlineLevel="0" collapsed="false">
      <c r="AB20" s="1" t="s">
        <v>175</v>
      </c>
      <c r="AC20" s="1" t="s">
        <v>1318</v>
      </c>
    </row>
    <row r="21" customFormat="false" ht="12.75" hidden="false" customHeight="true" outlineLevel="0" collapsed="false">
      <c r="AB21" s="1" t="s">
        <v>949</v>
      </c>
      <c r="AC21" s="1" t="s">
        <v>1316</v>
      </c>
    </row>
    <row r="22" customFormat="false" ht="12.75" hidden="false" customHeight="true" outlineLevel="0" collapsed="false">
      <c r="AB22" s="1" t="s">
        <v>702</v>
      </c>
      <c r="AC22" s="1" t="s">
        <v>1318</v>
      </c>
    </row>
    <row r="23" customFormat="false" ht="12.75" hidden="false" customHeight="true" outlineLevel="0" collapsed="false">
      <c r="AB23" s="1" t="s">
        <v>182</v>
      </c>
      <c r="AC23" s="1" t="s">
        <v>1316</v>
      </c>
    </row>
    <row r="24" customFormat="false" ht="12.75" hidden="false" customHeight="true" outlineLevel="0" collapsed="false">
      <c r="AB24" s="1" t="s">
        <v>257</v>
      </c>
      <c r="AC24" s="1" t="s">
        <v>1316</v>
      </c>
    </row>
    <row r="25" customFormat="false" ht="12.75" hidden="false" customHeight="true" outlineLevel="0" collapsed="false">
      <c r="AB25" s="1" t="s">
        <v>557</v>
      </c>
      <c r="AC25" s="1" t="s">
        <v>1318</v>
      </c>
    </row>
    <row r="26" customFormat="false" ht="12.75" hidden="false" customHeight="true" outlineLevel="0" collapsed="false">
      <c r="AB26" s="1" t="s">
        <v>170</v>
      </c>
      <c r="AC26" s="1" t="s">
        <v>1316</v>
      </c>
    </row>
    <row r="27" customFormat="false" ht="12.75" hidden="false" customHeight="true" outlineLevel="0" collapsed="false">
      <c r="AB27" s="1" t="s">
        <v>260</v>
      </c>
      <c r="AC27" s="1" t="s">
        <v>1317</v>
      </c>
    </row>
    <row r="28" customFormat="false" ht="12.75" hidden="false" customHeight="true" outlineLevel="0" collapsed="false">
      <c r="AB28" s="1" t="s">
        <v>791</v>
      </c>
      <c r="AC28" s="1" t="s">
        <v>1316</v>
      </c>
    </row>
    <row r="29" customFormat="false" ht="12.75" hidden="false" customHeight="true" outlineLevel="0" collapsed="false">
      <c r="AB29" s="1" t="s">
        <v>823</v>
      </c>
      <c r="AC29" s="1" t="s">
        <v>1316</v>
      </c>
    </row>
    <row r="30" customFormat="false" ht="12.75" hidden="false" customHeight="true" outlineLevel="0" collapsed="false">
      <c r="AB30" s="1" t="s">
        <v>842</v>
      </c>
      <c r="AC30" s="1" t="s">
        <v>1316</v>
      </c>
    </row>
    <row r="31" customFormat="false" ht="12.75" hidden="false" customHeight="true" outlineLevel="0" collapsed="false">
      <c r="AB31" s="1" t="s">
        <v>37</v>
      </c>
      <c r="AC31" s="1" t="s">
        <v>1319</v>
      </c>
    </row>
    <row r="32" customFormat="false" ht="12.75" hidden="false" customHeight="true" outlineLevel="0" collapsed="false">
      <c r="AB32" s="1" t="s">
        <v>223</v>
      </c>
      <c r="AC32" s="1" t="s">
        <v>1320</v>
      </c>
    </row>
    <row r="33" customFormat="false" ht="12.75" hidden="false" customHeight="true" outlineLevel="0" collapsed="false">
      <c r="AB33" s="1" t="s">
        <v>878</v>
      </c>
      <c r="AC33" s="1" t="s">
        <v>1316</v>
      </c>
    </row>
    <row r="34" customFormat="false" ht="12.75" hidden="false" customHeight="true" outlineLevel="0" collapsed="false">
      <c r="AB34" s="1" t="s">
        <v>1016</v>
      </c>
      <c r="AC34" s="1" t="s">
        <v>1317</v>
      </c>
    </row>
    <row r="35" customFormat="false" ht="12.75" hidden="false" customHeight="true" outlineLevel="0" collapsed="false">
      <c r="AB35" s="1" t="s">
        <v>709</v>
      </c>
      <c r="AC35" s="1" t="s">
        <v>1316</v>
      </c>
    </row>
    <row r="36" customFormat="false" ht="12.75" hidden="false" customHeight="true" outlineLevel="0" collapsed="false">
      <c r="AB36" s="1" t="s">
        <v>172</v>
      </c>
      <c r="AC36" s="1" t="s">
        <v>1318</v>
      </c>
    </row>
    <row r="37" customFormat="false" ht="12.75" hidden="false" customHeight="true" outlineLevel="0" collapsed="false">
      <c r="AB37" s="1" t="s">
        <v>764</v>
      </c>
      <c r="AC37" s="1" t="s">
        <v>1321</v>
      </c>
    </row>
    <row r="38" customFormat="false" ht="12.75" hidden="false" customHeight="true" outlineLevel="0" collapsed="false">
      <c r="AB38" s="1" t="s">
        <v>357</v>
      </c>
      <c r="AC38" s="1" t="s">
        <v>1321</v>
      </c>
    </row>
    <row r="39" customFormat="false" ht="12.75" hidden="false" customHeight="true" outlineLevel="0" collapsed="false">
      <c r="AB39" s="1" t="s">
        <v>480</v>
      </c>
      <c r="AC39" s="1" t="s">
        <v>1316</v>
      </c>
    </row>
    <row r="40" customFormat="false" ht="12.75" hidden="false" customHeight="true" outlineLevel="0" collapsed="false">
      <c r="AB40" s="1" t="s">
        <v>676</v>
      </c>
      <c r="AC40" s="1" t="s">
        <v>1316</v>
      </c>
    </row>
    <row r="41" customFormat="false" ht="12.75" hidden="false" customHeight="true" outlineLevel="0" collapsed="false">
      <c r="AB41" s="1" t="s">
        <v>704</v>
      </c>
      <c r="AC41" s="1" t="s">
        <v>1318</v>
      </c>
    </row>
    <row r="42" customFormat="false" ht="12.75" hidden="false" customHeight="true" outlineLevel="0" collapsed="false">
      <c r="AB42" s="1" t="s">
        <v>338</v>
      </c>
      <c r="AC42" s="1" t="s">
        <v>1316</v>
      </c>
    </row>
    <row r="43" customFormat="false" ht="12.75" hidden="false" customHeight="true" outlineLevel="0" collapsed="false">
      <c r="AB43" s="1" t="s">
        <v>632</v>
      </c>
      <c r="AC43" s="1" t="s">
        <v>1316</v>
      </c>
    </row>
    <row r="44" customFormat="false" ht="12.75" hidden="false" customHeight="true" outlineLevel="0" collapsed="false">
      <c r="AB44" s="1" t="s">
        <v>238</v>
      </c>
      <c r="AC44" s="1" t="s">
        <v>1321</v>
      </c>
    </row>
    <row r="45" customFormat="false" ht="12.75" hidden="false" customHeight="false" outlineLevel="0" collapsed="false">
      <c r="AB45" s="1" t="s">
        <v>1095</v>
      </c>
      <c r="AC45" s="1" t="s">
        <v>1318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1324</v>
      </c>
      <c r="B1" s="26" t="s">
        <v>1310</v>
      </c>
      <c r="C1" s="30" t="n">
        <v>46023</v>
      </c>
      <c r="D1" s="30" t="n">
        <v>46054</v>
      </c>
      <c r="E1" s="30" t="n">
        <v>46082</v>
      </c>
      <c r="F1" s="30" t="n">
        <v>46113</v>
      </c>
      <c r="G1" s="30" t="n">
        <v>46143</v>
      </c>
      <c r="H1" s="30" t="n">
        <v>46174</v>
      </c>
      <c r="I1" s="30" t="n">
        <v>46204</v>
      </c>
      <c r="J1" s="30" t="n">
        <v>46235</v>
      </c>
      <c r="K1" s="30" t="n">
        <v>46266</v>
      </c>
      <c r="L1" s="30" t="n">
        <v>46296</v>
      </c>
      <c r="M1" s="30" t="n">
        <v>46327</v>
      </c>
      <c r="N1" s="30" t="n">
        <v>46357</v>
      </c>
      <c r="O1" s="30" t="n">
        <v>46388</v>
      </c>
      <c r="P1" s="30" t="n">
        <v>46419</v>
      </c>
      <c r="Q1" s="30" t="n">
        <v>46447</v>
      </c>
      <c r="R1" s="30" t="n">
        <v>46478</v>
      </c>
      <c r="S1" s="30" t="n">
        <v>46508</v>
      </c>
      <c r="T1" s="30" t="n">
        <v>46539</v>
      </c>
      <c r="U1" s="30" t="n">
        <v>46569</v>
      </c>
      <c r="V1" s="30" t="n">
        <v>46600</v>
      </c>
      <c r="W1" s="30" t="n">
        <v>46631</v>
      </c>
      <c r="X1" s="30" t="n">
        <v>46661</v>
      </c>
      <c r="Y1" s="30" t="n">
        <v>46692</v>
      </c>
      <c r="Z1" s="30" t="n">
        <v>46722</v>
      </c>
      <c r="AA1" s="27" t="s">
        <v>1311</v>
      </c>
    </row>
    <row r="2" customFormat="false" ht="12.75" hidden="false" customHeight="true" outlineLevel="0" collapsed="false">
      <c r="A2" s="1" t="s">
        <v>249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401.45</v>
      </c>
      <c r="J2" s="17" t="n">
        <f aca="false">SUMIFS(Report!$U:$U,Report!$T:$T,$A2,Report!$C:$C,"&gt;="&amp;DATE(2026,8,1),Report!$C:$C,"&lt;="&amp;DATE(2026,8,31))</f>
        <v>402.79</v>
      </c>
      <c r="K2" s="17" t="n">
        <f aca="false">SUMIFS(Report!$U:$U,Report!$T:$T,$A2,Report!$C:$C,"&gt;="&amp;DATE(2026,9,1),Report!$C:$C,"&lt;="&amp;DATE(2026,9,30))</f>
        <v>337.29</v>
      </c>
      <c r="L2" s="17" t="n">
        <f aca="false">SUMIFS(Report!$U:$U,Report!$T:$T,$A2,Report!$C:$C,"&gt;="&amp;DATE(2026,10,1),Report!$C:$C,"&lt;="&amp;DATE(2026,10,31))</f>
        <v>337.29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1478.82</v>
      </c>
    </row>
    <row r="3" customFormat="false" ht="12.75" hidden="false" customHeight="true" outlineLevel="0" collapsed="false">
      <c r="A3" s="1" t="s">
        <v>226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0</v>
      </c>
      <c r="I3" s="17" t="n">
        <f aca="false">SUMIFS(Report!$U:$U,Report!$T:$T,$A3,Report!$C:$C,"&gt;="&amp;DATE(2026,7,1),Report!$C:$C,"&lt;="&amp;DATE(2026,7,31))</f>
        <v>4905</v>
      </c>
      <c r="J3" s="17" t="n">
        <f aca="false">SUMIFS(Report!$U:$U,Report!$T:$T,$A3,Report!$C:$C,"&gt;="&amp;DATE(2026,8,1),Report!$C:$C,"&lt;="&amp;DATE(2026,8,31))</f>
        <v>3870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8775</v>
      </c>
    </row>
    <row r="4" customFormat="false" ht="12.75" hidden="false" customHeight="true" outlineLevel="0" collapsed="false">
      <c r="A4" s="1" t="s">
        <v>488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5500</v>
      </c>
      <c r="J4" s="17" t="n">
        <f aca="false">SUMIFS(Report!$U:$U,Report!$T:$T,$A4,Report!$C:$C,"&gt;="&amp;DATE(2026,8,1),Report!$C:$C,"&lt;="&amp;DATE(2026,8,31))</f>
        <v>5500</v>
      </c>
      <c r="K4" s="17" t="n">
        <f aca="false">SUMIFS(Report!$U:$U,Report!$T:$T,$A4,Report!$C:$C,"&gt;="&amp;DATE(2026,9,1),Report!$C:$C,"&lt;="&amp;DATE(2026,9,30))</f>
        <v>5500</v>
      </c>
      <c r="L4" s="17" t="n">
        <f aca="false">SUMIFS(Report!$U:$U,Report!$T:$T,$A4,Report!$C:$C,"&gt;="&amp;DATE(2026,10,1),Report!$C:$C,"&lt;="&amp;DATE(2026,10,31))</f>
        <v>5500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22000</v>
      </c>
    </row>
    <row r="5" customFormat="false" ht="12.75" hidden="false" customHeight="true" outlineLevel="0" collapsed="false">
      <c r="A5" s="1" t="s">
        <v>667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33900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33900</v>
      </c>
    </row>
    <row r="6" customFormat="false" ht="12.75" hidden="false" customHeight="true" outlineLevel="0" collapsed="false">
      <c r="A6" s="1" t="s">
        <v>241</v>
      </c>
      <c r="B6" s="1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0</v>
      </c>
      <c r="I6" s="17" t="n">
        <f aca="false">SUMIFS(Report!$U:$U,Report!$T:$T,$A6,Report!$C:$C,"&gt;="&amp;DATE(2026,7,1),Report!$C:$C,"&lt;="&amp;DATE(2026,7,31))</f>
        <v>303.22</v>
      </c>
      <c r="J6" s="17" t="n">
        <f aca="false">SUMIFS(Report!$U:$U,Report!$T:$T,$A6,Report!$C:$C,"&gt;="&amp;DATE(2026,8,1),Report!$C:$C,"&lt;="&amp;DATE(2026,8,31))</f>
        <v>303.22</v>
      </c>
      <c r="K6" s="17" t="n">
        <f aca="false">SUMIFS(Report!$U:$U,Report!$T:$T,$A6,Report!$C:$C,"&gt;="&amp;DATE(2026,9,1),Report!$C:$C,"&lt;="&amp;DATE(2026,9,30))</f>
        <v>151.61</v>
      </c>
      <c r="L6" s="17" t="n">
        <f aca="false">SUMIFS(Report!$U:$U,Report!$T:$T,$A6,Report!$C:$C,"&gt;="&amp;DATE(2026,10,1),Report!$C:$C,"&lt;="&amp;DATE(2026,10,31))</f>
        <v>151.61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909.66</v>
      </c>
    </row>
    <row r="7" customFormat="false" ht="12.75" hidden="false" customHeight="true" outlineLevel="0" collapsed="false">
      <c r="A7" s="1" t="s">
        <v>673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18.75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18.75</v>
      </c>
    </row>
    <row r="8" customFormat="false" ht="12.75" hidden="false" customHeight="true" outlineLevel="0" collapsed="false">
      <c r="A8" s="1" t="s">
        <v>615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1427.85</v>
      </c>
      <c r="J8" s="17" t="n">
        <f aca="false">SUMIFS(Report!$U:$U,Report!$T:$T,$A8,Report!$C:$C,"&gt;="&amp;DATE(2026,8,1),Report!$C:$C,"&lt;="&amp;DATE(2026,8,31))</f>
        <v>6467.64</v>
      </c>
      <c r="K8" s="17" t="n">
        <f aca="false">SUMIFS(Report!$U:$U,Report!$T:$T,$A8,Report!$C:$C,"&gt;="&amp;DATE(2026,9,1),Report!$C:$C,"&lt;="&amp;DATE(2026,9,30))</f>
        <v>3127.45</v>
      </c>
      <c r="L8" s="17" t="n">
        <f aca="false">SUMIFS(Report!$U:$U,Report!$T:$T,$A8,Report!$C:$C,"&gt;="&amp;DATE(2026,10,1),Report!$C:$C,"&lt;="&amp;DATE(2026,10,31))</f>
        <v>3127.45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14150.39</v>
      </c>
    </row>
    <row r="9" customFormat="false" ht="12.75" hidden="false" customHeight="true" outlineLevel="0" collapsed="false">
      <c r="A9" s="1" t="s">
        <v>166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358.61</v>
      </c>
      <c r="I9" s="17" t="n">
        <f aca="false">SUMIFS(Report!$U:$U,Report!$T:$T,$A9,Report!$C:$C,"&gt;="&amp;DATE(2026,7,1),Report!$C:$C,"&lt;="&amp;DATE(2026,7,31))</f>
        <v>1406.74</v>
      </c>
      <c r="J9" s="17" t="n">
        <f aca="false">SUMIFS(Report!$U:$U,Report!$T:$T,$A9,Report!$C:$C,"&gt;="&amp;DATE(2026,8,1),Report!$C:$C,"&lt;="&amp;DATE(2026,8,31))</f>
        <v>2287.79</v>
      </c>
      <c r="K9" s="17" t="n">
        <f aca="false">SUMIFS(Report!$U:$U,Report!$T:$T,$A9,Report!$C:$C,"&gt;="&amp;DATE(2026,9,1),Report!$C:$C,"&lt;="&amp;DATE(2026,9,30))</f>
        <v>660</v>
      </c>
      <c r="L9" s="17" t="n">
        <f aca="false">SUMIFS(Report!$U:$U,Report!$T:$T,$A9,Report!$C:$C,"&gt;="&amp;DATE(2026,10,1),Report!$C:$C,"&lt;="&amp;DATE(2026,10,31))</f>
        <v>660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5373.14</v>
      </c>
    </row>
    <row r="10" customFormat="false" ht="12.75" hidden="false" customHeight="true" outlineLevel="0" collapsed="false">
      <c r="A10" s="1" t="s">
        <v>65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462.4</v>
      </c>
      <c r="I10" s="17" t="n">
        <f aca="false">SUMIFS(Report!$U:$U,Report!$T:$T,$A10,Report!$C:$C,"&gt;="&amp;DATE(2026,7,1),Report!$C:$C,"&lt;="&amp;DATE(2026,7,31))</f>
        <v>4976.9</v>
      </c>
      <c r="J10" s="17" t="n">
        <f aca="false">SUMIFS(Report!$U:$U,Report!$T:$T,$A10,Report!$C:$C,"&gt;="&amp;DATE(2026,8,1),Report!$C:$C,"&lt;="&amp;DATE(2026,8,31))</f>
        <v>1355.74</v>
      </c>
      <c r="K10" s="17" t="n">
        <f aca="false">SUMIFS(Report!$U:$U,Report!$T:$T,$A10,Report!$C:$C,"&gt;="&amp;DATE(2026,9,1),Report!$C:$C,"&lt;="&amp;DATE(2026,9,30))</f>
        <v>1146.31</v>
      </c>
      <c r="L10" s="17" t="n">
        <f aca="false">SUMIFS(Report!$U:$U,Report!$T:$T,$A10,Report!$C:$C,"&gt;="&amp;DATE(2026,10,1),Report!$C:$C,"&lt;="&amp;DATE(2026,10,31))</f>
        <v>378.46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8319.81</v>
      </c>
    </row>
    <row r="11" customFormat="false" ht="12.75" hidden="false" customHeight="true" outlineLevel="0" collapsed="false">
      <c r="A11" s="1" t="s">
        <v>412</v>
      </c>
      <c r="B11" s="1" t="str">
        <f aca="false">IFERROR(INDEX('Resumo Grupos'!$AC$3:$AC$200,MATCH($A11,'Resumo Grupos'!$AB$3:$AB$200,0)),"n/d")</f>
        <v>Empréstimo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14265.23</v>
      </c>
      <c r="J11" s="17" t="n">
        <f aca="false">SUMIFS(Report!$U:$U,Report!$T:$T,$A11,Report!$C:$C,"&gt;="&amp;DATE(2026,8,1),Report!$C:$C,"&lt;="&amp;DATE(2026,8,31))</f>
        <v>14299.43</v>
      </c>
      <c r="K11" s="17" t="n">
        <f aca="false">SUMIFS(Report!$U:$U,Report!$T:$T,$A11,Report!$C:$C,"&gt;="&amp;DATE(2026,9,1),Report!$C:$C,"&lt;="&amp;DATE(2026,9,30))</f>
        <v>14192.01</v>
      </c>
      <c r="L11" s="17" t="n">
        <f aca="false">SUMIFS(Report!$U:$U,Report!$T:$T,$A11,Report!$C:$C,"&gt;="&amp;DATE(2026,10,1),Report!$C:$C,"&lt;="&amp;DATE(2026,10,31))</f>
        <v>14192.01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56948.68</v>
      </c>
    </row>
    <row r="12" customFormat="false" ht="12.75" hidden="false" customHeight="true" outlineLevel="0" collapsed="false">
      <c r="A12" s="1" t="s">
        <v>372</v>
      </c>
      <c r="B12" s="1" t="str">
        <f aca="false">IFERROR(INDEX('Resumo Grupos'!$AC$3:$AC$200,MATCH($A12,'Resumo Grupos'!$AB$3:$AB$200,0)),"n/d")</f>
        <v>Empréstimo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1000</v>
      </c>
      <c r="J12" s="17" t="n">
        <f aca="false">SUMIFS(Report!$U:$U,Report!$T:$T,$A12,Report!$C:$C,"&gt;="&amp;DATE(2026,8,1),Report!$C:$C,"&lt;="&amp;DATE(2026,8,31))</f>
        <v>5000</v>
      </c>
      <c r="K12" s="17" t="n">
        <f aca="false">SUMIFS(Report!$U:$U,Report!$T:$T,$A12,Report!$C:$C,"&gt;="&amp;DATE(2026,9,1),Report!$C:$C,"&lt;="&amp;DATE(2026,9,30))</f>
        <v>5000</v>
      </c>
      <c r="L12" s="17" t="n">
        <f aca="false">SUMIFS(Report!$U:$U,Report!$T:$T,$A12,Report!$C:$C,"&gt;="&amp;DATE(2026,10,1),Report!$C:$C,"&lt;="&amp;DATE(2026,10,31))</f>
        <v>5000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16000</v>
      </c>
    </row>
    <row r="13" customFormat="false" ht="12.75" hidden="false" customHeight="true" outlineLevel="0" collapsed="false">
      <c r="A13" s="1" t="s">
        <v>207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5909.02</v>
      </c>
      <c r="J13" s="17" t="n">
        <f aca="false">SUMIFS(Report!$U:$U,Report!$T:$T,$A13,Report!$C:$C,"&gt;="&amp;DATE(2026,8,1),Report!$C:$C,"&lt;="&amp;DATE(2026,8,31))</f>
        <v>5760.94</v>
      </c>
      <c r="K13" s="17" t="n">
        <f aca="false">SUMIFS(Report!$U:$U,Report!$T:$T,$A13,Report!$C:$C,"&gt;="&amp;DATE(2026,9,1),Report!$C:$C,"&lt;="&amp;DATE(2026,9,30))</f>
        <v>5500</v>
      </c>
      <c r="L13" s="17" t="n">
        <f aca="false">SUMIFS(Report!$U:$U,Report!$T:$T,$A13,Report!$C:$C,"&gt;="&amp;DATE(2026,10,1),Report!$C:$C,"&lt;="&amp;DATE(2026,10,31))</f>
        <v>5500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22669.96</v>
      </c>
    </row>
    <row r="14" customFormat="false" ht="12.75" hidden="false" customHeight="true" outlineLevel="0" collapsed="false">
      <c r="A14" s="1" t="s">
        <v>138</v>
      </c>
      <c r="B14" s="1" t="str">
        <f aca="false">IFERROR(INDEX('Resumo Grupos'!$AC$3:$AC$200,MATCH($A14,'Resumo Grupos'!$AB$3:$AB$200,0)),"n/d")</f>
        <v>Salários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4679.56</v>
      </c>
      <c r="I14" s="17" t="n">
        <f aca="false">SUMIFS(Report!$U:$U,Report!$T:$T,$A14,Report!$C:$C,"&gt;="&amp;DATE(2026,7,1),Report!$C:$C,"&lt;="&amp;DATE(2026,7,31))</f>
        <v>1801.5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6481.06</v>
      </c>
    </row>
    <row r="15" customFormat="false" ht="12.75" hidden="false" customHeight="true" outlineLevel="0" collapsed="false">
      <c r="A15" s="1" t="s">
        <v>700</v>
      </c>
      <c r="B15" s="1" t="str">
        <f aca="false">IFERROR(INDEX('Resumo Grupos'!$AC$3:$AC$200,MATCH($A15,'Resumo Grupos'!$AB$3:$AB$200,0)),"n/d")</f>
        <v>Impostos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4431.94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4431.94</v>
      </c>
    </row>
    <row r="16" customFormat="false" ht="12.75" hidden="false" customHeight="true" outlineLevel="0" collapsed="false">
      <c r="A16" s="1" t="s">
        <v>32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211.36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211.36</v>
      </c>
    </row>
    <row r="17" customFormat="false" ht="12.75" hidden="false" customHeight="true" outlineLevel="0" collapsed="false">
      <c r="A17" s="1" t="s">
        <v>354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2431.5</v>
      </c>
      <c r="J17" s="17" t="n">
        <f aca="false">SUMIFS(Report!$U:$U,Report!$T:$T,$A17,Report!$C:$C,"&gt;="&amp;DATE(2026,8,1),Report!$C:$C,"&lt;="&amp;DATE(2026,8,31))</f>
        <v>2431.5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4863</v>
      </c>
    </row>
    <row r="18" customFormat="false" ht="12.75" hidden="false" customHeight="true" outlineLevel="0" collapsed="false">
      <c r="A18" s="1" t="s">
        <v>298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1526.61</v>
      </c>
      <c r="J18" s="17" t="n">
        <f aca="false">SUMIFS(Report!$U:$U,Report!$T:$T,$A18,Report!$C:$C,"&gt;="&amp;DATE(2026,8,1),Report!$C:$C,"&lt;="&amp;DATE(2026,8,31))</f>
        <v>373.79</v>
      </c>
      <c r="K18" s="17" t="n">
        <f aca="false">SUMIFS(Report!$U:$U,Report!$T:$T,$A18,Report!$C:$C,"&gt;="&amp;DATE(2026,9,1),Report!$C:$C,"&lt;="&amp;DATE(2026,9,30))</f>
        <v>373.79</v>
      </c>
      <c r="L18" s="17" t="n">
        <f aca="false">SUMIFS(Report!$U:$U,Report!$T:$T,$A18,Report!$C:$C,"&gt;="&amp;DATE(2026,10,1),Report!$C:$C,"&lt;="&amp;DATE(2026,10,31))</f>
        <v>373.79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2647.98</v>
      </c>
    </row>
    <row r="19" customFormat="false" ht="12.75" hidden="false" customHeight="true" outlineLevel="0" collapsed="false">
      <c r="A19" s="1" t="s">
        <v>175</v>
      </c>
      <c r="B19" s="1" t="str">
        <f aca="false">IFERROR(INDEX('Resumo Grupos'!$AC$3:$AC$200,MATCH($A19,'Resumo Grupos'!$AB$3:$AB$200,0)),"n/d")</f>
        <v>Impostos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100</v>
      </c>
      <c r="I19" s="17" t="n">
        <f aca="false">SUMIFS(Report!$U:$U,Report!$T:$T,$A19,Report!$C:$C,"&gt;="&amp;DATE(2026,7,1),Report!$C:$C,"&lt;="&amp;DATE(2026,7,31))</f>
        <v>4328.37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4428.37</v>
      </c>
    </row>
    <row r="20" customFormat="false" ht="12.75" hidden="false" customHeight="true" outlineLevel="0" collapsed="false">
      <c r="A20" s="1" t="s">
        <v>949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972.11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972.11</v>
      </c>
    </row>
    <row r="21" customFormat="false" ht="12.75" hidden="false" customHeight="true" outlineLevel="0" collapsed="false">
      <c r="A21" s="1" t="s">
        <v>702</v>
      </c>
      <c r="B21" s="1" t="str">
        <f aca="false">IFERROR(INDEX('Resumo Grupos'!$AC$3:$AC$200,MATCH($A21,'Resumo Grupos'!$AB$3:$AB$200,0)),"n/d")</f>
        <v>Impostos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1540.55</v>
      </c>
      <c r="J21" s="17" t="n">
        <f aca="false">SUMIFS(Report!$U:$U,Report!$T:$T,$A21,Report!$C:$C,"&gt;="&amp;DATE(2026,8,1),Report!$C:$C,"&lt;="&amp;DATE(2026,8,31))</f>
        <v>0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1540.55</v>
      </c>
    </row>
    <row r="22" customFormat="false" ht="12.75" hidden="false" customHeight="true" outlineLevel="0" collapsed="false">
      <c r="A22" s="1" t="s">
        <v>182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43.47</v>
      </c>
      <c r="I22" s="17" t="n">
        <f aca="false">SUMIFS(Report!$U:$U,Report!$T:$T,$A22,Report!$C:$C,"&gt;="&amp;DATE(2026,7,1),Report!$C:$C,"&lt;="&amp;DATE(2026,7,31))</f>
        <v>957.45</v>
      </c>
      <c r="J22" s="17" t="n">
        <f aca="false">SUMIFS(Report!$U:$U,Report!$T:$T,$A22,Report!$C:$C,"&gt;="&amp;DATE(2026,8,1),Report!$C:$C,"&lt;="&amp;DATE(2026,8,31))</f>
        <v>773.55</v>
      </c>
      <c r="K22" s="17" t="n">
        <f aca="false">SUMIFS(Report!$U:$U,Report!$T:$T,$A22,Report!$C:$C,"&gt;="&amp;DATE(2026,9,1),Report!$C:$C,"&lt;="&amp;DATE(2026,9,30))</f>
        <v>773.55</v>
      </c>
      <c r="L22" s="17" t="n">
        <f aca="false">SUMIFS(Report!$U:$U,Report!$T:$T,$A22,Report!$C:$C,"&gt;="&amp;DATE(2026,10,1),Report!$C:$C,"&lt;="&amp;DATE(2026,10,31))</f>
        <v>773.55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3321.57</v>
      </c>
    </row>
    <row r="23" customFormat="false" ht="12.75" hidden="false" customHeight="true" outlineLevel="0" collapsed="false">
      <c r="A23" s="1" t="s">
        <v>257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257.51</v>
      </c>
      <c r="J23" s="17" t="n">
        <f aca="false">SUMIFS(Report!$U:$U,Report!$T:$T,$A23,Report!$C:$C,"&gt;="&amp;DATE(2026,8,1),Report!$C:$C,"&lt;="&amp;DATE(2026,8,31))</f>
        <v>2.7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260.21</v>
      </c>
    </row>
    <row r="24" customFormat="false" ht="12.75" hidden="false" customHeight="true" outlineLevel="0" collapsed="false">
      <c r="A24" s="1" t="s">
        <v>557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225.2</v>
      </c>
      <c r="J24" s="17" t="n">
        <f aca="false">SUMIFS(Report!$U:$U,Report!$T:$T,$A24,Report!$C:$C,"&gt;="&amp;DATE(2026,8,1),Report!$C:$C,"&lt;="&amp;DATE(2026,8,31))</f>
        <v>225.2</v>
      </c>
      <c r="K24" s="17" t="n">
        <f aca="false">SUMIFS(Report!$U:$U,Report!$T:$T,$A24,Report!$C:$C,"&gt;="&amp;DATE(2026,9,1),Report!$C:$C,"&lt;="&amp;DATE(2026,9,30))</f>
        <v>225.2</v>
      </c>
      <c r="L24" s="17" t="n">
        <f aca="false">SUMIFS(Report!$U:$U,Report!$T:$T,$A24,Report!$C:$C,"&gt;="&amp;DATE(2026,10,1),Report!$C:$C,"&lt;="&amp;DATE(2026,10,31))</f>
        <v>225.2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900.8</v>
      </c>
    </row>
    <row r="25" customFormat="false" ht="12.75" hidden="false" customHeight="true" outlineLevel="0" collapsed="false">
      <c r="A25" s="1" t="s">
        <v>170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854.37</v>
      </c>
      <c r="I25" s="17" t="n">
        <f aca="false">SUMIFS(Report!$U:$U,Report!$T:$T,$A25,Report!$C:$C,"&gt;="&amp;DATE(2026,7,1),Report!$C:$C,"&lt;="&amp;DATE(2026,7,31))</f>
        <v>859.55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1713.92</v>
      </c>
    </row>
    <row r="26" customFormat="false" ht="12.75" hidden="false" customHeight="true" outlineLevel="0" collapsed="false">
      <c r="A26" s="1" t="s">
        <v>260</v>
      </c>
      <c r="B26" s="1" t="str">
        <f aca="false">IFERROR(INDEX('Resumo Grupos'!$AC$3:$AC$200,MATCH($A26,'Resumo Grupos'!$AB$3:$AB$200,0)),"n/d")</f>
        <v>Empréstimo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4038.11</v>
      </c>
      <c r="J26" s="17" t="n">
        <f aca="false">SUMIFS(Report!$U:$U,Report!$T:$T,$A26,Report!$C:$C,"&gt;="&amp;DATE(2026,8,1),Report!$C:$C,"&lt;="&amp;DATE(2026,8,31))</f>
        <v>929.49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4967.6</v>
      </c>
    </row>
    <row r="27" customFormat="false" ht="12.75" hidden="false" customHeight="true" outlineLevel="0" collapsed="false">
      <c r="A27" s="1" t="s">
        <v>791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47.99</v>
      </c>
      <c r="J27" s="17" t="n">
        <f aca="false">SUMIFS(Report!$U:$U,Report!$T:$T,$A27,Report!$C:$C,"&gt;="&amp;DATE(2026,8,1),Report!$C:$C,"&lt;="&amp;DATE(2026,8,31))</f>
        <v>47.99</v>
      </c>
      <c r="K27" s="17" t="n">
        <f aca="false">SUMIFS(Report!$U:$U,Report!$T:$T,$A27,Report!$C:$C,"&gt;="&amp;DATE(2026,9,1),Report!$C:$C,"&lt;="&amp;DATE(2026,9,30))</f>
        <v>47.99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143.97</v>
      </c>
    </row>
    <row r="28" customFormat="false" ht="12.75" hidden="false" customHeight="true" outlineLevel="0" collapsed="false">
      <c r="A28" s="1" t="s">
        <v>823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299.9</v>
      </c>
      <c r="J28" s="17" t="n">
        <f aca="false">SUMIFS(Report!$U:$U,Report!$T:$T,$A28,Report!$C:$C,"&gt;="&amp;DATE(2026,8,1),Report!$C:$C,"&lt;="&amp;DATE(2026,8,31))</f>
        <v>299.9</v>
      </c>
      <c r="K28" s="17" t="n">
        <f aca="false">SUMIFS(Report!$U:$U,Report!$T:$T,$A28,Report!$C:$C,"&gt;="&amp;DATE(2026,9,1),Report!$C:$C,"&lt;="&amp;DATE(2026,9,30))</f>
        <v>299.9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899.7</v>
      </c>
    </row>
    <row r="29" customFormat="false" ht="12.75" hidden="false" customHeight="true" outlineLevel="0" collapsed="false">
      <c r="A29" s="1" t="s">
        <v>842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125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125</v>
      </c>
    </row>
    <row r="30" customFormat="false" ht="12.75" hidden="false" customHeight="true" outlineLevel="0" collapsed="false">
      <c r="A30" s="1" t="s">
        <v>37</v>
      </c>
      <c r="B30" s="1" t="str">
        <f aca="false">IFERROR(INDEX('Resumo Grupos'!$AC$3:$AC$200,MATCH($A30,'Resumo Grupos'!$AB$3:$AB$200,0)),"n/d")</f>
        <v>Mercadoria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67379.24</v>
      </c>
      <c r="I30" s="17" t="n">
        <f aca="false">SUMIFS(Report!$U:$U,Report!$T:$T,$A30,Report!$C:$C,"&gt;="&amp;DATE(2026,7,1),Report!$C:$C,"&lt;="&amp;DATE(2026,7,31))</f>
        <v>449494.32</v>
      </c>
      <c r="J30" s="17" t="n">
        <f aca="false">SUMIFS(Report!$U:$U,Report!$T:$T,$A30,Report!$C:$C,"&gt;="&amp;DATE(2026,8,1),Report!$C:$C,"&lt;="&amp;DATE(2026,8,31))</f>
        <v>230514.07</v>
      </c>
      <c r="K30" s="17" t="n">
        <f aca="false">SUMIFS(Report!$U:$U,Report!$T:$T,$A30,Report!$C:$C,"&gt;="&amp;DATE(2026,9,1),Report!$C:$C,"&lt;="&amp;DATE(2026,9,30))</f>
        <v>15736.45</v>
      </c>
      <c r="L30" s="17" t="n">
        <f aca="false">SUMIFS(Report!$U:$U,Report!$T:$T,$A30,Report!$C:$C,"&gt;="&amp;DATE(2026,10,1),Report!$C:$C,"&lt;="&amp;DATE(2026,10,31))</f>
        <v>4044.85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767168.93</v>
      </c>
    </row>
    <row r="31" customFormat="false" ht="12.75" hidden="false" customHeight="true" outlineLevel="0" collapsed="false">
      <c r="A31" s="1" t="s">
        <v>223</v>
      </c>
      <c r="B31" s="1" t="str">
        <f aca="false">IFERROR(INDEX('Resumo Grupos'!$AC$3:$AC$200,MATCH($A31,'Resumo Grupos'!$AB$3:$AB$200,0)),"n/d")</f>
        <v>Pagamentos outros não operacionais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16460.27</v>
      </c>
      <c r="J31" s="17" t="n">
        <f aca="false">SUMIFS(Report!$U:$U,Report!$T:$T,$A31,Report!$C:$C,"&gt;="&amp;DATE(2026,8,1),Report!$C:$C,"&lt;="&amp;DATE(2026,8,31))</f>
        <v>10669.98</v>
      </c>
      <c r="K31" s="17" t="n">
        <f aca="false">SUMIFS(Report!$U:$U,Report!$T:$T,$A31,Report!$C:$C,"&gt;="&amp;DATE(2026,9,1),Report!$C:$C,"&lt;="&amp;DATE(2026,9,30))</f>
        <v>2600</v>
      </c>
      <c r="L31" s="17" t="n">
        <f aca="false">SUMIFS(Report!$U:$U,Report!$T:$T,$A31,Report!$C:$C,"&gt;="&amp;DATE(2026,10,1),Report!$C:$C,"&lt;="&amp;DATE(2026,10,31))</f>
        <v>2600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32330.25</v>
      </c>
    </row>
    <row r="32" customFormat="false" ht="12.75" hidden="false" customHeight="true" outlineLevel="0" collapsed="false">
      <c r="A32" s="1" t="s">
        <v>878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515.73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515.73</v>
      </c>
    </row>
    <row r="33" customFormat="false" ht="12.75" hidden="false" customHeight="true" outlineLevel="0" collapsed="false">
      <c r="A33" s="1" t="s">
        <v>709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0</v>
      </c>
      <c r="I33" s="17" t="n">
        <f aca="false">SUMIFS(Report!$U:$U,Report!$T:$T,$A33,Report!$C:$C,"&gt;="&amp;DATE(2026,7,1),Report!$C:$C,"&lt;="&amp;DATE(2026,7,31))</f>
        <v>224.99</v>
      </c>
      <c r="J33" s="17" t="n">
        <f aca="false">SUMIFS(Report!$U:$U,Report!$T:$T,$A33,Report!$C:$C,"&gt;="&amp;DATE(2026,8,1),Report!$C:$C,"&lt;="&amp;DATE(2026,8,31))</f>
        <v>224.99</v>
      </c>
      <c r="K33" s="17" t="n">
        <f aca="false">SUMIFS(Report!$U:$U,Report!$T:$T,$A33,Report!$C:$C,"&gt;="&amp;DATE(2026,9,1),Report!$C:$C,"&lt;="&amp;DATE(2026,9,30))</f>
        <v>224.99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674.97</v>
      </c>
    </row>
    <row r="34" customFormat="false" ht="12.75" hidden="false" customHeight="true" outlineLevel="0" collapsed="false">
      <c r="A34" s="1" t="s">
        <v>172</v>
      </c>
      <c r="B34" s="1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512.62</v>
      </c>
      <c r="I34" s="17" t="n">
        <f aca="false">SUMIFS(Report!$U:$U,Report!$T:$T,$A34,Report!$C:$C,"&gt;="&amp;DATE(2026,7,1),Report!$C:$C,"&lt;="&amp;DATE(2026,7,31))</f>
        <v>0</v>
      </c>
      <c r="J34" s="17" t="n">
        <f aca="false">SUMIFS(Report!$U:$U,Report!$T:$T,$A34,Report!$C:$C,"&gt;="&amp;DATE(2026,8,1),Report!$C:$C,"&lt;="&amp;DATE(2026,8,31))</f>
        <v>0</v>
      </c>
      <c r="K34" s="17" t="n">
        <f aca="false">SUMIFS(Report!$U:$U,Report!$T:$T,$A34,Report!$C:$C,"&gt;="&amp;DATE(2026,9,1),Report!$C:$C,"&lt;="&amp;DATE(2026,9,30))</f>
        <v>0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512.62</v>
      </c>
    </row>
    <row r="35" customFormat="false" ht="12.75" hidden="false" customHeight="true" outlineLevel="0" collapsed="false">
      <c r="A35" s="1" t="s">
        <v>764</v>
      </c>
      <c r="B35" s="1" t="str">
        <f aca="false">IFERROR(INDEX('Resumo Grupos'!$AC$3:$AC$200,MATCH($A35,'Resumo Grupos'!$AB$3:$AB$200,0)),"n/d")</f>
        <v>Salários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0</v>
      </c>
      <c r="I35" s="17" t="n">
        <f aca="false">SUMIFS(Report!$U:$U,Report!$T:$T,$A35,Report!$C:$C,"&gt;="&amp;DATE(2026,7,1),Report!$C:$C,"&lt;="&amp;DATE(2026,7,31))</f>
        <v>1026.66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1026.66</v>
      </c>
    </row>
    <row r="36" customFormat="false" ht="12.75" hidden="false" customHeight="true" outlineLevel="0" collapsed="false">
      <c r="A36" s="1" t="s">
        <v>357</v>
      </c>
      <c r="B36" s="1" t="str">
        <f aca="false">IFERROR(INDEX('Resumo Grupos'!$AC$3:$AC$200,MATCH($A36,'Resumo Grupos'!$AB$3:$AB$200,0)),"n/d")</f>
        <v>Salários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24627.47</v>
      </c>
      <c r="J36" s="17" t="n">
        <f aca="false">SUMIFS(Report!$U:$U,Report!$T:$T,$A36,Report!$C:$C,"&gt;="&amp;DATE(2026,8,1),Report!$C:$C,"&lt;="&amp;DATE(2026,8,31))</f>
        <v>18650.37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43277.84</v>
      </c>
    </row>
    <row r="37" customFormat="false" ht="12.75" hidden="false" customHeight="true" outlineLevel="0" collapsed="false">
      <c r="A37" s="1" t="s">
        <v>480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286</v>
      </c>
      <c r="J37" s="17" t="n">
        <f aca="false">SUMIFS(Report!$U:$U,Report!$T:$T,$A37,Report!$C:$C,"&gt;="&amp;DATE(2026,8,1),Report!$C:$C,"&lt;="&amp;DATE(2026,8,31))</f>
        <v>286</v>
      </c>
      <c r="K37" s="17" t="n">
        <f aca="false">SUMIFS(Report!$U:$U,Report!$T:$T,$A37,Report!$C:$C,"&gt;="&amp;DATE(2026,9,1),Report!$C:$C,"&lt;="&amp;DATE(2026,9,30))</f>
        <v>286</v>
      </c>
      <c r="L37" s="17" t="n">
        <f aca="false">SUMIFS(Report!$U:$U,Report!$T:$T,$A37,Report!$C:$C,"&gt;="&amp;DATE(2026,10,1),Report!$C:$C,"&lt;="&amp;DATE(2026,10,31))</f>
        <v>286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1144</v>
      </c>
    </row>
    <row r="38" customFormat="false" ht="12.75" hidden="false" customHeight="true" outlineLevel="0" collapsed="false">
      <c r="A38" s="1" t="s">
        <v>676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853.1</v>
      </c>
      <c r="J38" s="17" t="n">
        <f aca="false">SUMIFS(Report!$U:$U,Report!$T:$T,$A38,Report!$C:$C,"&gt;="&amp;DATE(2026,8,1),Report!$C:$C,"&lt;="&amp;DATE(2026,8,31))</f>
        <v>853.1</v>
      </c>
      <c r="K38" s="17" t="n">
        <f aca="false">SUMIFS(Report!$U:$U,Report!$T:$T,$A38,Report!$C:$C,"&gt;="&amp;DATE(2026,9,1),Report!$C:$C,"&lt;="&amp;DATE(2026,9,30))</f>
        <v>853.1</v>
      </c>
      <c r="L38" s="17" t="n">
        <f aca="false">SUMIFS(Report!$U:$U,Report!$T:$T,$A38,Report!$C:$C,"&gt;="&amp;DATE(2026,10,1),Report!$C:$C,"&lt;="&amp;DATE(2026,10,31))</f>
        <v>853.1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3412.4</v>
      </c>
    </row>
    <row r="39" customFormat="false" ht="12.75" hidden="false" customHeight="true" outlineLevel="0" collapsed="false">
      <c r="A39" s="1" t="s">
        <v>704</v>
      </c>
      <c r="B39" s="1" t="str">
        <f aca="false">IFERROR(INDEX('Resumo Grupos'!$AC$3:$AC$200,MATCH($A39,'Resumo Grupos'!$AB$3:$AB$200,0)),"n/d")</f>
        <v>Impostos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0</v>
      </c>
      <c r="I39" s="17" t="n">
        <f aca="false">SUMIFS(Report!$U:$U,Report!$T:$T,$A39,Report!$C:$C,"&gt;="&amp;DATE(2026,7,1),Report!$C:$C,"&lt;="&amp;DATE(2026,7,31))</f>
        <v>2788.38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2788.38</v>
      </c>
    </row>
    <row r="40" customFormat="false" ht="12.75" hidden="false" customHeight="true" outlineLevel="0" collapsed="false">
      <c r="A40" s="1" t="s">
        <v>338</v>
      </c>
      <c r="B40" s="1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8032.34</v>
      </c>
      <c r="J40" s="17" t="n">
        <f aca="false">SUMIFS(Report!$U:$U,Report!$T:$T,$A40,Report!$C:$C,"&gt;="&amp;DATE(2026,8,1),Report!$C:$C,"&lt;="&amp;DATE(2026,8,31))</f>
        <v>8032.4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16064.74</v>
      </c>
    </row>
    <row r="41" customFormat="false" ht="12.75" hidden="false" customHeight="true" outlineLevel="0" collapsed="false">
      <c r="A41" s="1" t="s">
        <v>632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666.67</v>
      </c>
      <c r="J41" s="17" t="n">
        <f aca="false">SUMIFS(Report!$U:$U,Report!$T:$T,$A41,Report!$C:$C,"&gt;="&amp;DATE(2026,8,1),Report!$C:$C,"&lt;="&amp;DATE(2026,8,31))</f>
        <v>666.67</v>
      </c>
      <c r="K41" s="17" t="n">
        <f aca="false">SUMIFS(Report!$U:$U,Report!$T:$T,$A41,Report!$C:$C,"&gt;="&amp;DATE(2026,9,1),Report!$C:$C,"&lt;="&amp;DATE(2026,9,30))</f>
        <v>666.67</v>
      </c>
      <c r="L41" s="17" t="n">
        <f aca="false">SUMIFS(Report!$U:$U,Report!$T:$T,$A41,Report!$C:$C,"&gt;="&amp;DATE(2026,10,1),Report!$C:$C,"&lt;="&amp;DATE(2026,10,31))</f>
        <v>666.67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2666.68</v>
      </c>
    </row>
    <row r="42" customFormat="false" ht="12.75" hidden="false" customHeight="true" outlineLevel="0" collapsed="false">
      <c r="A42" s="1" t="s">
        <v>238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0</v>
      </c>
      <c r="I42" s="17" t="n">
        <f aca="false">SUMIFS(Report!$U:$U,Report!$T:$T,$A42,Report!$C:$C,"&gt;="&amp;DATE(2026,7,1),Report!$C:$C,"&lt;="&amp;DATE(2026,7,31))</f>
        <v>2150</v>
      </c>
      <c r="J42" s="17" t="n">
        <f aca="false">SUMIFS(Report!$U:$U,Report!$T:$T,$A42,Report!$C:$C,"&gt;="&amp;DATE(2026,8,1),Report!$C:$C,"&lt;="&amp;DATE(2026,8,31))</f>
        <v>1020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3170</v>
      </c>
    </row>
    <row r="43" customFormat="false" ht="12.75" hidden="false" customHeight="true" outlineLevel="0" collapsed="false">
      <c r="A43" s="1" t="s">
        <v>1095</v>
      </c>
      <c r="B43" s="1" t="str">
        <f aca="false">IFERROR(INDEX('Resumo Grupos'!$AC$3:$AC$200,MATCH($A43,'Resumo Grupos'!$AB$3:$AB$200,0)),"n/d")</f>
        <v>Impostos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0</v>
      </c>
      <c r="J43" s="17" t="n">
        <f aca="false">SUMIFS(Report!$U:$U,Report!$T:$T,$A43,Report!$C:$C,"&gt;="&amp;DATE(2026,8,1),Report!$C:$C,"&lt;="&amp;DATE(2026,8,31))</f>
        <v>10753.48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10753.48</v>
      </c>
    </row>
    <row r="44" customFormat="false" ht="12.75" hidden="false" customHeight="true" outlineLevel="0" collapsed="false">
      <c r="A44" s="26" t="s">
        <v>1309</v>
      </c>
      <c r="B44" s="26"/>
      <c r="C44" s="27" t="n">
        <f aca="false">SUM(C2:C43)</f>
        <v>0</v>
      </c>
      <c r="D44" s="27" t="n">
        <f aca="false">SUM(D2:D43)</f>
        <v>0</v>
      </c>
      <c r="E44" s="27" t="n">
        <f aca="false">SUM(E2:E43)</f>
        <v>0</v>
      </c>
      <c r="F44" s="27" t="n">
        <f aca="false">SUM(F2:F43)</f>
        <v>0</v>
      </c>
      <c r="G44" s="27" t="n">
        <f aca="false">SUM(G2:G43)</f>
        <v>0</v>
      </c>
      <c r="H44" s="27" t="n">
        <f aca="false">SUM(H2:H43)</f>
        <v>74390.27</v>
      </c>
      <c r="I44" s="27" t="n">
        <f aca="false">SUM(I2:I43)</f>
        <v>604222.63</v>
      </c>
      <c r="J44" s="27" t="n">
        <f aca="false">SUM(J2:J43)</f>
        <v>332974.84</v>
      </c>
      <c r="K44" s="27" t="n">
        <f aca="false">SUM(K2:K43)</f>
        <v>57702.31</v>
      </c>
      <c r="L44" s="27" t="n">
        <f aca="false">SUM(L2:L43)</f>
        <v>44669.98</v>
      </c>
      <c r="M44" s="27" t="n">
        <f aca="false">SUM(M2:M43)</f>
        <v>0</v>
      </c>
      <c r="N44" s="27" t="n">
        <f aca="false">SUM(N2:N43)</f>
        <v>0</v>
      </c>
      <c r="O44" s="27" t="n">
        <f aca="false">SUM(O2:O43)</f>
        <v>0</v>
      </c>
      <c r="P44" s="27" t="n">
        <f aca="false">SUM(P2:P43)</f>
        <v>0</v>
      </c>
      <c r="Q44" s="27" t="n">
        <f aca="false">SUM(Q2:Q43)</f>
        <v>0</v>
      </c>
      <c r="R44" s="27" t="n">
        <f aca="false">SUM(R2:R43)</f>
        <v>0</v>
      </c>
      <c r="S44" s="27" t="n">
        <f aca="false">SUM(S2:S43)</f>
        <v>0</v>
      </c>
      <c r="T44" s="27" t="n">
        <f aca="false">SUM(T2:T43)</f>
        <v>0</v>
      </c>
      <c r="U44" s="27" t="n">
        <f aca="false">SUM(U2:U43)</f>
        <v>0</v>
      </c>
      <c r="V44" s="27" t="n">
        <f aca="false">SUM(V2:V43)</f>
        <v>0</v>
      </c>
      <c r="W44" s="27" t="n">
        <f aca="false">SUM(W2:W43)</f>
        <v>0</v>
      </c>
      <c r="X44" s="27" t="n">
        <f aca="false">SUM(X2:X43)</f>
        <v>0</v>
      </c>
      <c r="Y44" s="27" t="n">
        <f aca="false">SUM(Y2:Y43)</f>
        <v>0</v>
      </c>
      <c r="Z44" s="27" t="n">
        <f aca="false">SUM(Z2:Z43)</f>
        <v>0</v>
      </c>
      <c r="AA44" s="27" t="n">
        <f aca="false">SUM(AA2:AA43)</f>
        <v>1113960.03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5" t="s">
        <v>1325</v>
      </c>
      <c r="B1" s="27" t="n">
        <f aca="false">SUMIFS(Report!$U:$U,Report!$T:$T,"&lt;&gt;"&amp;"MERCADORIAS P/REVENDA",Report!$AA:$AA,"SIM",Report!$C:$C,"&gt;="&amp;DATE(2026,1,1),Report!$C:$C,"&lt;="&amp;DATE(2027,12,31))</f>
        <v>346791.1</v>
      </c>
      <c r="C1" s="27" t="n">
        <f aca="false">SUMIFS(Report!$U:$U,Report!$T:$T,"MERCADORIAS P/REVENDA",Report!$AA:$AA,"SIM",Report!$C:$C,"&gt;="&amp;DATE(2026,1,1),Report!$C:$C,"&lt;="&amp;DATE(2027,12,31))</f>
        <v>767168.93</v>
      </c>
      <c r="D1" s="31" t="s">
        <v>1326</v>
      </c>
      <c r="E1" s="32" t="n">
        <f aca="false">SUMIFS(Report!$U:$U,Report!$AA:$AA,"NAO",Report!$C:$C,"&gt;="&amp;DATE(2026,1,1),Report!$C:$C,"&lt;="&amp;DATE(2027,12,31))</f>
        <v>475000</v>
      </c>
      <c r="F1" s="27" t="n">
        <f aca="false">B1+C1</f>
        <v>1113960.03</v>
      </c>
      <c r="H1" s="1"/>
      <c r="I1" s="17"/>
    </row>
    <row r="2" customFormat="false" ht="12.75" hidden="false" customHeight="true" outlineLevel="0" collapsed="false">
      <c r="A2" s="25" t="s">
        <v>1327</v>
      </c>
      <c r="B2" s="27" t="s">
        <v>1328</v>
      </c>
      <c r="C2" s="27" t="s">
        <v>1329</v>
      </c>
      <c r="D2" s="31" t="s">
        <v>1330</v>
      </c>
      <c r="E2" s="32" t="n">
        <f aca="false">F1+E1</f>
        <v>1588960.03</v>
      </c>
      <c r="F2" s="27" t="s">
        <v>1331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3" t="n">
        <v>46025</v>
      </c>
      <c r="B5" s="34" t="n">
        <f aca="false">SUMIFS(Report!$U:$U,Report!$T:$T,"&lt;&gt;"&amp;"MERCADORIAS P/REVENDA",Report!$AA:$AA,"SIM",Report!$C:$C,A5)</f>
        <v>0</v>
      </c>
      <c r="C5" s="34" t="n">
        <f aca="false">SUMIFS(Report!$U:$U,Report!$T:$T,"MERCADORIAS P/REVENDA",Report!$AA:$AA,"SIM",Report!$C:$C,A5)</f>
        <v>0</v>
      </c>
      <c r="D5" s="35"/>
      <c r="E5" s="35"/>
      <c r="F5" s="34" t="n">
        <f aca="false">B5+C5</f>
        <v>0</v>
      </c>
    </row>
    <row r="6" customFormat="false" ht="12.75" hidden="false" customHeight="true" outlineLevel="0" collapsed="false">
      <c r="A6" s="33" t="n">
        <v>46026</v>
      </c>
      <c r="B6" s="34" t="n">
        <f aca="false">SUMIFS(Report!$U:$U,Report!$T:$T,"&lt;&gt;"&amp;"MERCADORIAS P/REVENDA",Report!$AA:$AA,"SIM",Report!$C:$C,A6)</f>
        <v>0</v>
      </c>
      <c r="C6" s="34" t="n">
        <f aca="false">SUMIFS(Report!$U:$U,Report!$T:$T,"MERCADORIAS P/REVENDA",Report!$AA:$AA,"SIM",Report!$C:$C,A6)</f>
        <v>0</v>
      </c>
      <c r="D6" s="35"/>
      <c r="E6" s="35"/>
      <c r="F6" s="34" t="n">
        <f aca="false">B6+C6</f>
        <v>0</v>
      </c>
    </row>
    <row r="7" customFormat="false" ht="12.75" hidden="false" customHeight="true" outlineLevel="0" collapsed="false">
      <c r="A7" s="33" t="n">
        <v>46027</v>
      </c>
      <c r="B7" s="34" t="n">
        <f aca="false">SUMIFS(Report!$U:$U,Report!$T:$T,"&lt;&gt;"&amp;"MERCADORIAS P/REVENDA",Report!$AA:$AA,"SIM",Report!$C:$C,A7)</f>
        <v>0</v>
      </c>
      <c r="C7" s="34" t="n">
        <f aca="false">SUMIFS(Report!$U:$U,Report!$T:$T,"MERCADORIAS P/REVENDA",Report!$AA:$AA,"SIM",Report!$C:$C,A7)</f>
        <v>0</v>
      </c>
      <c r="D7" s="35"/>
      <c r="E7" s="35"/>
      <c r="F7" s="34" t="n">
        <f aca="false">B7+C7</f>
        <v>0</v>
      </c>
    </row>
    <row r="8" customFormat="false" ht="12.75" hidden="false" customHeight="true" outlineLevel="0" collapsed="false">
      <c r="A8" s="36" t="s">
        <v>1332</v>
      </c>
      <c r="B8" s="37" t="n">
        <f aca="false">SUM(B3:B7)</f>
        <v>0</v>
      </c>
      <c r="C8" s="37" t="n">
        <f aca="false">SUM(C3:C7)</f>
        <v>0</v>
      </c>
      <c r="D8" s="38"/>
      <c r="E8" s="38"/>
      <c r="F8" s="37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3" t="n">
        <v>46032</v>
      </c>
      <c r="B13" s="34" t="n">
        <f aca="false">SUMIFS(Report!$U:$U,Report!$T:$T,"&lt;&gt;"&amp;"MERCADORIAS P/REVENDA",Report!$AA:$AA,"SIM",Report!$C:$C,A13)</f>
        <v>0</v>
      </c>
      <c r="C13" s="34" t="n">
        <f aca="false">SUMIFS(Report!$U:$U,Report!$T:$T,"MERCADORIAS P/REVENDA",Report!$AA:$AA,"SIM",Report!$C:$C,A13)</f>
        <v>0</v>
      </c>
      <c r="D13" s="35"/>
      <c r="E13" s="35"/>
      <c r="F13" s="34" t="n">
        <f aca="false">B13+C13</f>
        <v>0</v>
      </c>
    </row>
    <row r="14" customFormat="false" ht="12.75" hidden="false" customHeight="true" outlineLevel="0" collapsed="false">
      <c r="A14" s="33" t="n">
        <v>46033</v>
      </c>
      <c r="B14" s="34" t="n">
        <f aca="false">SUMIFS(Report!$U:$U,Report!$T:$T,"&lt;&gt;"&amp;"MERCADORIAS P/REVENDA",Report!$AA:$AA,"SIM",Report!$C:$C,A14)</f>
        <v>0</v>
      </c>
      <c r="C14" s="34" t="n">
        <f aca="false">SUMIFS(Report!$U:$U,Report!$T:$T,"MERCADORIAS P/REVENDA",Report!$AA:$AA,"SIM",Report!$C:$C,A14)</f>
        <v>0</v>
      </c>
      <c r="D14" s="35"/>
      <c r="E14" s="35"/>
      <c r="F14" s="34" t="n">
        <f aca="false">B14+C14</f>
        <v>0</v>
      </c>
    </row>
    <row r="15" customFormat="false" ht="12.75" hidden="false" customHeight="true" outlineLevel="0" collapsed="false">
      <c r="A15" s="33" t="n">
        <v>46034</v>
      </c>
      <c r="B15" s="34" t="n">
        <f aca="false">SUMIFS(Report!$U:$U,Report!$T:$T,"&lt;&gt;"&amp;"MERCADORIAS P/REVENDA",Report!$AA:$AA,"SIM",Report!$C:$C,A15)</f>
        <v>0</v>
      </c>
      <c r="C15" s="34" t="n">
        <f aca="false">SUMIFS(Report!$U:$U,Report!$T:$T,"MERCADORIAS P/REVENDA",Report!$AA:$AA,"SIM",Report!$C:$C,A15)</f>
        <v>0</v>
      </c>
      <c r="D15" s="35"/>
      <c r="E15" s="35"/>
      <c r="F15" s="34" t="n">
        <f aca="false">B15+C15</f>
        <v>0</v>
      </c>
    </row>
    <row r="16" customFormat="false" ht="12.75" hidden="false" customHeight="true" outlineLevel="0" collapsed="false">
      <c r="A16" s="36" t="s">
        <v>1333</v>
      </c>
      <c r="B16" s="37" t="n">
        <f aca="false">SUM(B9:B15)</f>
        <v>0</v>
      </c>
      <c r="C16" s="37" t="n">
        <f aca="false">SUM(C9:C15)</f>
        <v>0</v>
      </c>
      <c r="D16" s="38"/>
      <c r="E16" s="38"/>
      <c r="F16" s="37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3" t="n">
        <v>46039</v>
      </c>
      <c r="B21" s="34" t="n">
        <f aca="false">SUMIFS(Report!$U:$U,Report!$T:$T,"&lt;&gt;"&amp;"MERCADORIAS P/REVENDA",Report!$AA:$AA,"SIM",Report!$C:$C,A21)</f>
        <v>0</v>
      </c>
      <c r="C21" s="34" t="n">
        <f aca="false">SUMIFS(Report!$U:$U,Report!$T:$T,"MERCADORIAS P/REVENDA",Report!$AA:$AA,"SIM",Report!$C:$C,A21)</f>
        <v>0</v>
      </c>
      <c r="D21" s="35"/>
      <c r="E21" s="35"/>
      <c r="F21" s="34" t="n">
        <f aca="false">B21+C21</f>
        <v>0</v>
      </c>
    </row>
    <row r="22" customFormat="false" ht="12.75" hidden="false" customHeight="true" outlineLevel="0" collapsed="false">
      <c r="A22" s="33" t="n">
        <v>46040</v>
      </c>
      <c r="B22" s="34" t="n">
        <f aca="false">SUMIFS(Report!$U:$U,Report!$T:$T,"&lt;&gt;"&amp;"MERCADORIAS P/REVENDA",Report!$AA:$AA,"SIM",Report!$C:$C,A22)</f>
        <v>0</v>
      </c>
      <c r="C22" s="34" t="n">
        <f aca="false">SUMIFS(Report!$U:$U,Report!$T:$T,"MERCADORIAS P/REVENDA",Report!$AA:$AA,"SIM",Report!$C:$C,A22)</f>
        <v>0</v>
      </c>
      <c r="D22" s="35"/>
      <c r="E22" s="35"/>
      <c r="F22" s="34" t="n">
        <f aca="false">B22+C22</f>
        <v>0</v>
      </c>
    </row>
    <row r="23" customFormat="false" ht="12.75" hidden="false" customHeight="true" outlineLevel="0" collapsed="false">
      <c r="A23" s="33" t="n">
        <v>46041</v>
      </c>
      <c r="B23" s="34" t="n">
        <f aca="false">SUMIFS(Report!$U:$U,Report!$T:$T,"&lt;&gt;"&amp;"MERCADORIAS P/REVENDA",Report!$AA:$AA,"SIM",Report!$C:$C,A23)</f>
        <v>0</v>
      </c>
      <c r="C23" s="34" t="n">
        <f aca="false">SUMIFS(Report!$U:$U,Report!$T:$T,"MERCADORIAS P/REVENDA",Report!$AA:$AA,"SIM",Report!$C:$C,A23)</f>
        <v>0</v>
      </c>
      <c r="D23" s="35"/>
      <c r="E23" s="35"/>
      <c r="F23" s="34" t="n">
        <f aca="false">B23+C23</f>
        <v>0</v>
      </c>
    </row>
    <row r="24" customFormat="false" ht="12.75" hidden="false" customHeight="true" outlineLevel="0" collapsed="false">
      <c r="A24" s="36" t="s">
        <v>1334</v>
      </c>
      <c r="B24" s="37" t="n">
        <f aca="false">SUM(B17:B23)</f>
        <v>0</v>
      </c>
      <c r="C24" s="37" t="n">
        <f aca="false">SUM(C17:C23)</f>
        <v>0</v>
      </c>
      <c r="D24" s="38"/>
      <c r="E24" s="38"/>
      <c r="F24" s="37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3" t="n">
        <v>46046</v>
      </c>
      <c r="B29" s="34" t="n">
        <f aca="false">SUMIFS(Report!$U:$U,Report!$T:$T,"&lt;&gt;"&amp;"MERCADORIAS P/REVENDA",Report!$AA:$AA,"SIM",Report!$C:$C,A29)</f>
        <v>0</v>
      </c>
      <c r="C29" s="34" t="n">
        <f aca="false">SUMIFS(Report!$U:$U,Report!$T:$T,"MERCADORIAS P/REVENDA",Report!$AA:$AA,"SIM",Report!$C:$C,A29)</f>
        <v>0</v>
      </c>
      <c r="D29" s="35"/>
      <c r="E29" s="35"/>
      <c r="F29" s="34" t="n">
        <f aca="false">B29+C29</f>
        <v>0</v>
      </c>
    </row>
    <row r="30" customFormat="false" ht="12.75" hidden="false" customHeight="true" outlineLevel="0" collapsed="false">
      <c r="A30" s="33" t="n">
        <v>46047</v>
      </c>
      <c r="B30" s="34" t="n">
        <f aca="false">SUMIFS(Report!$U:$U,Report!$T:$T,"&lt;&gt;"&amp;"MERCADORIAS P/REVENDA",Report!$AA:$AA,"SIM",Report!$C:$C,A30)</f>
        <v>0</v>
      </c>
      <c r="C30" s="34" t="n">
        <f aca="false">SUMIFS(Report!$U:$U,Report!$T:$T,"MERCADORIAS P/REVENDA",Report!$AA:$AA,"SIM",Report!$C:$C,A30)</f>
        <v>0</v>
      </c>
      <c r="D30" s="35"/>
      <c r="E30" s="35"/>
      <c r="F30" s="34" t="n">
        <f aca="false">B30+C30</f>
        <v>0</v>
      </c>
    </row>
    <row r="31" customFormat="false" ht="12.75" hidden="false" customHeight="true" outlineLevel="0" collapsed="false">
      <c r="A31" s="33" t="n">
        <v>46048</v>
      </c>
      <c r="B31" s="34" t="n">
        <f aca="false">SUMIFS(Report!$U:$U,Report!$T:$T,"&lt;&gt;"&amp;"MERCADORIAS P/REVENDA",Report!$AA:$AA,"SIM",Report!$C:$C,A31)</f>
        <v>0</v>
      </c>
      <c r="C31" s="34" t="n">
        <f aca="false">SUMIFS(Report!$U:$U,Report!$T:$T,"MERCADORIAS P/REVENDA",Report!$AA:$AA,"SIM",Report!$C:$C,A31)</f>
        <v>0</v>
      </c>
      <c r="D31" s="35"/>
      <c r="E31" s="35"/>
      <c r="F31" s="34" t="n">
        <f aca="false">B31+C31</f>
        <v>0</v>
      </c>
    </row>
    <row r="32" customFormat="false" ht="12.75" hidden="false" customHeight="true" outlineLevel="0" collapsed="false">
      <c r="A32" s="36" t="s">
        <v>1335</v>
      </c>
      <c r="B32" s="37" t="n">
        <f aca="false">SUM(B25:B31)</f>
        <v>0</v>
      </c>
      <c r="C32" s="37" t="n">
        <f aca="false">SUM(C25:C31)</f>
        <v>0</v>
      </c>
      <c r="D32" s="38"/>
      <c r="E32" s="38"/>
      <c r="F32" s="37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3" t="n">
        <v>46053</v>
      </c>
      <c r="B37" s="34" t="n">
        <f aca="false">SUMIFS(Report!$U:$U,Report!$T:$T,"&lt;&gt;"&amp;"MERCADORIAS P/REVENDA",Report!$AA:$AA,"SIM",Report!$C:$C,A37)</f>
        <v>0</v>
      </c>
      <c r="C37" s="34" t="n">
        <f aca="false">SUMIFS(Report!$U:$U,Report!$T:$T,"MERCADORIAS P/REVENDA",Report!$AA:$AA,"SIM",Report!$C:$C,A37)</f>
        <v>0</v>
      </c>
      <c r="D37" s="35"/>
      <c r="E37" s="35"/>
      <c r="F37" s="34" t="n">
        <f aca="false">B37+C37</f>
        <v>0</v>
      </c>
    </row>
    <row r="38" customFormat="false" ht="12.75" hidden="false" customHeight="true" outlineLevel="0" collapsed="false">
      <c r="A38" s="33" t="n">
        <v>46054</v>
      </c>
      <c r="B38" s="34" t="n">
        <f aca="false">SUMIFS(Report!$U:$U,Report!$T:$T,"&lt;&gt;"&amp;"MERCADORIAS P/REVENDA",Report!$AA:$AA,"SIM",Report!$C:$C,A38)</f>
        <v>0</v>
      </c>
      <c r="C38" s="34" t="n">
        <f aca="false">SUMIFS(Report!$U:$U,Report!$T:$T,"MERCADORIAS P/REVENDA",Report!$AA:$AA,"SIM",Report!$C:$C,A38)</f>
        <v>0</v>
      </c>
      <c r="D38" s="35"/>
      <c r="E38" s="35"/>
      <c r="F38" s="34" t="n">
        <f aca="false">B38+C38</f>
        <v>0</v>
      </c>
    </row>
    <row r="39" customFormat="false" ht="12.75" hidden="false" customHeight="true" outlineLevel="0" collapsed="false">
      <c r="A39" s="33" t="n">
        <v>46055</v>
      </c>
      <c r="B39" s="34" t="n">
        <f aca="false">SUMIFS(Report!$U:$U,Report!$T:$T,"&lt;&gt;"&amp;"MERCADORIAS P/REVENDA",Report!$AA:$AA,"SIM",Report!$C:$C,A39)</f>
        <v>0</v>
      </c>
      <c r="C39" s="34" t="n">
        <f aca="false">SUMIFS(Report!$U:$U,Report!$T:$T,"MERCADORIAS P/REVENDA",Report!$AA:$AA,"SIM",Report!$C:$C,A39)</f>
        <v>0</v>
      </c>
      <c r="D39" s="35"/>
      <c r="E39" s="35"/>
      <c r="F39" s="34" t="n">
        <f aca="false">B39+C39</f>
        <v>0</v>
      </c>
    </row>
    <row r="40" customFormat="false" ht="12.75" hidden="false" customHeight="true" outlineLevel="0" collapsed="false">
      <c r="A40" s="36" t="s">
        <v>1336</v>
      </c>
      <c r="B40" s="37" t="n">
        <f aca="false">SUM(B33:B39)</f>
        <v>0</v>
      </c>
      <c r="C40" s="37" t="n">
        <f aca="false">SUM(C33:C39)</f>
        <v>0</v>
      </c>
      <c r="D40" s="38"/>
      <c r="E40" s="38"/>
      <c r="F40" s="37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3" t="n">
        <v>46060</v>
      </c>
      <c r="B45" s="34" t="n">
        <f aca="false">SUMIFS(Report!$U:$U,Report!$T:$T,"&lt;&gt;"&amp;"MERCADORIAS P/REVENDA",Report!$AA:$AA,"SIM",Report!$C:$C,A45)</f>
        <v>0</v>
      </c>
      <c r="C45" s="34" t="n">
        <f aca="false">SUMIFS(Report!$U:$U,Report!$T:$T,"MERCADORIAS P/REVENDA",Report!$AA:$AA,"SIM",Report!$C:$C,A45)</f>
        <v>0</v>
      </c>
      <c r="D45" s="35"/>
      <c r="E45" s="35"/>
      <c r="F45" s="34" t="n">
        <f aca="false">B45+C45</f>
        <v>0</v>
      </c>
    </row>
    <row r="46" customFormat="false" ht="12.75" hidden="false" customHeight="true" outlineLevel="0" collapsed="false">
      <c r="A46" s="33" t="n">
        <v>46061</v>
      </c>
      <c r="B46" s="34" t="n">
        <f aca="false">SUMIFS(Report!$U:$U,Report!$T:$T,"&lt;&gt;"&amp;"MERCADORIAS P/REVENDA",Report!$AA:$AA,"SIM",Report!$C:$C,A46)</f>
        <v>0</v>
      </c>
      <c r="C46" s="34" t="n">
        <f aca="false">SUMIFS(Report!$U:$U,Report!$T:$T,"MERCADORIAS P/REVENDA",Report!$AA:$AA,"SIM",Report!$C:$C,A46)</f>
        <v>0</v>
      </c>
      <c r="D46" s="35"/>
      <c r="E46" s="35"/>
      <c r="F46" s="34" t="n">
        <f aca="false">B46+C46</f>
        <v>0</v>
      </c>
    </row>
    <row r="47" customFormat="false" ht="12.75" hidden="false" customHeight="true" outlineLevel="0" collapsed="false">
      <c r="A47" s="33" t="n">
        <v>46062</v>
      </c>
      <c r="B47" s="34" t="n">
        <f aca="false">SUMIFS(Report!$U:$U,Report!$T:$T,"&lt;&gt;"&amp;"MERCADORIAS P/REVENDA",Report!$AA:$AA,"SIM",Report!$C:$C,A47)</f>
        <v>0</v>
      </c>
      <c r="C47" s="34" t="n">
        <f aca="false">SUMIFS(Report!$U:$U,Report!$T:$T,"MERCADORIAS P/REVENDA",Report!$AA:$AA,"SIM",Report!$C:$C,A47)</f>
        <v>0</v>
      </c>
      <c r="D47" s="35"/>
      <c r="E47" s="35"/>
      <c r="F47" s="34" t="n">
        <f aca="false">B47+C47</f>
        <v>0</v>
      </c>
    </row>
    <row r="48" customFormat="false" ht="12.75" hidden="false" customHeight="true" outlineLevel="0" collapsed="false">
      <c r="A48" s="36" t="s">
        <v>1337</v>
      </c>
      <c r="B48" s="37" t="n">
        <f aca="false">SUM(B41:B47)</f>
        <v>0</v>
      </c>
      <c r="C48" s="37" t="n">
        <f aca="false">SUM(C41:C47)</f>
        <v>0</v>
      </c>
      <c r="D48" s="38"/>
      <c r="E48" s="38"/>
      <c r="F48" s="37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3" t="n">
        <v>46067</v>
      </c>
      <c r="B53" s="34" t="n">
        <f aca="false">SUMIFS(Report!$U:$U,Report!$T:$T,"&lt;&gt;"&amp;"MERCADORIAS P/REVENDA",Report!$AA:$AA,"SIM",Report!$C:$C,A53)</f>
        <v>0</v>
      </c>
      <c r="C53" s="34" t="n">
        <f aca="false">SUMIFS(Report!$U:$U,Report!$T:$T,"MERCADORIAS P/REVENDA",Report!$AA:$AA,"SIM",Report!$C:$C,A53)</f>
        <v>0</v>
      </c>
      <c r="D53" s="35"/>
      <c r="E53" s="35"/>
      <c r="F53" s="34" t="n">
        <f aca="false">B53+C53</f>
        <v>0</v>
      </c>
    </row>
    <row r="54" customFormat="false" ht="12.75" hidden="false" customHeight="true" outlineLevel="0" collapsed="false">
      <c r="A54" s="33" t="n">
        <v>46068</v>
      </c>
      <c r="B54" s="34" t="n">
        <f aca="false">SUMIFS(Report!$U:$U,Report!$T:$T,"&lt;&gt;"&amp;"MERCADORIAS P/REVENDA",Report!$AA:$AA,"SIM",Report!$C:$C,A54)</f>
        <v>0</v>
      </c>
      <c r="C54" s="34" t="n">
        <f aca="false">SUMIFS(Report!$U:$U,Report!$T:$T,"MERCADORIAS P/REVENDA",Report!$AA:$AA,"SIM",Report!$C:$C,A54)</f>
        <v>0</v>
      </c>
      <c r="D54" s="35"/>
      <c r="E54" s="35"/>
      <c r="F54" s="34" t="n">
        <f aca="false">B54+C54</f>
        <v>0</v>
      </c>
    </row>
    <row r="55" customFormat="false" ht="12.75" hidden="false" customHeight="true" outlineLevel="0" collapsed="false">
      <c r="A55" s="33" t="n">
        <v>46069</v>
      </c>
      <c r="B55" s="34" t="n">
        <f aca="false">SUMIFS(Report!$U:$U,Report!$T:$T,"&lt;&gt;"&amp;"MERCADORIAS P/REVENDA",Report!$AA:$AA,"SIM",Report!$C:$C,A55)</f>
        <v>0</v>
      </c>
      <c r="C55" s="34" t="n">
        <f aca="false">SUMIFS(Report!$U:$U,Report!$T:$T,"MERCADORIAS P/REVENDA",Report!$AA:$AA,"SIM",Report!$C:$C,A55)</f>
        <v>0</v>
      </c>
      <c r="D55" s="35"/>
      <c r="E55" s="35"/>
      <c r="F55" s="34" t="n">
        <f aca="false">B55+C55</f>
        <v>0</v>
      </c>
    </row>
    <row r="56" customFormat="false" ht="12.75" hidden="false" customHeight="true" outlineLevel="0" collapsed="false">
      <c r="A56" s="36" t="s">
        <v>1338</v>
      </c>
      <c r="B56" s="37" t="n">
        <f aca="false">SUM(B49:B55)</f>
        <v>0</v>
      </c>
      <c r="C56" s="37" t="n">
        <f aca="false">SUM(C49:C55)</f>
        <v>0</v>
      </c>
      <c r="D56" s="38"/>
      <c r="E56" s="38"/>
      <c r="F56" s="37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3" t="n">
        <v>46074</v>
      </c>
      <c r="B61" s="34" t="n">
        <f aca="false">SUMIFS(Report!$U:$U,Report!$T:$T,"&lt;&gt;"&amp;"MERCADORIAS P/REVENDA",Report!$AA:$AA,"SIM",Report!$C:$C,A61)</f>
        <v>0</v>
      </c>
      <c r="C61" s="34" t="n">
        <f aca="false">SUMIFS(Report!$U:$U,Report!$T:$T,"MERCADORIAS P/REVENDA",Report!$AA:$AA,"SIM",Report!$C:$C,A61)</f>
        <v>0</v>
      </c>
      <c r="D61" s="35"/>
      <c r="E61" s="35"/>
      <c r="F61" s="34" t="n">
        <f aca="false">B61+C61</f>
        <v>0</v>
      </c>
    </row>
    <row r="62" customFormat="false" ht="12.75" hidden="false" customHeight="true" outlineLevel="0" collapsed="false">
      <c r="A62" s="33" t="n">
        <v>46075</v>
      </c>
      <c r="B62" s="34" t="n">
        <f aca="false">SUMIFS(Report!$U:$U,Report!$T:$T,"&lt;&gt;"&amp;"MERCADORIAS P/REVENDA",Report!$AA:$AA,"SIM",Report!$C:$C,A62)</f>
        <v>0</v>
      </c>
      <c r="C62" s="34" t="n">
        <f aca="false">SUMIFS(Report!$U:$U,Report!$T:$T,"MERCADORIAS P/REVENDA",Report!$AA:$AA,"SIM",Report!$C:$C,A62)</f>
        <v>0</v>
      </c>
      <c r="D62" s="35"/>
      <c r="E62" s="35"/>
      <c r="F62" s="34" t="n">
        <f aca="false">B62+C62</f>
        <v>0</v>
      </c>
    </row>
    <row r="63" customFormat="false" ht="12.75" hidden="false" customHeight="true" outlineLevel="0" collapsed="false">
      <c r="A63" s="33" t="n">
        <v>46076</v>
      </c>
      <c r="B63" s="34" t="n">
        <f aca="false">SUMIFS(Report!$U:$U,Report!$T:$T,"&lt;&gt;"&amp;"MERCADORIAS P/REVENDA",Report!$AA:$AA,"SIM",Report!$C:$C,A63)</f>
        <v>0</v>
      </c>
      <c r="C63" s="34" t="n">
        <f aca="false">SUMIFS(Report!$U:$U,Report!$T:$T,"MERCADORIAS P/REVENDA",Report!$AA:$AA,"SIM",Report!$C:$C,A63)</f>
        <v>0</v>
      </c>
      <c r="D63" s="35"/>
      <c r="E63" s="35"/>
      <c r="F63" s="34" t="n">
        <f aca="false">B63+C63</f>
        <v>0</v>
      </c>
    </row>
    <row r="64" customFormat="false" ht="12.75" hidden="false" customHeight="true" outlineLevel="0" collapsed="false">
      <c r="A64" s="36" t="s">
        <v>1339</v>
      </c>
      <c r="B64" s="37" t="n">
        <f aca="false">SUM(B57:B63)</f>
        <v>0</v>
      </c>
      <c r="C64" s="37" t="n">
        <f aca="false">SUM(C57:C63)</f>
        <v>0</v>
      </c>
      <c r="D64" s="38"/>
      <c r="E64" s="38"/>
      <c r="F64" s="37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3" t="n">
        <v>46081</v>
      </c>
      <c r="B69" s="34" t="n">
        <f aca="false">SUMIFS(Report!$U:$U,Report!$T:$T,"&lt;&gt;"&amp;"MERCADORIAS P/REVENDA",Report!$AA:$AA,"SIM",Report!$C:$C,A69)</f>
        <v>0</v>
      </c>
      <c r="C69" s="34" t="n">
        <f aca="false">SUMIFS(Report!$U:$U,Report!$T:$T,"MERCADORIAS P/REVENDA",Report!$AA:$AA,"SIM",Report!$C:$C,A69)</f>
        <v>0</v>
      </c>
      <c r="D69" s="35"/>
      <c r="E69" s="35"/>
      <c r="F69" s="34" t="n">
        <f aca="false">B69+C69</f>
        <v>0</v>
      </c>
    </row>
    <row r="70" customFormat="false" ht="12.75" hidden="false" customHeight="true" outlineLevel="0" collapsed="false">
      <c r="A70" s="33" t="n">
        <v>46082</v>
      </c>
      <c r="B70" s="34" t="n">
        <f aca="false">SUMIFS(Report!$U:$U,Report!$T:$T,"&lt;&gt;"&amp;"MERCADORIAS P/REVENDA",Report!$AA:$AA,"SIM",Report!$C:$C,A70)</f>
        <v>0</v>
      </c>
      <c r="C70" s="34" t="n">
        <f aca="false">SUMIFS(Report!$U:$U,Report!$T:$T,"MERCADORIAS P/REVENDA",Report!$AA:$AA,"SIM",Report!$C:$C,A70)</f>
        <v>0</v>
      </c>
      <c r="D70" s="35"/>
      <c r="E70" s="35"/>
      <c r="F70" s="34" t="n">
        <f aca="false">B70+C70</f>
        <v>0</v>
      </c>
    </row>
    <row r="71" customFormat="false" ht="12.75" hidden="false" customHeight="true" outlineLevel="0" collapsed="false">
      <c r="A71" s="33" t="n">
        <v>46083</v>
      </c>
      <c r="B71" s="34" t="n">
        <f aca="false">SUMIFS(Report!$U:$U,Report!$T:$T,"&lt;&gt;"&amp;"MERCADORIAS P/REVENDA",Report!$AA:$AA,"SIM",Report!$C:$C,A71)</f>
        <v>0</v>
      </c>
      <c r="C71" s="34" t="n">
        <f aca="false">SUMIFS(Report!$U:$U,Report!$T:$T,"MERCADORIAS P/REVENDA",Report!$AA:$AA,"SIM",Report!$C:$C,A71)</f>
        <v>0</v>
      </c>
      <c r="D71" s="35"/>
      <c r="E71" s="35"/>
      <c r="F71" s="34" t="n">
        <f aca="false">B71+C71</f>
        <v>0</v>
      </c>
    </row>
    <row r="72" customFormat="false" ht="12.75" hidden="false" customHeight="true" outlineLevel="0" collapsed="false">
      <c r="A72" s="36" t="s">
        <v>1340</v>
      </c>
      <c r="B72" s="37" t="n">
        <f aca="false">SUM(B65:B71)</f>
        <v>0</v>
      </c>
      <c r="C72" s="37" t="n">
        <f aca="false">SUM(C65:C71)</f>
        <v>0</v>
      </c>
      <c r="D72" s="38"/>
      <c r="E72" s="38"/>
      <c r="F72" s="37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3" t="n">
        <v>46088</v>
      </c>
      <c r="B77" s="34" t="n">
        <f aca="false">SUMIFS(Report!$U:$U,Report!$T:$T,"&lt;&gt;"&amp;"MERCADORIAS P/REVENDA",Report!$AA:$AA,"SIM",Report!$C:$C,A77)</f>
        <v>0</v>
      </c>
      <c r="C77" s="34" t="n">
        <f aca="false">SUMIFS(Report!$U:$U,Report!$T:$T,"MERCADORIAS P/REVENDA",Report!$AA:$AA,"SIM",Report!$C:$C,A77)</f>
        <v>0</v>
      </c>
      <c r="D77" s="35"/>
      <c r="E77" s="35"/>
      <c r="F77" s="34" t="n">
        <f aca="false">B77+C77</f>
        <v>0</v>
      </c>
    </row>
    <row r="78" customFormat="false" ht="12.75" hidden="false" customHeight="true" outlineLevel="0" collapsed="false">
      <c r="A78" s="33" t="n">
        <v>46089</v>
      </c>
      <c r="B78" s="34" t="n">
        <f aca="false">SUMIFS(Report!$U:$U,Report!$T:$T,"&lt;&gt;"&amp;"MERCADORIAS P/REVENDA",Report!$AA:$AA,"SIM",Report!$C:$C,A78)</f>
        <v>0</v>
      </c>
      <c r="C78" s="34" t="n">
        <f aca="false">SUMIFS(Report!$U:$U,Report!$T:$T,"MERCADORIAS P/REVENDA",Report!$AA:$AA,"SIM",Report!$C:$C,A78)</f>
        <v>0</v>
      </c>
      <c r="D78" s="35"/>
      <c r="E78" s="35"/>
      <c r="F78" s="34" t="n">
        <f aca="false">B78+C78</f>
        <v>0</v>
      </c>
    </row>
    <row r="79" customFormat="false" ht="12.75" hidden="false" customHeight="true" outlineLevel="0" collapsed="false">
      <c r="A79" s="33" t="n">
        <v>46090</v>
      </c>
      <c r="B79" s="34" t="n">
        <f aca="false">SUMIFS(Report!$U:$U,Report!$T:$T,"&lt;&gt;"&amp;"MERCADORIAS P/REVENDA",Report!$AA:$AA,"SIM",Report!$C:$C,A79)</f>
        <v>0</v>
      </c>
      <c r="C79" s="34" t="n">
        <f aca="false">SUMIFS(Report!$U:$U,Report!$T:$T,"MERCADORIAS P/REVENDA",Report!$AA:$AA,"SIM",Report!$C:$C,A79)</f>
        <v>0</v>
      </c>
      <c r="D79" s="35"/>
      <c r="E79" s="35"/>
      <c r="F79" s="34" t="n">
        <f aca="false">B79+C79</f>
        <v>0</v>
      </c>
    </row>
    <row r="80" customFormat="false" ht="12.75" hidden="false" customHeight="true" outlineLevel="0" collapsed="false">
      <c r="A80" s="36" t="s">
        <v>1341</v>
      </c>
      <c r="B80" s="37" t="n">
        <f aca="false">SUM(B73:B79)</f>
        <v>0</v>
      </c>
      <c r="C80" s="37" t="n">
        <f aca="false">SUM(C73:C79)</f>
        <v>0</v>
      </c>
      <c r="D80" s="38"/>
      <c r="E80" s="38"/>
      <c r="F80" s="37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3" t="n">
        <v>46095</v>
      </c>
      <c r="B85" s="34" t="n">
        <f aca="false">SUMIFS(Report!$U:$U,Report!$T:$T,"&lt;&gt;"&amp;"MERCADORIAS P/REVENDA",Report!$AA:$AA,"SIM",Report!$C:$C,A85)</f>
        <v>0</v>
      </c>
      <c r="C85" s="34" t="n">
        <f aca="false">SUMIFS(Report!$U:$U,Report!$T:$T,"MERCADORIAS P/REVENDA",Report!$AA:$AA,"SIM",Report!$C:$C,A85)</f>
        <v>0</v>
      </c>
      <c r="D85" s="35"/>
      <c r="E85" s="35"/>
      <c r="F85" s="34" t="n">
        <f aca="false">B85+C85</f>
        <v>0</v>
      </c>
    </row>
    <row r="86" customFormat="false" ht="12.75" hidden="false" customHeight="true" outlineLevel="0" collapsed="false">
      <c r="A86" s="33" t="n">
        <v>46096</v>
      </c>
      <c r="B86" s="34" t="n">
        <f aca="false">SUMIFS(Report!$U:$U,Report!$T:$T,"&lt;&gt;"&amp;"MERCADORIAS P/REVENDA",Report!$AA:$AA,"SIM",Report!$C:$C,A86)</f>
        <v>0</v>
      </c>
      <c r="C86" s="34" t="n">
        <f aca="false">SUMIFS(Report!$U:$U,Report!$T:$T,"MERCADORIAS P/REVENDA",Report!$AA:$AA,"SIM",Report!$C:$C,A86)</f>
        <v>0</v>
      </c>
      <c r="D86" s="35"/>
      <c r="E86" s="35"/>
      <c r="F86" s="34" t="n">
        <f aca="false">B86+C86</f>
        <v>0</v>
      </c>
    </row>
    <row r="87" customFormat="false" ht="12.75" hidden="false" customHeight="true" outlineLevel="0" collapsed="false">
      <c r="A87" s="33" t="n">
        <v>46097</v>
      </c>
      <c r="B87" s="34" t="n">
        <f aca="false">SUMIFS(Report!$U:$U,Report!$T:$T,"&lt;&gt;"&amp;"MERCADORIAS P/REVENDA",Report!$AA:$AA,"SIM",Report!$C:$C,A87)</f>
        <v>0</v>
      </c>
      <c r="C87" s="34" t="n">
        <f aca="false">SUMIFS(Report!$U:$U,Report!$T:$T,"MERCADORIAS P/REVENDA",Report!$AA:$AA,"SIM",Report!$C:$C,A87)</f>
        <v>0</v>
      </c>
      <c r="D87" s="35"/>
      <c r="E87" s="35"/>
      <c r="F87" s="34" t="n">
        <f aca="false">B87+C87</f>
        <v>0</v>
      </c>
    </row>
    <row r="88" customFormat="false" ht="12.75" hidden="false" customHeight="true" outlineLevel="0" collapsed="false">
      <c r="A88" s="36" t="s">
        <v>1342</v>
      </c>
      <c r="B88" s="37" t="n">
        <f aca="false">SUM(B81:B87)</f>
        <v>0</v>
      </c>
      <c r="C88" s="37" t="n">
        <f aca="false">SUM(C81:C87)</f>
        <v>0</v>
      </c>
      <c r="D88" s="38"/>
      <c r="E88" s="38"/>
      <c r="F88" s="37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3" t="n">
        <v>46102</v>
      </c>
      <c r="B93" s="34" t="n">
        <f aca="false">SUMIFS(Report!$U:$U,Report!$T:$T,"&lt;&gt;"&amp;"MERCADORIAS P/REVENDA",Report!$AA:$AA,"SIM",Report!$C:$C,A93)</f>
        <v>0</v>
      </c>
      <c r="C93" s="34" t="n">
        <f aca="false">SUMIFS(Report!$U:$U,Report!$T:$T,"MERCADORIAS P/REVENDA",Report!$AA:$AA,"SIM",Report!$C:$C,A93)</f>
        <v>0</v>
      </c>
      <c r="D93" s="35"/>
      <c r="E93" s="35"/>
      <c r="F93" s="34" t="n">
        <f aca="false">B93+C93</f>
        <v>0</v>
      </c>
    </row>
    <row r="94" customFormat="false" ht="12.75" hidden="false" customHeight="true" outlineLevel="0" collapsed="false">
      <c r="A94" s="33" t="n">
        <v>46103</v>
      </c>
      <c r="B94" s="34" t="n">
        <f aca="false">SUMIFS(Report!$U:$U,Report!$T:$T,"&lt;&gt;"&amp;"MERCADORIAS P/REVENDA",Report!$AA:$AA,"SIM",Report!$C:$C,A94)</f>
        <v>0</v>
      </c>
      <c r="C94" s="34" t="n">
        <f aca="false">SUMIFS(Report!$U:$U,Report!$T:$T,"MERCADORIAS P/REVENDA",Report!$AA:$AA,"SIM",Report!$C:$C,A94)</f>
        <v>0</v>
      </c>
      <c r="D94" s="35"/>
      <c r="E94" s="35"/>
      <c r="F94" s="34" t="n">
        <f aca="false">B94+C94</f>
        <v>0</v>
      </c>
    </row>
    <row r="95" customFormat="false" ht="12.75" hidden="false" customHeight="true" outlineLevel="0" collapsed="false">
      <c r="A95" s="33" t="n">
        <v>46104</v>
      </c>
      <c r="B95" s="34" t="n">
        <f aca="false">SUMIFS(Report!$U:$U,Report!$T:$T,"&lt;&gt;"&amp;"MERCADORIAS P/REVENDA",Report!$AA:$AA,"SIM",Report!$C:$C,A95)</f>
        <v>0</v>
      </c>
      <c r="C95" s="34" t="n">
        <f aca="false">SUMIFS(Report!$U:$U,Report!$T:$T,"MERCADORIAS P/REVENDA",Report!$AA:$AA,"SIM",Report!$C:$C,A95)</f>
        <v>0</v>
      </c>
      <c r="D95" s="35"/>
      <c r="E95" s="35"/>
      <c r="F95" s="34" t="n">
        <f aca="false">B95+C95</f>
        <v>0</v>
      </c>
    </row>
    <row r="96" customFormat="false" ht="12.75" hidden="false" customHeight="true" outlineLevel="0" collapsed="false">
      <c r="A96" s="36" t="s">
        <v>1343</v>
      </c>
      <c r="B96" s="37" t="n">
        <f aca="false">SUM(B89:B95)</f>
        <v>0</v>
      </c>
      <c r="C96" s="37" t="n">
        <f aca="false">SUM(C89:C95)</f>
        <v>0</v>
      </c>
      <c r="D96" s="38"/>
      <c r="E96" s="38"/>
      <c r="F96" s="37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3" t="n">
        <v>46109</v>
      </c>
      <c r="B101" s="34" t="n">
        <f aca="false">SUMIFS(Report!$U:$U,Report!$T:$T,"&lt;&gt;"&amp;"MERCADORIAS P/REVENDA",Report!$AA:$AA,"SIM",Report!$C:$C,A101)</f>
        <v>0</v>
      </c>
      <c r="C101" s="34" t="n">
        <f aca="false">SUMIFS(Report!$U:$U,Report!$T:$T,"MERCADORIAS P/REVENDA",Report!$AA:$AA,"SIM",Report!$C:$C,A101)</f>
        <v>0</v>
      </c>
      <c r="D101" s="35"/>
      <c r="E101" s="35"/>
      <c r="F101" s="34" t="n">
        <f aca="false">B101+C101</f>
        <v>0</v>
      </c>
    </row>
    <row r="102" customFormat="false" ht="12.75" hidden="false" customHeight="true" outlineLevel="0" collapsed="false">
      <c r="A102" s="33" t="n">
        <v>46110</v>
      </c>
      <c r="B102" s="34" t="n">
        <f aca="false">SUMIFS(Report!$U:$U,Report!$T:$T,"&lt;&gt;"&amp;"MERCADORIAS P/REVENDA",Report!$AA:$AA,"SIM",Report!$C:$C,A102)</f>
        <v>0</v>
      </c>
      <c r="C102" s="34" t="n">
        <f aca="false">SUMIFS(Report!$U:$U,Report!$T:$T,"MERCADORIAS P/REVENDA",Report!$AA:$AA,"SIM",Report!$C:$C,A102)</f>
        <v>0</v>
      </c>
      <c r="D102" s="35"/>
      <c r="E102" s="35"/>
      <c r="F102" s="34" t="n">
        <f aca="false">B102+C102</f>
        <v>0</v>
      </c>
    </row>
    <row r="103" customFormat="false" ht="12.75" hidden="false" customHeight="true" outlineLevel="0" collapsed="false">
      <c r="A103" s="33" t="n">
        <v>46111</v>
      </c>
      <c r="B103" s="34" t="n">
        <f aca="false">SUMIFS(Report!$U:$U,Report!$T:$T,"&lt;&gt;"&amp;"MERCADORIAS P/REVENDA",Report!$AA:$AA,"SIM",Report!$C:$C,A103)</f>
        <v>0</v>
      </c>
      <c r="C103" s="34" t="n">
        <f aca="false">SUMIFS(Report!$U:$U,Report!$T:$T,"MERCADORIAS P/REVENDA",Report!$AA:$AA,"SIM",Report!$C:$C,A103)</f>
        <v>0</v>
      </c>
      <c r="D103" s="35"/>
      <c r="E103" s="35"/>
      <c r="F103" s="34" t="n">
        <f aca="false">B103+C103</f>
        <v>0</v>
      </c>
    </row>
    <row r="104" customFormat="false" ht="12.75" hidden="false" customHeight="true" outlineLevel="0" collapsed="false">
      <c r="A104" s="36" t="s">
        <v>1344</v>
      </c>
      <c r="B104" s="37" t="n">
        <f aca="false">SUM(B97:B103)</f>
        <v>0</v>
      </c>
      <c r="C104" s="37" t="n">
        <f aca="false">SUM(C97:C103)</f>
        <v>0</v>
      </c>
      <c r="D104" s="38"/>
      <c r="E104" s="38"/>
      <c r="F104" s="37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3" t="n">
        <v>46116</v>
      </c>
      <c r="B109" s="34" t="n">
        <f aca="false">SUMIFS(Report!$U:$U,Report!$T:$T,"&lt;&gt;"&amp;"MERCADORIAS P/REVENDA",Report!$AA:$AA,"SIM",Report!$C:$C,A109)</f>
        <v>0</v>
      </c>
      <c r="C109" s="34" t="n">
        <f aca="false">SUMIFS(Report!$U:$U,Report!$T:$T,"MERCADORIAS P/REVENDA",Report!$AA:$AA,"SIM",Report!$C:$C,A109)</f>
        <v>0</v>
      </c>
      <c r="D109" s="35"/>
      <c r="E109" s="35"/>
      <c r="F109" s="34" t="n">
        <f aca="false">B109+C109</f>
        <v>0</v>
      </c>
    </row>
    <row r="110" customFormat="false" ht="12.75" hidden="false" customHeight="true" outlineLevel="0" collapsed="false">
      <c r="A110" s="33" t="n">
        <v>46117</v>
      </c>
      <c r="B110" s="34" t="n">
        <f aca="false">SUMIFS(Report!$U:$U,Report!$T:$T,"&lt;&gt;"&amp;"MERCADORIAS P/REVENDA",Report!$AA:$AA,"SIM",Report!$C:$C,A110)</f>
        <v>0</v>
      </c>
      <c r="C110" s="34" t="n">
        <f aca="false">SUMIFS(Report!$U:$U,Report!$T:$T,"MERCADORIAS P/REVENDA",Report!$AA:$AA,"SIM",Report!$C:$C,A110)</f>
        <v>0</v>
      </c>
      <c r="D110" s="35"/>
      <c r="E110" s="35"/>
      <c r="F110" s="34" t="n">
        <f aca="false">B110+C110</f>
        <v>0</v>
      </c>
    </row>
    <row r="111" customFormat="false" ht="12.75" hidden="false" customHeight="true" outlineLevel="0" collapsed="false">
      <c r="A111" s="33" t="n">
        <v>46118</v>
      </c>
      <c r="B111" s="34" t="n">
        <f aca="false">SUMIFS(Report!$U:$U,Report!$T:$T,"&lt;&gt;"&amp;"MERCADORIAS P/REVENDA",Report!$AA:$AA,"SIM",Report!$C:$C,A111)</f>
        <v>0</v>
      </c>
      <c r="C111" s="34" t="n">
        <f aca="false">SUMIFS(Report!$U:$U,Report!$T:$T,"MERCADORIAS P/REVENDA",Report!$AA:$AA,"SIM",Report!$C:$C,A111)</f>
        <v>0</v>
      </c>
      <c r="D111" s="35"/>
      <c r="E111" s="35"/>
      <c r="F111" s="34" t="n">
        <f aca="false">B111+C111</f>
        <v>0</v>
      </c>
    </row>
    <row r="112" customFormat="false" ht="12.75" hidden="false" customHeight="true" outlineLevel="0" collapsed="false">
      <c r="A112" s="36" t="s">
        <v>1345</v>
      </c>
      <c r="B112" s="37" t="n">
        <f aca="false">SUM(B105:B111)</f>
        <v>0</v>
      </c>
      <c r="C112" s="37" t="n">
        <f aca="false">SUM(C105:C111)</f>
        <v>0</v>
      </c>
      <c r="D112" s="38"/>
      <c r="E112" s="38"/>
      <c r="F112" s="37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3" t="n">
        <v>46123</v>
      </c>
      <c r="B117" s="34" t="n">
        <f aca="false">SUMIFS(Report!$U:$U,Report!$T:$T,"&lt;&gt;"&amp;"MERCADORIAS P/REVENDA",Report!$AA:$AA,"SIM",Report!$C:$C,A117)</f>
        <v>0</v>
      </c>
      <c r="C117" s="34" t="n">
        <f aca="false">SUMIFS(Report!$U:$U,Report!$T:$T,"MERCADORIAS P/REVENDA",Report!$AA:$AA,"SIM",Report!$C:$C,A117)</f>
        <v>0</v>
      </c>
      <c r="D117" s="35"/>
      <c r="E117" s="35"/>
      <c r="F117" s="34" t="n">
        <f aca="false">B117+C117</f>
        <v>0</v>
      </c>
    </row>
    <row r="118" customFormat="false" ht="12.75" hidden="false" customHeight="true" outlineLevel="0" collapsed="false">
      <c r="A118" s="33" t="n">
        <v>46124</v>
      </c>
      <c r="B118" s="34" t="n">
        <f aca="false">SUMIFS(Report!$U:$U,Report!$T:$T,"&lt;&gt;"&amp;"MERCADORIAS P/REVENDA",Report!$AA:$AA,"SIM",Report!$C:$C,A118)</f>
        <v>0</v>
      </c>
      <c r="C118" s="34" t="n">
        <f aca="false">SUMIFS(Report!$U:$U,Report!$T:$T,"MERCADORIAS P/REVENDA",Report!$AA:$AA,"SIM",Report!$C:$C,A118)</f>
        <v>0</v>
      </c>
      <c r="D118" s="35"/>
      <c r="E118" s="35"/>
      <c r="F118" s="34" t="n">
        <f aca="false">B118+C118</f>
        <v>0</v>
      </c>
    </row>
    <row r="119" customFormat="false" ht="12.75" hidden="false" customHeight="true" outlineLevel="0" collapsed="false">
      <c r="A119" s="33" t="n">
        <v>46125</v>
      </c>
      <c r="B119" s="34" t="n">
        <f aca="false">SUMIFS(Report!$U:$U,Report!$T:$T,"&lt;&gt;"&amp;"MERCADORIAS P/REVENDA",Report!$AA:$AA,"SIM",Report!$C:$C,A119)</f>
        <v>0</v>
      </c>
      <c r="C119" s="34" t="n">
        <f aca="false">SUMIFS(Report!$U:$U,Report!$T:$T,"MERCADORIAS P/REVENDA",Report!$AA:$AA,"SIM",Report!$C:$C,A119)</f>
        <v>0</v>
      </c>
      <c r="D119" s="35"/>
      <c r="E119" s="35"/>
      <c r="F119" s="34" t="n">
        <f aca="false">B119+C119</f>
        <v>0</v>
      </c>
    </row>
    <row r="120" customFormat="false" ht="12.75" hidden="false" customHeight="true" outlineLevel="0" collapsed="false">
      <c r="A120" s="36" t="s">
        <v>1346</v>
      </c>
      <c r="B120" s="37" t="n">
        <f aca="false">SUM(B113:B119)</f>
        <v>0</v>
      </c>
      <c r="C120" s="37" t="n">
        <f aca="false">SUM(C113:C119)</f>
        <v>0</v>
      </c>
      <c r="D120" s="38"/>
      <c r="E120" s="38"/>
      <c r="F120" s="37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3" t="n">
        <v>46130</v>
      </c>
      <c r="B125" s="34" t="n">
        <f aca="false">SUMIFS(Report!$U:$U,Report!$T:$T,"&lt;&gt;"&amp;"MERCADORIAS P/REVENDA",Report!$AA:$AA,"SIM",Report!$C:$C,A125)</f>
        <v>0</v>
      </c>
      <c r="C125" s="34" t="n">
        <f aca="false">SUMIFS(Report!$U:$U,Report!$T:$T,"MERCADORIAS P/REVENDA",Report!$AA:$AA,"SIM",Report!$C:$C,A125)</f>
        <v>0</v>
      </c>
      <c r="D125" s="35"/>
      <c r="E125" s="35"/>
      <c r="F125" s="34" t="n">
        <f aca="false">B125+C125</f>
        <v>0</v>
      </c>
    </row>
    <row r="126" customFormat="false" ht="12.75" hidden="false" customHeight="true" outlineLevel="0" collapsed="false">
      <c r="A126" s="33" t="n">
        <v>46131</v>
      </c>
      <c r="B126" s="34" t="n">
        <f aca="false">SUMIFS(Report!$U:$U,Report!$T:$T,"&lt;&gt;"&amp;"MERCADORIAS P/REVENDA",Report!$AA:$AA,"SIM",Report!$C:$C,A126)</f>
        <v>0</v>
      </c>
      <c r="C126" s="34" t="n">
        <f aca="false">SUMIFS(Report!$U:$U,Report!$T:$T,"MERCADORIAS P/REVENDA",Report!$AA:$AA,"SIM",Report!$C:$C,A126)</f>
        <v>0</v>
      </c>
      <c r="D126" s="35"/>
      <c r="E126" s="35"/>
      <c r="F126" s="34" t="n">
        <f aca="false">B126+C126</f>
        <v>0</v>
      </c>
    </row>
    <row r="127" customFormat="false" ht="12.75" hidden="false" customHeight="true" outlineLevel="0" collapsed="false">
      <c r="A127" s="33" t="n">
        <v>46132</v>
      </c>
      <c r="B127" s="34" t="n">
        <f aca="false">SUMIFS(Report!$U:$U,Report!$T:$T,"&lt;&gt;"&amp;"MERCADORIAS P/REVENDA",Report!$AA:$AA,"SIM",Report!$C:$C,A127)</f>
        <v>0</v>
      </c>
      <c r="C127" s="34" t="n">
        <f aca="false">SUMIFS(Report!$U:$U,Report!$T:$T,"MERCADORIAS P/REVENDA",Report!$AA:$AA,"SIM",Report!$C:$C,A127)</f>
        <v>0</v>
      </c>
      <c r="D127" s="35"/>
      <c r="E127" s="35"/>
      <c r="F127" s="34" t="n">
        <f aca="false">B127+C127</f>
        <v>0</v>
      </c>
    </row>
    <row r="128" customFormat="false" ht="12.75" hidden="false" customHeight="true" outlineLevel="0" collapsed="false">
      <c r="A128" s="36" t="s">
        <v>1347</v>
      </c>
      <c r="B128" s="37" t="n">
        <f aca="false">SUM(B121:B127)</f>
        <v>0</v>
      </c>
      <c r="C128" s="37" t="n">
        <f aca="false">SUM(C121:C127)</f>
        <v>0</v>
      </c>
      <c r="D128" s="38"/>
      <c r="E128" s="38"/>
      <c r="F128" s="37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3" t="n">
        <v>46137</v>
      </c>
      <c r="B133" s="34" t="n">
        <f aca="false">SUMIFS(Report!$U:$U,Report!$T:$T,"&lt;&gt;"&amp;"MERCADORIAS P/REVENDA",Report!$AA:$AA,"SIM",Report!$C:$C,A133)</f>
        <v>0</v>
      </c>
      <c r="C133" s="34" t="n">
        <f aca="false">SUMIFS(Report!$U:$U,Report!$T:$T,"MERCADORIAS P/REVENDA",Report!$AA:$AA,"SIM",Report!$C:$C,A133)</f>
        <v>0</v>
      </c>
      <c r="D133" s="35"/>
      <c r="E133" s="35"/>
      <c r="F133" s="34" t="n">
        <f aca="false">B133+C133</f>
        <v>0</v>
      </c>
    </row>
    <row r="134" customFormat="false" ht="12.75" hidden="false" customHeight="true" outlineLevel="0" collapsed="false">
      <c r="A134" s="33" t="n">
        <v>46138</v>
      </c>
      <c r="B134" s="34" t="n">
        <f aca="false">SUMIFS(Report!$U:$U,Report!$T:$T,"&lt;&gt;"&amp;"MERCADORIAS P/REVENDA",Report!$AA:$AA,"SIM",Report!$C:$C,A134)</f>
        <v>0</v>
      </c>
      <c r="C134" s="34" t="n">
        <f aca="false">SUMIFS(Report!$U:$U,Report!$T:$T,"MERCADORIAS P/REVENDA",Report!$AA:$AA,"SIM",Report!$C:$C,A134)</f>
        <v>0</v>
      </c>
      <c r="D134" s="35"/>
      <c r="E134" s="35"/>
      <c r="F134" s="34" t="n">
        <f aca="false">B134+C134</f>
        <v>0</v>
      </c>
    </row>
    <row r="135" customFormat="false" ht="12.75" hidden="false" customHeight="true" outlineLevel="0" collapsed="false">
      <c r="A135" s="33" t="n">
        <v>46139</v>
      </c>
      <c r="B135" s="34" t="n">
        <f aca="false">SUMIFS(Report!$U:$U,Report!$T:$T,"&lt;&gt;"&amp;"MERCADORIAS P/REVENDA",Report!$AA:$AA,"SIM",Report!$C:$C,A135)</f>
        <v>0</v>
      </c>
      <c r="C135" s="34" t="n">
        <f aca="false">SUMIFS(Report!$U:$U,Report!$T:$T,"MERCADORIAS P/REVENDA",Report!$AA:$AA,"SIM",Report!$C:$C,A135)</f>
        <v>0</v>
      </c>
      <c r="D135" s="35"/>
      <c r="E135" s="35"/>
      <c r="F135" s="34" t="n">
        <f aca="false">B135+C135</f>
        <v>0</v>
      </c>
    </row>
    <row r="136" customFormat="false" ht="12.75" hidden="false" customHeight="true" outlineLevel="0" collapsed="false">
      <c r="A136" s="36" t="s">
        <v>1348</v>
      </c>
      <c r="B136" s="37" t="n">
        <f aca="false">SUM(B129:B135)</f>
        <v>0</v>
      </c>
      <c r="C136" s="37" t="n">
        <f aca="false">SUM(C129:C135)</f>
        <v>0</v>
      </c>
      <c r="D136" s="38"/>
      <c r="E136" s="38"/>
      <c r="F136" s="37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3" t="n">
        <v>46144</v>
      </c>
      <c r="B141" s="34" t="n">
        <f aca="false">SUMIFS(Report!$U:$U,Report!$T:$T,"&lt;&gt;"&amp;"MERCADORIAS P/REVENDA",Report!$AA:$AA,"SIM",Report!$C:$C,A141)</f>
        <v>0</v>
      </c>
      <c r="C141" s="34" t="n">
        <f aca="false">SUMIFS(Report!$U:$U,Report!$T:$T,"MERCADORIAS P/REVENDA",Report!$AA:$AA,"SIM",Report!$C:$C,A141)</f>
        <v>0</v>
      </c>
      <c r="D141" s="35"/>
      <c r="E141" s="35"/>
      <c r="F141" s="34" t="n">
        <f aca="false">B141+C141</f>
        <v>0</v>
      </c>
    </row>
    <row r="142" customFormat="false" ht="12.75" hidden="false" customHeight="true" outlineLevel="0" collapsed="false">
      <c r="A142" s="33" t="n">
        <v>46145</v>
      </c>
      <c r="B142" s="34" t="n">
        <f aca="false">SUMIFS(Report!$U:$U,Report!$T:$T,"&lt;&gt;"&amp;"MERCADORIAS P/REVENDA",Report!$AA:$AA,"SIM",Report!$C:$C,A142)</f>
        <v>0</v>
      </c>
      <c r="C142" s="34" t="n">
        <f aca="false">SUMIFS(Report!$U:$U,Report!$T:$T,"MERCADORIAS P/REVENDA",Report!$AA:$AA,"SIM",Report!$C:$C,A142)</f>
        <v>0</v>
      </c>
      <c r="D142" s="35"/>
      <c r="E142" s="35"/>
      <c r="F142" s="34" t="n">
        <f aca="false">B142+C142</f>
        <v>0</v>
      </c>
    </row>
    <row r="143" customFormat="false" ht="12.75" hidden="false" customHeight="true" outlineLevel="0" collapsed="false">
      <c r="A143" s="33" t="n">
        <v>46146</v>
      </c>
      <c r="B143" s="34" t="n">
        <f aca="false">SUMIFS(Report!$U:$U,Report!$T:$T,"&lt;&gt;"&amp;"MERCADORIAS P/REVENDA",Report!$AA:$AA,"SIM",Report!$C:$C,A143)</f>
        <v>0</v>
      </c>
      <c r="C143" s="34" t="n">
        <f aca="false">SUMIFS(Report!$U:$U,Report!$T:$T,"MERCADORIAS P/REVENDA",Report!$AA:$AA,"SIM",Report!$C:$C,A143)</f>
        <v>0</v>
      </c>
      <c r="D143" s="35"/>
      <c r="E143" s="35"/>
      <c r="F143" s="34" t="n">
        <f aca="false">B143+C143</f>
        <v>0</v>
      </c>
    </row>
    <row r="144" customFormat="false" ht="12.75" hidden="false" customHeight="true" outlineLevel="0" collapsed="false">
      <c r="A144" s="36" t="s">
        <v>1349</v>
      </c>
      <c r="B144" s="37" t="n">
        <f aca="false">SUM(B137:B143)</f>
        <v>0</v>
      </c>
      <c r="C144" s="37" t="n">
        <f aca="false">SUM(C137:C143)</f>
        <v>0</v>
      </c>
      <c r="D144" s="38"/>
      <c r="E144" s="38"/>
      <c r="F144" s="37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3" t="n">
        <v>46151</v>
      </c>
      <c r="B149" s="34" t="n">
        <f aca="false">SUMIFS(Report!$U:$U,Report!$T:$T,"&lt;&gt;"&amp;"MERCADORIAS P/REVENDA",Report!$AA:$AA,"SIM",Report!$C:$C,A149)</f>
        <v>0</v>
      </c>
      <c r="C149" s="34" t="n">
        <f aca="false">SUMIFS(Report!$U:$U,Report!$T:$T,"MERCADORIAS P/REVENDA",Report!$AA:$AA,"SIM",Report!$C:$C,A149)</f>
        <v>0</v>
      </c>
      <c r="D149" s="35"/>
      <c r="E149" s="35"/>
      <c r="F149" s="34" t="n">
        <f aca="false">B149+C149</f>
        <v>0</v>
      </c>
    </row>
    <row r="150" customFormat="false" ht="12.75" hidden="false" customHeight="true" outlineLevel="0" collapsed="false">
      <c r="A150" s="33" t="n">
        <v>46152</v>
      </c>
      <c r="B150" s="34" t="n">
        <f aca="false">SUMIFS(Report!$U:$U,Report!$T:$T,"&lt;&gt;"&amp;"MERCADORIAS P/REVENDA",Report!$AA:$AA,"SIM",Report!$C:$C,A150)</f>
        <v>0</v>
      </c>
      <c r="C150" s="34" t="n">
        <f aca="false">SUMIFS(Report!$U:$U,Report!$T:$T,"MERCADORIAS P/REVENDA",Report!$AA:$AA,"SIM",Report!$C:$C,A150)</f>
        <v>0</v>
      </c>
      <c r="D150" s="35"/>
      <c r="E150" s="35"/>
      <c r="F150" s="34" t="n">
        <f aca="false">B150+C150</f>
        <v>0</v>
      </c>
    </row>
    <row r="151" customFormat="false" ht="12.75" hidden="false" customHeight="true" outlineLevel="0" collapsed="false">
      <c r="A151" s="33" t="n">
        <v>46153</v>
      </c>
      <c r="B151" s="34" t="n">
        <f aca="false">SUMIFS(Report!$U:$U,Report!$T:$T,"&lt;&gt;"&amp;"MERCADORIAS P/REVENDA",Report!$AA:$AA,"SIM",Report!$C:$C,A151)</f>
        <v>0</v>
      </c>
      <c r="C151" s="34" t="n">
        <f aca="false">SUMIFS(Report!$U:$U,Report!$T:$T,"MERCADORIAS P/REVENDA",Report!$AA:$AA,"SIM",Report!$C:$C,A151)</f>
        <v>0</v>
      </c>
      <c r="D151" s="35"/>
      <c r="E151" s="35"/>
      <c r="F151" s="34" t="n">
        <f aca="false">B151+C151</f>
        <v>0</v>
      </c>
    </row>
    <row r="152" customFormat="false" ht="12.75" hidden="false" customHeight="true" outlineLevel="0" collapsed="false">
      <c r="A152" s="36" t="s">
        <v>1350</v>
      </c>
      <c r="B152" s="37" t="n">
        <f aca="false">SUM(B145:B151)</f>
        <v>0</v>
      </c>
      <c r="C152" s="37" t="n">
        <f aca="false">SUM(C145:C151)</f>
        <v>0</v>
      </c>
      <c r="D152" s="38"/>
      <c r="E152" s="38"/>
      <c r="F152" s="37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3" t="n">
        <v>46158</v>
      </c>
      <c r="B157" s="34" t="n">
        <f aca="false">SUMIFS(Report!$U:$U,Report!$T:$T,"&lt;&gt;"&amp;"MERCADORIAS P/REVENDA",Report!$AA:$AA,"SIM",Report!$C:$C,A157)</f>
        <v>0</v>
      </c>
      <c r="C157" s="34" t="n">
        <f aca="false">SUMIFS(Report!$U:$U,Report!$T:$T,"MERCADORIAS P/REVENDA",Report!$AA:$AA,"SIM",Report!$C:$C,A157)</f>
        <v>0</v>
      </c>
      <c r="D157" s="35"/>
      <c r="E157" s="35"/>
      <c r="F157" s="34" t="n">
        <f aca="false">B157+C157</f>
        <v>0</v>
      </c>
    </row>
    <row r="158" customFormat="false" ht="12.75" hidden="false" customHeight="true" outlineLevel="0" collapsed="false">
      <c r="A158" s="33" t="n">
        <v>46159</v>
      </c>
      <c r="B158" s="34" t="n">
        <f aca="false">SUMIFS(Report!$U:$U,Report!$T:$T,"&lt;&gt;"&amp;"MERCADORIAS P/REVENDA",Report!$AA:$AA,"SIM",Report!$C:$C,A158)</f>
        <v>0</v>
      </c>
      <c r="C158" s="34" t="n">
        <f aca="false">SUMIFS(Report!$U:$U,Report!$T:$T,"MERCADORIAS P/REVENDA",Report!$AA:$AA,"SIM",Report!$C:$C,A158)</f>
        <v>0</v>
      </c>
      <c r="D158" s="35"/>
      <c r="E158" s="35"/>
      <c r="F158" s="34" t="n">
        <f aca="false">B158+C158</f>
        <v>0</v>
      </c>
    </row>
    <row r="159" customFormat="false" ht="12.75" hidden="false" customHeight="true" outlineLevel="0" collapsed="false">
      <c r="A159" s="33" t="n">
        <v>46160</v>
      </c>
      <c r="B159" s="34" t="n">
        <f aca="false">SUMIFS(Report!$U:$U,Report!$T:$T,"&lt;&gt;"&amp;"MERCADORIAS P/REVENDA",Report!$AA:$AA,"SIM",Report!$C:$C,A159)</f>
        <v>0</v>
      </c>
      <c r="C159" s="34" t="n">
        <f aca="false">SUMIFS(Report!$U:$U,Report!$T:$T,"MERCADORIAS P/REVENDA",Report!$AA:$AA,"SIM",Report!$C:$C,A159)</f>
        <v>0</v>
      </c>
      <c r="D159" s="35"/>
      <c r="E159" s="35"/>
      <c r="F159" s="34" t="n">
        <f aca="false">B159+C159</f>
        <v>0</v>
      </c>
    </row>
    <row r="160" customFormat="false" ht="12.75" hidden="false" customHeight="true" outlineLevel="0" collapsed="false">
      <c r="A160" s="36" t="s">
        <v>1351</v>
      </c>
      <c r="B160" s="37" t="n">
        <f aca="false">SUM(B153:B159)</f>
        <v>0</v>
      </c>
      <c r="C160" s="37" t="n">
        <f aca="false">SUM(C153:C159)</f>
        <v>0</v>
      </c>
      <c r="D160" s="38"/>
      <c r="E160" s="38"/>
      <c r="F160" s="37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3" t="n">
        <v>46165</v>
      </c>
      <c r="B165" s="34" t="n">
        <f aca="false">SUMIFS(Report!$U:$U,Report!$T:$T,"&lt;&gt;"&amp;"MERCADORIAS P/REVENDA",Report!$AA:$AA,"SIM",Report!$C:$C,A165)</f>
        <v>0</v>
      </c>
      <c r="C165" s="34" t="n">
        <f aca="false">SUMIFS(Report!$U:$U,Report!$T:$T,"MERCADORIAS P/REVENDA",Report!$AA:$AA,"SIM",Report!$C:$C,A165)</f>
        <v>0</v>
      </c>
      <c r="D165" s="35"/>
      <c r="E165" s="35"/>
      <c r="F165" s="34" t="n">
        <f aca="false">B165+C165</f>
        <v>0</v>
      </c>
    </row>
    <row r="166" customFormat="false" ht="12.75" hidden="false" customHeight="true" outlineLevel="0" collapsed="false">
      <c r="A166" s="33" t="n">
        <v>46166</v>
      </c>
      <c r="B166" s="34" t="n">
        <f aca="false">SUMIFS(Report!$U:$U,Report!$T:$T,"&lt;&gt;"&amp;"MERCADORIAS P/REVENDA",Report!$AA:$AA,"SIM",Report!$C:$C,A166)</f>
        <v>0</v>
      </c>
      <c r="C166" s="34" t="n">
        <f aca="false">SUMIFS(Report!$U:$U,Report!$T:$T,"MERCADORIAS P/REVENDA",Report!$AA:$AA,"SIM",Report!$C:$C,A166)</f>
        <v>0</v>
      </c>
      <c r="D166" s="35"/>
      <c r="E166" s="35"/>
      <c r="F166" s="34" t="n">
        <f aca="false">B166+C166</f>
        <v>0</v>
      </c>
    </row>
    <row r="167" customFormat="false" ht="12.75" hidden="false" customHeight="true" outlineLevel="0" collapsed="false">
      <c r="A167" s="33" t="n">
        <v>46167</v>
      </c>
      <c r="B167" s="34" t="n">
        <f aca="false">SUMIFS(Report!$U:$U,Report!$T:$T,"&lt;&gt;"&amp;"MERCADORIAS P/REVENDA",Report!$AA:$AA,"SIM",Report!$C:$C,A167)</f>
        <v>0</v>
      </c>
      <c r="C167" s="34" t="n">
        <f aca="false">SUMIFS(Report!$U:$U,Report!$T:$T,"MERCADORIAS P/REVENDA",Report!$AA:$AA,"SIM",Report!$C:$C,A167)</f>
        <v>0</v>
      </c>
      <c r="D167" s="35"/>
      <c r="E167" s="35"/>
      <c r="F167" s="34" t="n">
        <f aca="false">B167+C167</f>
        <v>0</v>
      </c>
    </row>
    <row r="168" customFormat="false" ht="12.75" hidden="false" customHeight="true" outlineLevel="0" collapsed="false">
      <c r="A168" s="36" t="s">
        <v>1352</v>
      </c>
      <c r="B168" s="37" t="n">
        <f aca="false">SUM(B161:B167)</f>
        <v>0</v>
      </c>
      <c r="C168" s="37" t="n">
        <f aca="false">SUM(C161:C167)</f>
        <v>0</v>
      </c>
      <c r="D168" s="38"/>
      <c r="E168" s="38"/>
      <c r="F168" s="37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3" t="n">
        <v>46172</v>
      </c>
      <c r="B173" s="34" t="n">
        <f aca="false">SUMIFS(Report!$U:$U,Report!$T:$T,"&lt;&gt;"&amp;"MERCADORIAS P/REVENDA",Report!$AA:$AA,"SIM",Report!$C:$C,A173)</f>
        <v>0</v>
      </c>
      <c r="C173" s="34" t="n">
        <f aca="false">SUMIFS(Report!$U:$U,Report!$T:$T,"MERCADORIAS P/REVENDA",Report!$AA:$AA,"SIM",Report!$C:$C,A173)</f>
        <v>0</v>
      </c>
      <c r="D173" s="35"/>
      <c r="E173" s="35"/>
      <c r="F173" s="34" t="n">
        <f aca="false">B173+C173</f>
        <v>0</v>
      </c>
    </row>
    <row r="174" customFormat="false" ht="12.75" hidden="false" customHeight="true" outlineLevel="0" collapsed="false">
      <c r="A174" s="33" t="n">
        <v>46173</v>
      </c>
      <c r="B174" s="34" t="n">
        <f aca="false">SUMIFS(Report!$U:$U,Report!$T:$T,"&lt;&gt;"&amp;"MERCADORIAS P/REVENDA",Report!$AA:$AA,"SIM",Report!$C:$C,A174)</f>
        <v>0</v>
      </c>
      <c r="C174" s="34" t="n">
        <f aca="false">SUMIFS(Report!$U:$U,Report!$T:$T,"MERCADORIAS P/REVENDA",Report!$AA:$AA,"SIM",Report!$C:$C,A174)</f>
        <v>0</v>
      </c>
      <c r="D174" s="35"/>
      <c r="E174" s="35"/>
      <c r="F174" s="34" t="n">
        <f aca="false">B174+C174</f>
        <v>0</v>
      </c>
    </row>
    <row r="175" customFormat="false" ht="12.75" hidden="false" customHeight="true" outlineLevel="0" collapsed="false">
      <c r="A175" s="33" t="n">
        <v>46174</v>
      </c>
      <c r="B175" s="34" t="n">
        <f aca="false">SUMIFS(Report!$U:$U,Report!$T:$T,"&lt;&gt;"&amp;"MERCADORIAS P/REVENDA",Report!$AA:$AA,"SIM",Report!$C:$C,A175)</f>
        <v>0</v>
      </c>
      <c r="C175" s="34" t="n">
        <f aca="false">SUMIFS(Report!$U:$U,Report!$T:$T,"MERCADORIAS P/REVENDA",Report!$AA:$AA,"SIM",Report!$C:$C,A175)</f>
        <v>0</v>
      </c>
      <c r="D175" s="35"/>
      <c r="E175" s="35"/>
      <c r="F175" s="34" t="n">
        <f aca="false">B175+C175</f>
        <v>0</v>
      </c>
    </row>
    <row r="176" customFormat="false" ht="12.75" hidden="false" customHeight="true" outlineLevel="0" collapsed="false">
      <c r="A176" s="36" t="s">
        <v>1353</v>
      </c>
      <c r="B176" s="37" t="n">
        <f aca="false">SUM(B169:B175)</f>
        <v>0</v>
      </c>
      <c r="C176" s="37" t="n">
        <f aca="false">SUM(C169:C175)</f>
        <v>0</v>
      </c>
      <c r="D176" s="38"/>
      <c r="E176" s="38"/>
      <c r="F176" s="37" t="n">
        <f aca="false">B176+C176</f>
        <v>0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33" t="n">
        <v>46179</v>
      </c>
      <c r="B181" s="34" t="n">
        <f aca="false">SUMIFS(Report!$U:$U,Report!$T:$T,"&lt;&gt;"&amp;"MERCADORIAS P/REVENDA",Report!$AA:$AA,"SIM",Report!$C:$C,A181)</f>
        <v>0</v>
      </c>
      <c r="C181" s="34" t="n">
        <f aca="false">SUMIFS(Report!$U:$U,Report!$T:$T,"MERCADORIAS P/REVENDA",Report!$AA:$AA,"SIM",Report!$C:$C,A181)</f>
        <v>0</v>
      </c>
      <c r="D181" s="35"/>
      <c r="E181" s="35"/>
      <c r="F181" s="34" t="n">
        <f aca="false">B181+C181</f>
        <v>0</v>
      </c>
    </row>
    <row r="182" customFormat="false" ht="12.75" hidden="false" customHeight="true" outlineLevel="0" collapsed="false">
      <c r="A182" s="33" t="n">
        <v>46180</v>
      </c>
      <c r="B182" s="34" t="n">
        <f aca="false">SUMIFS(Report!$U:$U,Report!$T:$T,"&lt;&gt;"&amp;"MERCADORIAS P/REVENDA",Report!$AA:$AA,"SIM",Report!$C:$C,A182)</f>
        <v>0</v>
      </c>
      <c r="C182" s="34" t="n">
        <f aca="false">SUMIFS(Report!$U:$U,Report!$T:$T,"MERCADORIAS P/REVENDA",Report!$AA:$AA,"SIM",Report!$C:$C,A182)</f>
        <v>0</v>
      </c>
      <c r="D182" s="35"/>
      <c r="E182" s="35"/>
      <c r="F182" s="34" t="n">
        <f aca="false">B182+C182</f>
        <v>0</v>
      </c>
    </row>
    <row r="183" customFormat="false" ht="12.75" hidden="false" customHeight="true" outlineLevel="0" collapsed="false">
      <c r="A183" s="33" t="n">
        <v>46181</v>
      </c>
      <c r="B183" s="34" t="n">
        <f aca="false">SUMIFS(Report!$U:$U,Report!$T:$T,"&lt;&gt;"&amp;"MERCADORIAS P/REVENDA",Report!$AA:$AA,"SIM",Report!$C:$C,A183)</f>
        <v>0</v>
      </c>
      <c r="C183" s="34" t="n">
        <f aca="false">SUMIFS(Report!$U:$U,Report!$T:$T,"MERCADORIAS P/REVENDA",Report!$AA:$AA,"SIM",Report!$C:$C,A183)</f>
        <v>0</v>
      </c>
      <c r="D183" s="35"/>
      <c r="E183" s="35"/>
      <c r="F183" s="34" t="n">
        <f aca="false">B183+C183</f>
        <v>0</v>
      </c>
    </row>
    <row r="184" customFormat="false" ht="12.75" hidden="false" customHeight="true" outlineLevel="0" collapsed="false">
      <c r="A184" s="36" t="s">
        <v>1354</v>
      </c>
      <c r="B184" s="37" t="n">
        <f aca="false">SUM(B177:B183)</f>
        <v>0</v>
      </c>
      <c r="C184" s="37" t="n">
        <f aca="false">SUM(C177:C183)</f>
        <v>0</v>
      </c>
      <c r="D184" s="38"/>
      <c r="E184" s="38"/>
      <c r="F184" s="37" t="n">
        <f aca="false">B184+C184</f>
        <v>0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33" t="n">
        <v>46186</v>
      </c>
      <c r="B189" s="34" t="n">
        <f aca="false">SUMIFS(Report!$U:$U,Report!$T:$T,"&lt;&gt;"&amp;"MERCADORIAS P/REVENDA",Report!$AA:$AA,"SIM",Report!$C:$C,A189)</f>
        <v>0</v>
      </c>
      <c r="C189" s="34" t="n">
        <f aca="false">SUMIFS(Report!$U:$U,Report!$T:$T,"MERCADORIAS P/REVENDA",Report!$AA:$AA,"SIM",Report!$C:$C,A189)</f>
        <v>0</v>
      </c>
      <c r="D189" s="35"/>
      <c r="E189" s="35"/>
      <c r="F189" s="34" t="n">
        <f aca="false">B189+C189</f>
        <v>0</v>
      </c>
    </row>
    <row r="190" customFormat="false" ht="12.75" hidden="false" customHeight="true" outlineLevel="0" collapsed="false">
      <c r="A190" s="33" t="n">
        <v>46187</v>
      </c>
      <c r="B190" s="34" t="n">
        <f aca="false">SUMIFS(Report!$U:$U,Report!$T:$T,"&lt;&gt;"&amp;"MERCADORIAS P/REVENDA",Report!$AA:$AA,"SIM",Report!$C:$C,A190)</f>
        <v>0</v>
      </c>
      <c r="C190" s="34" t="n">
        <f aca="false">SUMIFS(Report!$U:$U,Report!$T:$T,"MERCADORIAS P/REVENDA",Report!$AA:$AA,"SIM",Report!$C:$C,A190)</f>
        <v>0</v>
      </c>
      <c r="D190" s="35"/>
      <c r="E190" s="35"/>
      <c r="F190" s="34" t="n">
        <f aca="false">B190+C190</f>
        <v>0</v>
      </c>
    </row>
    <row r="191" customFormat="false" ht="12.75" hidden="false" customHeight="true" outlineLevel="0" collapsed="false">
      <c r="A191" s="33" t="n">
        <v>46188</v>
      </c>
      <c r="B191" s="34" t="n">
        <f aca="false">SUMIFS(Report!$U:$U,Report!$T:$T,"&lt;&gt;"&amp;"MERCADORIAS P/REVENDA",Report!$AA:$AA,"SIM",Report!$C:$C,A191)</f>
        <v>0</v>
      </c>
      <c r="C191" s="34" t="n">
        <f aca="false">SUMIFS(Report!$U:$U,Report!$T:$T,"MERCADORIAS P/REVENDA",Report!$AA:$AA,"SIM",Report!$C:$C,A191)</f>
        <v>0</v>
      </c>
      <c r="D191" s="35"/>
      <c r="E191" s="35"/>
      <c r="F191" s="34" t="n">
        <f aca="false">B191+C191</f>
        <v>0</v>
      </c>
    </row>
    <row r="192" customFormat="false" ht="12.75" hidden="false" customHeight="true" outlineLevel="0" collapsed="false">
      <c r="A192" s="36" t="s">
        <v>1355</v>
      </c>
      <c r="B192" s="37" t="n">
        <f aca="false">SUM(B185:B191)</f>
        <v>0</v>
      </c>
      <c r="C192" s="37" t="n">
        <f aca="false">SUM(C185:C191)</f>
        <v>0</v>
      </c>
      <c r="D192" s="38"/>
      <c r="E192" s="38"/>
      <c r="F192" s="37" t="n">
        <f aca="false">B192+C192</f>
        <v>0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33" t="n">
        <v>46193</v>
      </c>
      <c r="B197" s="34" t="n">
        <f aca="false">SUMIFS(Report!$U:$U,Report!$T:$T,"&lt;&gt;"&amp;"MERCADORIAS P/REVENDA",Report!$AA:$AA,"SIM",Report!$C:$C,A197)</f>
        <v>0</v>
      </c>
      <c r="C197" s="34" t="n">
        <f aca="false">SUMIFS(Report!$U:$U,Report!$T:$T,"MERCADORIAS P/REVENDA",Report!$AA:$AA,"SIM",Report!$C:$C,A197)</f>
        <v>0</v>
      </c>
      <c r="D197" s="35"/>
      <c r="E197" s="35"/>
      <c r="F197" s="34" t="n">
        <f aca="false">B197+C197</f>
        <v>0</v>
      </c>
    </row>
    <row r="198" customFormat="false" ht="12.75" hidden="false" customHeight="true" outlineLevel="0" collapsed="false">
      <c r="A198" s="33" t="n">
        <v>46194</v>
      </c>
      <c r="B198" s="34" t="n">
        <f aca="false">SUMIFS(Report!$U:$U,Report!$T:$T,"&lt;&gt;"&amp;"MERCADORIAS P/REVENDA",Report!$AA:$AA,"SIM",Report!$C:$C,A198)</f>
        <v>0</v>
      </c>
      <c r="C198" s="34" t="n">
        <f aca="false">SUMIFS(Report!$U:$U,Report!$T:$T,"MERCADORIAS P/REVENDA",Report!$AA:$AA,"SIM",Report!$C:$C,A198)</f>
        <v>0</v>
      </c>
      <c r="D198" s="35"/>
      <c r="E198" s="35"/>
      <c r="F198" s="34" t="n">
        <f aca="false">B198+C198</f>
        <v>0</v>
      </c>
    </row>
    <row r="199" customFormat="false" ht="12.75" hidden="false" customHeight="true" outlineLevel="0" collapsed="false">
      <c r="A199" s="33" t="n">
        <v>46195</v>
      </c>
      <c r="B199" s="34" t="n">
        <f aca="false">SUMIFS(Report!$U:$U,Report!$T:$T,"&lt;&gt;"&amp;"MERCADORIAS P/REVENDA",Report!$AA:$AA,"SIM",Report!$C:$C,A199)</f>
        <v>0</v>
      </c>
      <c r="C199" s="34" t="n">
        <f aca="false">SUMIFS(Report!$U:$U,Report!$T:$T,"MERCADORIAS P/REVENDA",Report!$AA:$AA,"SIM",Report!$C:$C,A199)</f>
        <v>0</v>
      </c>
      <c r="D199" s="35"/>
      <c r="E199" s="35"/>
      <c r="F199" s="34" t="n">
        <f aca="false">B199+C199</f>
        <v>0</v>
      </c>
    </row>
    <row r="200" customFormat="false" ht="12.75" hidden="false" customHeight="true" outlineLevel="0" collapsed="false">
      <c r="A200" s="36" t="s">
        <v>1356</v>
      </c>
      <c r="B200" s="37" t="n">
        <f aca="false">SUM(B193:B199)</f>
        <v>0</v>
      </c>
      <c r="C200" s="37" t="n">
        <f aca="false">SUM(C193:C199)</f>
        <v>0</v>
      </c>
      <c r="D200" s="38"/>
      <c r="E200" s="38"/>
      <c r="F200" s="37" t="n">
        <f aca="false">B200+C200</f>
        <v>0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33" t="n">
        <v>46200</v>
      </c>
      <c r="B205" s="34" t="n">
        <f aca="false">SUMIFS(Report!$U:$U,Report!$T:$T,"&lt;&gt;"&amp;"MERCADORIAS P/REVENDA",Report!$AA:$AA,"SIM",Report!$C:$C,A205)</f>
        <v>462.4</v>
      </c>
      <c r="C205" s="34" t="n">
        <f aca="false">SUMIFS(Report!$U:$U,Report!$T:$T,"MERCADORIAS P/REVENDA",Report!$AA:$AA,"SIM",Report!$C:$C,A205)</f>
        <v>43869.69</v>
      </c>
      <c r="D205" s="35"/>
      <c r="E205" s="35"/>
      <c r="F205" s="34" t="n">
        <f aca="false">B205+C205</f>
        <v>44332.09</v>
      </c>
    </row>
    <row r="206" customFormat="false" ht="12.75" hidden="false" customHeight="true" outlineLevel="0" collapsed="false">
      <c r="A206" s="33" t="n">
        <v>46201</v>
      </c>
      <c r="B206" s="34" t="n">
        <f aca="false">SUMIFS(Report!$U:$U,Report!$T:$T,"&lt;&gt;"&amp;"MERCADORIAS P/REVENDA",Report!$AA:$AA,"SIM",Report!$C:$C,A206)</f>
        <v>0</v>
      </c>
      <c r="C206" s="34" t="n">
        <f aca="false">SUMIFS(Report!$U:$U,Report!$T:$T,"MERCADORIAS P/REVENDA",Report!$AA:$AA,"SIM",Report!$C:$C,A206)</f>
        <v>0</v>
      </c>
      <c r="D206" s="35"/>
      <c r="E206" s="35"/>
      <c r="F206" s="34" t="n">
        <f aca="false">B206+C206</f>
        <v>0</v>
      </c>
    </row>
    <row r="207" customFormat="false" ht="12.75" hidden="false" customHeight="true" outlineLevel="0" collapsed="false">
      <c r="A207" s="33" t="n">
        <v>46202</v>
      </c>
      <c r="B207" s="34" t="n">
        <f aca="false">SUMIFS(Report!$U:$U,Report!$T:$T,"&lt;&gt;"&amp;"MERCADORIAS P/REVENDA",Report!$AA:$AA,"SIM",Report!$C:$C,A207)</f>
        <v>4679.56</v>
      </c>
      <c r="C207" s="34" t="n">
        <f aca="false">SUMIFS(Report!$U:$U,Report!$T:$T,"MERCADORIAS P/REVENDA",Report!$AA:$AA,"SIM",Report!$C:$C,A207)</f>
        <v>7710.64</v>
      </c>
      <c r="D207" s="35"/>
      <c r="E207" s="35"/>
      <c r="F207" s="34" t="n">
        <f aca="false">B207+C207</f>
        <v>12390.2</v>
      </c>
    </row>
    <row r="208" customFormat="false" ht="12.75" hidden="false" customHeight="true" outlineLevel="0" collapsed="false">
      <c r="A208" s="36" t="s">
        <v>1357</v>
      </c>
      <c r="B208" s="37" t="n">
        <f aca="false">SUM(B201:B207)</f>
        <v>5141.96</v>
      </c>
      <c r="C208" s="37" t="n">
        <f aca="false">SUM(C201:C207)</f>
        <v>51580.33</v>
      </c>
      <c r="D208" s="38"/>
      <c r="E208" s="38"/>
      <c r="F208" s="37" t="n">
        <f aca="false">B208+C208</f>
        <v>56722.29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33" t="n">
        <v>46207</v>
      </c>
      <c r="B213" s="34" t="n">
        <f aca="false">SUMIFS(Report!$U:$U,Report!$T:$T,"&lt;&gt;"&amp;"MERCADORIAS P/REVENDA",Report!$AA:$AA,"SIM",Report!$C:$C,A213)</f>
        <v>1243.8</v>
      </c>
      <c r="C213" s="34" t="n">
        <f aca="false">SUMIFS(Report!$U:$U,Report!$T:$T,"MERCADORIAS P/REVENDA",Report!$AA:$AA,"SIM",Report!$C:$C,A213)</f>
        <v>25036.54</v>
      </c>
      <c r="D213" s="35"/>
      <c r="E213" s="35"/>
      <c r="F213" s="34" t="n">
        <f aca="false">B213+C213</f>
        <v>26280.34</v>
      </c>
    </row>
    <row r="214" customFormat="false" ht="12.75" hidden="false" customHeight="true" outlineLevel="0" collapsed="false">
      <c r="A214" s="33" t="n">
        <v>46208</v>
      </c>
      <c r="B214" s="34" t="n">
        <f aca="false">SUMIFS(Report!$U:$U,Report!$T:$T,"&lt;&gt;"&amp;"MERCADORIAS P/REVENDA",Report!$AA:$AA,"SIM",Report!$C:$C,A214)</f>
        <v>0</v>
      </c>
      <c r="C214" s="34" t="n">
        <f aca="false">SUMIFS(Report!$U:$U,Report!$T:$T,"MERCADORIAS P/REVENDA",Report!$AA:$AA,"SIM",Report!$C:$C,A214)</f>
        <v>0</v>
      </c>
      <c r="D214" s="35"/>
      <c r="E214" s="35"/>
      <c r="F214" s="34" t="n">
        <f aca="false">B214+C214</f>
        <v>0</v>
      </c>
    </row>
    <row r="215" customFormat="false" ht="12.75" hidden="false" customHeight="true" outlineLevel="0" collapsed="false">
      <c r="A215" s="33" t="n">
        <v>46209</v>
      </c>
      <c r="B215" s="34" t="n">
        <f aca="false">SUMIFS(Report!$U:$U,Report!$T:$T,"&lt;&gt;"&amp;"MERCADORIAS P/REVENDA",Report!$AA:$AA,"SIM",Report!$C:$C,A215)</f>
        <v>32114.51</v>
      </c>
      <c r="C215" s="34" t="n">
        <f aca="false">SUMIFS(Report!$U:$U,Report!$T:$T,"MERCADORIAS P/REVENDA",Report!$AA:$AA,"SIM",Report!$C:$C,A215)</f>
        <v>3020.73</v>
      </c>
      <c r="D215" s="35"/>
      <c r="E215" s="35"/>
      <c r="F215" s="34" t="n">
        <f aca="false">B215+C215</f>
        <v>35135.24</v>
      </c>
    </row>
    <row r="216" customFormat="false" ht="12.75" hidden="false" customHeight="true" outlineLevel="0" collapsed="false">
      <c r="A216" s="36" t="s">
        <v>1358</v>
      </c>
      <c r="B216" s="37" t="n">
        <f aca="false">SUM(B209:B215)</f>
        <v>53421.84</v>
      </c>
      <c r="C216" s="37" t="n">
        <f aca="false">SUM(C209:C215)</f>
        <v>82239.28</v>
      </c>
      <c r="D216" s="38"/>
      <c r="E216" s="38"/>
      <c r="F216" s="37" t="n">
        <f aca="false">B216+C216</f>
        <v>135661.12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33" t="n">
        <v>46214</v>
      </c>
      <c r="B221" s="34" t="n">
        <f aca="false">SUMIFS(Report!$U:$U,Report!$T:$T,"&lt;&gt;"&amp;"MERCADORIAS P/REVENDA",Report!$AA:$AA,"SIM",Report!$C:$C,A221)</f>
        <v>6356.18</v>
      </c>
      <c r="C221" s="34" t="n">
        <f aca="false">SUMIFS(Report!$U:$U,Report!$T:$T,"MERCADORIAS P/REVENDA",Report!$AA:$AA,"SIM",Report!$C:$C,A221)</f>
        <v>16345.65</v>
      </c>
      <c r="D221" s="35"/>
      <c r="E221" s="35"/>
      <c r="F221" s="34" t="n">
        <f aca="false">B221+C221</f>
        <v>22701.83</v>
      </c>
    </row>
    <row r="222" customFormat="false" ht="12.75" hidden="false" customHeight="true" outlineLevel="0" collapsed="false">
      <c r="A222" s="33" t="n">
        <v>46215</v>
      </c>
      <c r="B222" s="34" t="n">
        <f aca="false">SUMIFS(Report!$U:$U,Report!$T:$T,"&lt;&gt;"&amp;"MERCADORIAS P/REVENDA",Report!$AA:$AA,"SIM",Report!$C:$C,A222)</f>
        <v>0</v>
      </c>
      <c r="C222" s="34" t="n">
        <f aca="false">SUMIFS(Report!$U:$U,Report!$T:$T,"MERCADORIAS P/REVENDA",Report!$AA:$AA,"SIM",Report!$C:$C,A222)</f>
        <v>0</v>
      </c>
      <c r="D222" s="35"/>
      <c r="E222" s="35"/>
      <c r="F222" s="34" t="n">
        <f aca="false">B222+C222</f>
        <v>0</v>
      </c>
    </row>
    <row r="223" customFormat="false" ht="12.75" hidden="false" customHeight="true" outlineLevel="0" collapsed="false">
      <c r="A223" s="33" t="n">
        <v>46216</v>
      </c>
      <c r="B223" s="34" t="n">
        <f aca="false">SUMIFS(Report!$U:$U,Report!$T:$T,"&lt;&gt;"&amp;"MERCADORIAS P/REVENDA",Report!$AA:$AA,"SIM",Report!$C:$C,A223)</f>
        <v>8059.98</v>
      </c>
      <c r="C223" s="34" t="n">
        <f aca="false">SUMIFS(Report!$U:$U,Report!$T:$T,"MERCADORIAS P/REVENDA",Report!$AA:$AA,"SIM",Report!$C:$C,A223)</f>
        <v>1061.17</v>
      </c>
      <c r="D223" s="35"/>
      <c r="E223" s="35"/>
      <c r="F223" s="34" t="n">
        <f aca="false">B223+C223</f>
        <v>9121.15</v>
      </c>
    </row>
    <row r="224" customFormat="false" ht="12.75" hidden="false" customHeight="true" outlineLevel="0" collapsed="false">
      <c r="A224" s="36" t="s">
        <v>1359</v>
      </c>
      <c r="B224" s="37" t="n">
        <f aca="false">SUM(B217:B223)</f>
        <v>16589.92</v>
      </c>
      <c r="C224" s="37" t="n">
        <f aca="false">SUM(C217:C223)</f>
        <v>91627.04</v>
      </c>
      <c r="D224" s="38"/>
      <c r="E224" s="38"/>
      <c r="F224" s="37" t="n">
        <f aca="false">B224+C224</f>
        <v>108216.96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144.95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33" t="n">
        <v>46221</v>
      </c>
      <c r="B229" s="34" t="n">
        <f aca="false">SUMIFS(Report!$U:$U,Report!$T:$T,"&lt;&gt;"&amp;"MERCADORIAS P/REVENDA",Report!$AA:$AA,"SIM",Report!$C:$C,A229)</f>
        <v>2541.79</v>
      </c>
      <c r="C229" s="34" t="n">
        <f aca="false">SUMIFS(Report!$U:$U,Report!$T:$T,"MERCADORIAS P/REVENDA",Report!$AA:$AA,"SIM",Report!$C:$C,A229)</f>
        <v>7148.08</v>
      </c>
      <c r="D229" s="35"/>
      <c r="E229" s="35"/>
      <c r="F229" s="34" t="n">
        <f aca="false">B229+C229</f>
        <v>9689.87</v>
      </c>
    </row>
    <row r="230" customFormat="false" ht="12.75" hidden="false" customHeight="true" outlineLevel="0" collapsed="false">
      <c r="A230" s="33" t="n">
        <v>46222</v>
      </c>
      <c r="B230" s="34" t="n">
        <f aca="false">SUMIFS(Report!$U:$U,Report!$T:$T,"&lt;&gt;"&amp;"MERCADORIAS P/REVENDA",Report!$AA:$AA,"SIM",Report!$C:$C,A230)</f>
        <v>0</v>
      </c>
      <c r="C230" s="34" t="n">
        <f aca="false">SUMIFS(Report!$U:$U,Report!$T:$T,"MERCADORIAS P/REVENDA",Report!$AA:$AA,"SIM",Report!$C:$C,A230)</f>
        <v>3841.24</v>
      </c>
      <c r="D230" s="35"/>
      <c r="E230" s="35"/>
      <c r="F230" s="34" t="n">
        <f aca="false">B230+C230</f>
        <v>3841.24</v>
      </c>
    </row>
    <row r="231" customFormat="false" ht="12.75" hidden="false" customHeight="true" outlineLevel="0" collapsed="false">
      <c r="A231" s="33" t="n">
        <v>46223</v>
      </c>
      <c r="B231" s="34" t="n">
        <f aca="false">SUMIFS(Report!$U:$U,Report!$T:$T,"&lt;&gt;"&amp;"MERCADORIAS P/REVENDA",Report!$AA:$AA,"SIM",Report!$C:$C,A231)</f>
        <v>16292.57</v>
      </c>
      <c r="C231" s="34" t="n">
        <f aca="false">SUMIFS(Report!$U:$U,Report!$T:$T,"MERCADORIAS P/REVENDA",Report!$AA:$AA,"SIM",Report!$C:$C,A231)</f>
        <v>5093.38</v>
      </c>
      <c r="D231" s="35"/>
      <c r="E231" s="35"/>
      <c r="F231" s="34" t="n">
        <f aca="false">B231+C231</f>
        <v>21385.95</v>
      </c>
    </row>
    <row r="232" customFormat="false" ht="12.75" hidden="false" customHeight="true" outlineLevel="0" collapsed="false">
      <c r="A232" s="36" t="s">
        <v>1360</v>
      </c>
      <c r="B232" s="37" t="n">
        <f aca="false">SUM(B225:B231)</f>
        <v>53239.09</v>
      </c>
      <c r="C232" s="37" t="n">
        <f aca="false">SUM(C225:C231)</f>
        <v>158950.85</v>
      </c>
      <c r="D232" s="38"/>
      <c r="E232" s="38"/>
      <c r="F232" s="37" t="n">
        <f aca="false">B232+C232</f>
        <v>212189.94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33" t="n">
        <v>46228</v>
      </c>
      <c r="B237" s="34" t="n">
        <f aca="false">SUMIFS(Report!$U:$U,Report!$T:$T,"&lt;&gt;"&amp;"MERCADORIAS P/REVENDA",Report!$AA:$AA,"SIM",Report!$C:$C,A237)</f>
        <v>1091.93</v>
      </c>
      <c r="C237" s="34" t="n">
        <f aca="false">SUMIFS(Report!$U:$U,Report!$T:$T,"MERCADORIAS P/REVENDA",Report!$AA:$AA,"SIM",Report!$C:$C,A237)</f>
        <v>5996.37</v>
      </c>
      <c r="D237" s="35"/>
      <c r="E237" s="35"/>
      <c r="F237" s="34" t="n">
        <f aca="false">B237+C237</f>
        <v>7088.3</v>
      </c>
    </row>
    <row r="238" customFormat="false" ht="12.75" hidden="false" customHeight="true" outlineLevel="0" collapsed="false">
      <c r="A238" s="33" t="n">
        <v>46229</v>
      </c>
      <c r="B238" s="34" t="n">
        <f aca="false">SUMIFS(Report!$U:$U,Report!$T:$T,"&lt;&gt;"&amp;"MERCADORIAS P/REVENDA",Report!$AA:$AA,"SIM",Report!$C:$C,A238)</f>
        <v>299.9</v>
      </c>
      <c r="C238" s="34" t="n">
        <f aca="false">SUMIFS(Report!$U:$U,Report!$T:$T,"MERCADORIAS P/REVENDA",Report!$AA:$AA,"SIM",Report!$C:$C,A238)</f>
        <v>280</v>
      </c>
      <c r="D238" s="35"/>
      <c r="E238" s="35"/>
      <c r="F238" s="34" t="n">
        <f aca="false">B238+C238</f>
        <v>579.9</v>
      </c>
    </row>
    <row r="239" customFormat="false" ht="12.75" hidden="false" customHeight="true" outlineLevel="0" collapsed="false">
      <c r="A239" s="33" t="n">
        <v>46230</v>
      </c>
      <c r="B239" s="34" t="n">
        <f aca="false">SUMIFS(Report!$U:$U,Report!$T:$T,"&lt;&gt;"&amp;"MERCADORIAS P/REVENDA",Report!$AA:$AA,"SIM",Report!$C:$C,A239)</f>
        <v>12957.57</v>
      </c>
      <c r="C239" s="34" t="n">
        <f aca="false">SUMIFS(Report!$U:$U,Report!$T:$T,"MERCADORIAS P/REVENDA",Report!$AA:$AA,"SIM",Report!$C:$C,A239)</f>
        <v>16554.98</v>
      </c>
      <c r="D239" s="35"/>
      <c r="E239" s="35"/>
      <c r="F239" s="34" t="n">
        <f aca="false">B239+C239</f>
        <v>29512.55</v>
      </c>
    </row>
    <row r="240" customFormat="false" ht="12.75" hidden="false" customHeight="true" outlineLevel="0" collapsed="false">
      <c r="A240" s="36" t="s">
        <v>1361</v>
      </c>
      <c r="B240" s="37" t="n">
        <f aca="false">SUM(B233:B239)</f>
        <v>27093.8</v>
      </c>
      <c r="C240" s="37" t="n">
        <f aca="false">SUM(C233:C239)</f>
        <v>76386.68</v>
      </c>
      <c r="D240" s="38"/>
      <c r="E240" s="38"/>
      <c r="F240" s="37" t="n">
        <f aca="false">B240+C240</f>
        <v>103480.48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1801.5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21649.99</v>
      </c>
    </row>
    <row r="245" customFormat="false" ht="12.75" hidden="false" customHeight="true" outlineLevel="0" collapsed="false">
      <c r="A245" s="33" t="n">
        <v>46235</v>
      </c>
      <c r="B245" s="34" t="n">
        <f aca="false">SUMIFS(Report!$U:$U,Report!$T:$T,"&lt;&gt;"&amp;"MERCADORIAS P/REVENDA",Report!$AA:$AA,"SIM",Report!$C:$C,A245)</f>
        <v>2320.3</v>
      </c>
      <c r="C245" s="34" t="n">
        <f aca="false">SUMIFS(Report!$U:$U,Report!$T:$T,"MERCADORIAS P/REVENDA",Report!$AA:$AA,"SIM",Report!$C:$C,A245)</f>
        <v>10665.19</v>
      </c>
      <c r="D245" s="35"/>
      <c r="E245" s="35"/>
      <c r="F245" s="34" t="n">
        <f aca="false">B245+C245</f>
        <v>12985.49</v>
      </c>
    </row>
    <row r="246" customFormat="false" ht="12.75" hidden="false" customHeight="true" outlineLevel="0" collapsed="false">
      <c r="A246" s="33" t="n">
        <v>46236</v>
      </c>
      <c r="B246" s="34" t="n">
        <f aca="false">SUMIFS(Report!$U:$U,Report!$T:$T,"&lt;&gt;"&amp;"MERCADORIAS P/REVENDA",Report!$AA:$AA,"SIM",Report!$C:$C,A246)</f>
        <v>4444.71</v>
      </c>
      <c r="C246" s="34" t="n">
        <f aca="false">SUMIFS(Report!$U:$U,Report!$T:$T,"MERCADORIAS P/REVENDA",Report!$AA:$AA,"SIM",Report!$C:$C,A246)</f>
        <v>836.5</v>
      </c>
      <c r="D246" s="35"/>
      <c r="E246" s="35"/>
      <c r="F246" s="34" t="n">
        <f aca="false">B246+C246</f>
        <v>5281.21</v>
      </c>
    </row>
    <row r="247" customFormat="false" ht="12.75" hidden="false" customHeight="true" outlineLevel="0" collapsed="false">
      <c r="A247" s="33" t="n">
        <v>46237</v>
      </c>
      <c r="B247" s="34" t="n">
        <f aca="false">SUMIFS(Report!$U:$U,Report!$T:$T,"&lt;&gt;"&amp;"MERCADORIAS P/REVENDA",Report!$AA:$AA,"SIM",Report!$C:$C,A247)</f>
        <v>12131.74</v>
      </c>
      <c r="C247" s="34" t="n">
        <f aca="false">SUMIFS(Report!$U:$U,Report!$T:$T,"MERCADORIAS P/REVENDA",Report!$AA:$AA,"SIM",Report!$C:$C,A247)</f>
        <v>15203.71</v>
      </c>
      <c r="D247" s="35"/>
      <c r="E247" s="35"/>
      <c r="F247" s="34" t="n">
        <f aca="false">B247+C247</f>
        <v>27335.45</v>
      </c>
    </row>
    <row r="248" customFormat="false" ht="12.75" hidden="false" customHeight="true" outlineLevel="0" collapsed="false">
      <c r="A248" s="36" t="s">
        <v>1362</v>
      </c>
      <c r="B248" s="37" t="n">
        <f aca="false">SUM(B241:B247)</f>
        <v>25149.48</v>
      </c>
      <c r="C248" s="37" t="n">
        <f aca="false">SUM(C241:C247)</f>
        <v>82794.78</v>
      </c>
      <c r="D248" s="38"/>
      <c r="E248" s="38"/>
      <c r="F248" s="37" t="n">
        <f aca="false">B248+C248</f>
        <v>107944.26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3599.9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15960.35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2869.11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12960.15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17981.8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34732.72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800</v>
      </c>
      <c r="C252" s="17" t="n">
        <f aca="false">SUMIFS(Report!$U:$U,Report!$T:$T,"MERCADORIAS P/REVENDA",Report!$AA:$AA,"SIM",Report!$C:$C,A252)</f>
        <v>15601.02</v>
      </c>
      <c r="F252" s="17" t="n">
        <f aca="false">B252+C252</f>
        <v>16401.02</v>
      </c>
    </row>
    <row r="253" customFormat="false" ht="12.75" hidden="false" customHeight="true" outlineLevel="0" collapsed="false">
      <c r="A253" s="33" t="n">
        <v>46242</v>
      </c>
      <c r="B253" s="34" t="n">
        <f aca="false">SUMIFS(Report!$U:$U,Report!$T:$T,"&lt;&gt;"&amp;"MERCADORIAS P/REVENDA",Report!$AA:$AA,"SIM",Report!$C:$C,A253)</f>
        <v>0</v>
      </c>
      <c r="C253" s="34" t="n">
        <f aca="false">SUMIFS(Report!$U:$U,Report!$T:$T,"MERCADORIAS P/REVENDA",Report!$AA:$AA,"SIM",Report!$C:$C,A253)</f>
        <v>8883.58</v>
      </c>
      <c r="D253" s="35"/>
      <c r="E253" s="35"/>
      <c r="F253" s="34" t="n">
        <f aca="false">B253+C253</f>
        <v>8883.58</v>
      </c>
    </row>
    <row r="254" customFormat="false" ht="12.75" hidden="false" customHeight="true" outlineLevel="0" collapsed="false">
      <c r="A254" s="33" t="n">
        <v>46243</v>
      </c>
      <c r="B254" s="34" t="n">
        <f aca="false">SUMIFS(Report!$U:$U,Report!$T:$T,"&lt;&gt;"&amp;"MERCADORIAS P/REVENDA",Report!$AA:$AA,"SIM",Report!$C:$C,A254)</f>
        <v>8059.98</v>
      </c>
      <c r="C254" s="34" t="n">
        <f aca="false">SUMIFS(Report!$U:$U,Report!$T:$T,"MERCADORIAS P/REVENDA",Report!$AA:$AA,"SIM",Report!$C:$C,A254)</f>
        <v>1207.04</v>
      </c>
      <c r="D254" s="35"/>
      <c r="E254" s="35"/>
      <c r="F254" s="34" t="n">
        <f aca="false">B254+C254</f>
        <v>9267.02</v>
      </c>
    </row>
    <row r="255" customFormat="false" ht="12.75" hidden="false" customHeight="true" outlineLevel="0" collapsed="false">
      <c r="A255" s="33" t="n">
        <v>46244</v>
      </c>
      <c r="B255" s="34" t="n">
        <f aca="false">SUMIFS(Report!$U:$U,Report!$T:$T,"&lt;&gt;"&amp;"MERCADORIAS P/REVENDA",Report!$AA:$AA,"SIM",Report!$C:$C,A255)</f>
        <v>8761.13</v>
      </c>
      <c r="C255" s="34" t="n">
        <f aca="false">SUMIFS(Report!$U:$U,Report!$T:$T,"MERCADORIAS P/REVENDA",Report!$AA:$AA,"SIM",Report!$C:$C,A255)</f>
        <v>10560.88</v>
      </c>
      <c r="D255" s="35"/>
      <c r="E255" s="35"/>
      <c r="F255" s="34" t="n">
        <f aca="false">B255+C255</f>
        <v>19322.01</v>
      </c>
    </row>
    <row r="256" customFormat="false" ht="12.75" hidden="false" customHeight="true" outlineLevel="0" collapsed="false">
      <c r="A256" s="36" t="s">
        <v>1363</v>
      </c>
      <c r="B256" s="37" t="n">
        <f aca="false">SUM(B249:B255)</f>
        <v>42071.92</v>
      </c>
      <c r="C256" s="37" t="n">
        <f aca="false">SUM(C249:C255)</f>
        <v>75454.93</v>
      </c>
      <c r="D256" s="38"/>
      <c r="E256" s="38"/>
      <c r="F256" s="37" t="n">
        <f aca="false">B256+C256</f>
        <v>117526.85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648</v>
      </c>
      <c r="C257" s="17" t="n">
        <f aca="false">SUMIFS(Report!$U:$U,Report!$T:$T,"MERCADORIAS P/REVENDA",Report!$AA:$AA,"SIM",Report!$C:$C,A257)</f>
        <v>21141.79</v>
      </c>
      <c r="F257" s="17" t="n">
        <f aca="false">B257+C257</f>
        <v>21789.79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11745.18</v>
      </c>
      <c r="F258" s="17" t="n">
        <f aca="false">B258+C258</f>
        <v>12393.31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10753.48</v>
      </c>
      <c r="C259" s="17" t="n">
        <f aca="false">SUMIFS(Report!$U:$U,Report!$T:$T,"MERCADORIAS P/REVENDA",Report!$AA:$AA,"SIM",Report!$C:$C,A259)</f>
        <v>7920.1</v>
      </c>
      <c r="F259" s="17" t="n">
        <f aca="false">B259+C259</f>
        <v>18673.58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0</v>
      </c>
      <c r="C260" s="17" t="n">
        <f aca="false">SUMIFS(Report!$U:$U,Report!$T:$T,"MERCADORIAS P/REVENDA",Report!$AA:$AA,"SIM",Report!$C:$C,A260)</f>
        <v>7702.06</v>
      </c>
      <c r="F260" s="17" t="n">
        <f aca="false">B260+C260</f>
        <v>7702.06</v>
      </c>
    </row>
    <row r="261" customFormat="false" ht="12.75" hidden="false" customHeight="true" outlineLevel="0" collapsed="false">
      <c r="A261" s="33" t="n">
        <v>46249</v>
      </c>
      <c r="B261" s="34" t="n">
        <f aca="false">SUMIFS(Report!$U:$U,Report!$T:$T,"&lt;&gt;"&amp;"MERCADORIAS P/REVENDA",Report!$AA:$AA,"SIM",Report!$C:$C,A261)</f>
        <v>402.85</v>
      </c>
      <c r="C261" s="34" t="n">
        <f aca="false">SUMIFS(Report!$U:$U,Report!$T:$T,"MERCADORIAS P/REVENDA",Report!$AA:$AA,"SIM",Report!$C:$C,A261)</f>
        <v>6216.68</v>
      </c>
      <c r="D261" s="35"/>
      <c r="E261" s="35"/>
      <c r="F261" s="34" t="n">
        <f aca="false">B261+C261</f>
        <v>6619.53</v>
      </c>
    </row>
    <row r="262" customFormat="false" ht="12.75" hidden="false" customHeight="true" outlineLevel="0" collapsed="false">
      <c r="A262" s="33" t="n">
        <v>46250</v>
      </c>
      <c r="B262" s="34" t="n">
        <f aca="false">SUMIFS(Report!$U:$U,Report!$T:$T,"&lt;&gt;"&amp;"MERCADORIAS P/REVENDA",Report!$AA:$AA,"SIM",Report!$C:$C,A262)</f>
        <v>0</v>
      </c>
      <c r="C262" s="34" t="n">
        <f aca="false">SUMIFS(Report!$U:$U,Report!$T:$T,"MERCADORIAS P/REVENDA",Report!$AA:$AA,"SIM",Report!$C:$C,A262)</f>
        <v>0</v>
      </c>
      <c r="D262" s="35"/>
      <c r="E262" s="35"/>
      <c r="F262" s="34" t="n">
        <f aca="false">B262+C262</f>
        <v>0</v>
      </c>
    </row>
    <row r="263" customFormat="false" ht="12.75" hidden="false" customHeight="true" outlineLevel="0" collapsed="false">
      <c r="A263" s="33" t="n">
        <v>46251</v>
      </c>
      <c r="B263" s="34" t="n">
        <f aca="false">SUMIFS(Report!$U:$U,Report!$T:$T,"&lt;&gt;"&amp;"MERCADORIAS P/REVENDA",Report!$AA:$AA,"SIM",Report!$C:$C,A263)</f>
        <v>4121.66</v>
      </c>
      <c r="C263" s="34" t="n">
        <f aca="false">SUMIFS(Report!$U:$U,Report!$T:$T,"MERCADORIAS P/REVENDA",Report!$AA:$AA,"SIM",Report!$C:$C,A263)</f>
        <v>16661.72</v>
      </c>
      <c r="D263" s="35"/>
      <c r="E263" s="35"/>
      <c r="F263" s="34" t="n">
        <f aca="false">B263+C263</f>
        <v>20783.38</v>
      </c>
    </row>
    <row r="264" customFormat="false" ht="12.75" hidden="false" customHeight="true" outlineLevel="0" collapsed="false">
      <c r="A264" s="36" t="s">
        <v>1364</v>
      </c>
      <c r="B264" s="37" t="n">
        <f aca="false">SUM(B257:B263)</f>
        <v>16574.12</v>
      </c>
      <c r="C264" s="37" t="n">
        <f aca="false">SUM(C257:C263)</f>
        <v>71387.53</v>
      </c>
      <c r="D264" s="38"/>
      <c r="E264" s="38"/>
      <c r="F264" s="37" t="n">
        <f aca="false">B264+C264</f>
        <v>87961.65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11959.41</v>
      </c>
      <c r="F265" s="17" t="n">
        <f aca="false">B265+C265</f>
        <v>14469.75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5250.03</v>
      </c>
      <c r="F266" s="17" t="n">
        <f aca="false">B266+C266</f>
        <v>5898.16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4228.26</v>
      </c>
      <c r="C267" s="17" t="n">
        <f aca="false">SUMIFS(Report!$U:$U,Report!$T:$T,"MERCADORIAS P/REVENDA",Report!$AA:$AA,"SIM",Report!$C:$C,A267)</f>
        <v>5833.75</v>
      </c>
      <c r="F267" s="17" t="n">
        <f aca="false">B267+C267</f>
        <v>10062.01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7813.11</v>
      </c>
      <c r="F268" s="17" t="n">
        <f aca="false">B268+C268</f>
        <v>7813.11</v>
      </c>
    </row>
    <row r="269" customFormat="false" ht="12.75" hidden="false" customHeight="true" outlineLevel="0" collapsed="false">
      <c r="A269" s="33" t="n">
        <v>46256</v>
      </c>
      <c r="B269" s="34" t="n">
        <f aca="false">SUMIFS(Report!$U:$U,Report!$T:$T,"&lt;&gt;"&amp;"MERCADORIAS P/REVENDA",Report!$AA:$AA,"SIM",Report!$C:$C,A269)</f>
        <v>12708.97</v>
      </c>
      <c r="C269" s="34" t="n">
        <f aca="false">SUMIFS(Report!$U:$U,Report!$T:$T,"MERCADORIAS P/REVENDA",Report!$AA:$AA,"SIM",Report!$C:$C,A269)</f>
        <v>1557.3</v>
      </c>
      <c r="D269" s="35"/>
      <c r="E269" s="35"/>
      <c r="F269" s="34" t="n">
        <f aca="false">B269+C269</f>
        <v>14266.27</v>
      </c>
    </row>
    <row r="270" customFormat="false" ht="12.75" hidden="false" customHeight="true" outlineLevel="0" collapsed="false">
      <c r="A270" s="33" t="n">
        <v>46257</v>
      </c>
      <c r="B270" s="34" t="n">
        <f aca="false">SUMIFS(Report!$U:$U,Report!$T:$T,"&lt;&gt;"&amp;"MERCADORIAS P/REVENDA",Report!$AA:$AA,"SIM",Report!$C:$C,A270)</f>
        <v>0</v>
      </c>
      <c r="C270" s="34" t="n">
        <f aca="false">SUMIFS(Report!$U:$U,Report!$T:$T,"MERCADORIAS P/REVENDA",Report!$AA:$AA,"SIM",Report!$C:$C,A270)</f>
        <v>0</v>
      </c>
      <c r="D270" s="35"/>
      <c r="E270" s="35"/>
      <c r="F270" s="34" t="n">
        <f aca="false">B270+C270</f>
        <v>0</v>
      </c>
    </row>
    <row r="271" customFormat="false" ht="12.75" hidden="false" customHeight="true" outlineLevel="0" collapsed="false">
      <c r="A271" s="33" t="n">
        <v>46258</v>
      </c>
      <c r="B271" s="34" t="n">
        <f aca="false">SUMIFS(Report!$U:$U,Report!$T:$T,"&lt;&gt;"&amp;"MERCADORIAS P/REVENDA",Report!$AA:$AA,"SIM",Report!$C:$C,A271)</f>
        <v>0</v>
      </c>
      <c r="C271" s="34" t="n">
        <f aca="false">SUMIFS(Report!$U:$U,Report!$T:$T,"MERCADORIAS P/REVENDA",Report!$AA:$AA,"SIM",Report!$C:$C,A271)</f>
        <v>5190.85</v>
      </c>
      <c r="D271" s="35"/>
      <c r="E271" s="35"/>
      <c r="F271" s="34" t="n">
        <f aca="false">B271+C271</f>
        <v>5190.85</v>
      </c>
    </row>
    <row r="272" customFormat="false" ht="12.75" hidden="false" customHeight="true" outlineLevel="0" collapsed="false">
      <c r="A272" s="36" t="s">
        <v>1365</v>
      </c>
      <c r="B272" s="37" t="n">
        <f aca="false">SUM(B265:B271)</f>
        <v>20095.7</v>
      </c>
      <c r="C272" s="37" t="n">
        <f aca="false">SUM(C265:C271)</f>
        <v>37604.45</v>
      </c>
      <c r="D272" s="38"/>
      <c r="E272" s="38"/>
      <c r="F272" s="37" t="n">
        <f aca="false">B272+C272</f>
        <v>57700.15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1853.81</v>
      </c>
      <c r="C273" s="17" t="n">
        <f aca="false">SUMIFS(Report!$U:$U,Report!$T:$T,"MERCADORIAS P/REVENDA",Report!$AA:$AA,"SIM",Report!$C:$C,A273)</f>
        <v>8225.33</v>
      </c>
      <c r="F273" s="17" t="n">
        <f aca="false">B273+C273</f>
        <v>10079.14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648.14</v>
      </c>
      <c r="C274" s="17" t="n">
        <f aca="false">SUMIFS(Report!$U:$U,Report!$T:$T,"MERCADORIAS P/REVENDA",Report!$AA:$AA,"SIM",Report!$C:$C,A274)</f>
        <v>1032.31</v>
      </c>
      <c r="F274" s="17" t="n">
        <f aca="false">B274+C274</f>
        <v>1680.45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4110.15</v>
      </c>
      <c r="F275" s="17" t="n">
        <f aca="false">B275+C275</f>
        <v>4110.15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2320.33</v>
      </c>
      <c r="C276" s="17" t="n">
        <f aca="false">SUMIFS(Report!$U:$U,Report!$T:$T,"MERCADORIAS P/REVENDA",Report!$AA:$AA,"SIM",Report!$C:$C,A276)</f>
        <v>4506.16</v>
      </c>
      <c r="F276" s="17" t="n">
        <f aca="false">B276+C276</f>
        <v>6826.49</v>
      </c>
    </row>
    <row r="277" customFormat="false" ht="12.75" hidden="false" customHeight="true" outlineLevel="0" collapsed="false">
      <c r="A277" s="33" t="n">
        <v>46263</v>
      </c>
      <c r="B277" s="34" t="n">
        <f aca="false">SUMIFS(Report!$U:$U,Report!$T:$T,"&lt;&gt;"&amp;"MERCADORIAS P/REVENDA",Report!$AA:$AA,"SIM",Report!$C:$C,A277)</f>
        <v>0</v>
      </c>
      <c r="C277" s="34" t="n">
        <f aca="false">SUMIFS(Report!$U:$U,Report!$T:$T,"MERCADORIAS P/REVENDA",Report!$AA:$AA,"SIM",Report!$C:$C,A277)</f>
        <v>0</v>
      </c>
      <c r="D277" s="35"/>
      <c r="E277" s="35"/>
      <c r="F277" s="34" t="n">
        <f aca="false">B277+C277</f>
        <v>0</v>
      </c>
    </row>
    <row r="278" customFormat="false" ht="12.75" hidden="false" customHeight="true" outlineLevel="0" collapsed="false">
      <c r="A278" s="33" t="n">
        <v>46264</v>
      </c>
      <c r="B278" s="34" t="n">
        <f aca="false">SUMIFS(Report!$U:$U,Report!$T:$T,"&lt;&gt;"&amp;"MERCADORIAS P/REVENDA",Report!$AA:$AA,"SIM",Report!$C:$C,A278)</f>
        <v>0</v>
      </c>
      <c r="C278" s="34" t="n">
        <f aca="false">SUMIFS(Report!$U:$U,Report!$T:$T,"MERCADORIAS P/REVENDA",Report!$AA:$AA,"SIM",Report!$C:$C,A278)</f>
        <v>0</v>
      </c>
      <c r="D278" s="35"/>
      <c r="E278" s="35"/>
      <c r="F278" s="34" t="n">
        <f aca="false">B278+C278</f>
        <v>0</v>
      </c>
    </row>
    <row r="279" customFormat="false" ht="12.75" hidden="false" customHeight="true" outlineLevel="0" collapsed="false">
      <c r="A279" s="33" t="n">
        <v>46265</v>
      </c>
      <c r="B279" s="34" t="n">
        <f aca="false">SUMIFS(Report!$U:$U,Report!$T:$T,"&lt;&gt;"&amp;"MERCADORIAS P/REVENDA",Report!$AA:$AA,"SIM",Report!$C:$C,A279)</f>
        <v>0</v>
      </c>
      <c r="C279" s="34" t="n">
        <f aca="false">SUMIFS(Report!$U:$U,Report!$T:$T,"MERCADORIAS P/REVENDA",Report!$AA:$AA,"SIM",Report!$C:$C,A279)</f>
        <v>1487.81</v>
      </c>
      <c r="D279" s="35"/>
      <c r="E279" s="35"/>
      <c r="F279" s="34" t="n">
        <f aca="false">B279+C279</f>
        <v>1487.81</v>
      </c>
    </row>
    <row r="280" customFormat="false" ht="12.75" hidden="false" customHeight="true" outlineLevel="0" collapsed="false">
      <c r="A280" s="36" t="s">
        <v>1366</v>
      </c>
      <c r="B280" s="37" t="n">
        <f aca="false">SUM(B273:B279)</f>
        <v>4822.28</v>
      </c>
      <c r="C280" s="37" t="n">
        <f aca="false">SUM(C273:C279)</f>
        <v>19361.76</v>
      </c>
      <c r="D280" s="38"/>
      <c r="E280" s="38"/>
      <c r="F280" s="37" t="n">
        <f aca="false">B280+C280</f>
        <v>24184.04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3441.45</v>
      </c>
      <c r="F281" s="17" t="n">
        <f aca="false">B281+C281</f>
        <v>3441.45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9837.29</v>
      </c>
      <c r="C282" s="17" t="n">
        <f aca="false">SUMIFS(Report!$U:$U,Report!$T:$T,"MERCADORIAS P/REVENDA",Report!$AA:$AA,"SIM",Report!$C:$C,A282)</f>
        <v>1306.45</v>
      </c>
      <c r="F282" s="17" t="n">
        <f aca="false">B282+C282</f>
        <v>11143.74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2327.28</v>
      </c>
      <c r="F283" s="17" t="n">
        <f aca="false">B283+C283</f>
        <v>2327.28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1000</v>
      </c>
      <c r="C284" s="17" t="n">
        <f aca="false">SUMIFS(Report!$U:$U,Report!$T:$T,"MERCADORIAS P/REVENDA",Report!$AA:$AA,"SIM",Report!$C:$C,A284)</f>
        <v>1486.82</v>
      </c>
      <c r="F284" s="17" t="n">
        <f aca="false">B284+C284</f>
        <v>2486.82</v>
      </c>
    </row>
    <row r="285" customFormat="false" ht="12.75" hidden="false" customHeight="true" outlineLevel="0" collapsed="false">
      <c r="A285" s="33" t="n">
        <v>46270</v>
      </c>
      <c r="B285" s="34" t="n">
        <f aca="false">SUMIFS(Report!$U:$U,Report!$T:$T,"&lt;&gt;"&amp;"MERCADORIAS P/REVENDA",Report!$AA:$AA,"SIM",Report!$C:$C,A285)</f>
        <v>437.61</v>
      </c>
      <c r="C285" s="34" t="n">
        <f aca="false">SUMIFS(Report!$U:$U,Report!$T:$T,"MERCADORIAS P/REVENDA",Report!$AA:$AA,"SIM",Report!$C:$C,A285)</f>
        <v>0</v>
      </c>
      <c r="D285" s="35"/>
      <c r="E285" s="35"/>
      <c r="F285" s="34" t="n">
        <f aca="false">B285+C285</f>
        <v>437.61</v>
      </c>
    </row>
    <row r="286" customFormat="false" ht="12.75" hidden="false" customHeight="true" outlineLevel="0" collapsed="false">
      <c r="A286" s="33" t="n">
        <v>46271</v>
      </c>
      <c r="B286" s="34" t="n">
        <f aca="false">SUMIFS(Report!$U:$U,Report!$T:$T,"&lt;&gt;"&amp;"MERCADORIAS P/REVENDA",Report!$AA:$AA,"SIM",Report!$C:$C,A286)</f>
        <v>0</v>
      </c>
      <c r="C286" s="34" t="n">
        <f aca="false">SUMIFS(Report!$U:$U,Report!$T:$T,"MERCADORIAS P/REVENDA",Report!$AA:$AA,"SIM",Report!$C:$C,A286)</f>
        <v>0</v>
      </c>
      <c r="D286" s="35"/>
      <c r="E286" s="35"/>
      <c r="F286" s="34" t="n">
        <f aca="false">B286+C286</f>
        <v>0</v>
      </c>
    </row>
    <row r="287" customFormat="false" ht="12.75" hidden="false" customHeight="true" outlineLevel="0" collapsed="false">
      <c r="A287" s="33" t="n">
        <v>46272</v>
      </c>
      <c r="B287" s="34" t="n">
        <f aca="false">SUMIFS(Report!$U:$U,Report!$T:$T,"&lt;&gt;"&amp;"MERCADORIAS P/REVENDA",Report!$AA:$AA,"SIM",Report!$C:$C,A287)</f>
        <v>0</v>
      </c>
      <c r="C287" s="34" t="n">
        <f aca="false">SUMIFS(Report!$U:$U,Report!$T:$T,"MERCADORIAS P/REVENDA",Report!$AA:$AA,"SIM",Report!$C:$C,A287)</f>
        <v>2198.73</v>
      </c>
      <c r="D287" s="35"/>
      <c r="E287" s="35"/>
      <c r="F287" s="34" t="n">
        <f aca="false">B287+C287</f>
        <v>2198.73</v>
      </c>
    </row>
    <row r="288" customFormat="false" ht="12.75" hidden="false" customHeight="true" outlineLevel="0" collapsed="false">
      <c r="A288" s="36" t="s">
        <v>1367</v>
      </c>
      <c r="B288" s="37" t="n">
        <f aca="false">SUM(B281:B287)</f>
        <v>11274.9</v>
      </c>
      <c r="C288" s="37" t="n">
        <f aca="false">SUM(C281:C287)</f>
        <v>10760.73</v>
      </c>
      <c r="D288" s="38"/>
      <c r="E288" s="38"/>
      <c r="F288" s="37" t="n">
        <f aca="false">B288+C288</f>
        <v>22035.63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592.05</v>
      </c>
      <c r="F289" s="17" t="n">
        <f aca="false">B289+C289</f>
        <v>592.05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1718.76</v>
      </c>
      <c r="F290" s="17" t="n">
        <f aca="false">B290+C290</f>
        <v>1718.76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7666.67</v>
      </c>
      <c r="C291" s="17" t="n">
        <f aca="false">SUMIFS(Report!$U:$U,Report!$T:$T,"MERCADORIAS P/REVENDA",Report!$AA:$AA,"SIM",Report!$C:$C,A291)</f>
        <v>0</v>
      </c>
      <c r="F291" s="17" t="n">
        <f aca="false">B291+C291</f>
        <v>7666.67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245.49</v>
      </c>
      <c r="F292" s="17" t="n">
        <f aca="false">B292+C292</f>
        <v>245.49</v>
      </c>
    </row>
    <row r="293" customFormat="false" ht="12.75" hidden="false" customHeight="true" outlineLevel="0" collapsed="false">
      <c r="A293" s="33" t="n">
        <v>46277</v>
      </c>
      <c r="B293" s="34" t="n">
        <f aca="false">SUMIFS(Report!$U:$U,Report!$T:$T,"&lt;&gt;"&amp;"MERCADORIAS P/REVENDA",Report!$AA:$AA,"SIM",Report!$C:$C,A293)</f>
        <v>0</v>
      </c>
      <c r="C293" s="34" t="n">
        <f aca="false">SUMIFS(Report!$U:$U,Report!$T:$T,"MERCADORIAS P/REVENDA",Report!$AA:$AA,"SIM",Report!$C:$C,A293)</f>
        <v>0</v>
      </c>
      <c r="D293" s="35"/>
      <c r="E293" s="35"/>
      <c r="F293" s="34" t="n">
        <f aca="false">B293+C293</f>
        <v>0</v>
      </c>
    </row>
    <row r="294" customFormat="false" ht="12.75" hidden="false" customHeight="true" outlineLevel="0" collapsed="false">
      <c r="A294" s="33" t="n">
        <v>46278</v>
      </c>
      <c r="B294" s="34" t="n">
        <f aca="false">SUMIFS(Report!$U:$U,Report!$T:$T,"&lt;&gt;"&amp;"MERCADORIAS P/REVENDA",Report!$AA:$AA,"SIM",Report!$C:$C,A294)</f>
        <v>0</v>
      </c>
      <c r="C294" s="34" t="n">
        <f aca="false">SUMIFS(Report!$U:$U,Report!$T:$T,"MERCADORIAS P/REVENDA",Report!$AA:$AA,"SIM",Report!$C:$C,A294)</f>
        <v>0</v>
      </c>
      <c r="D294" s="35"/>
      <c r="E294" s="35"/>
      <c r="F294" s="34" t="n">
        <f aca="false">B294+C294</f>
        <v>0</v>
      </c>
    </row>
    <row r="295" customFormat="false" ht="12.75" hidden="false" customHeight="true" outlineLevel="0" collapsed="false">
      <c r="A295" s="33" t="n">
        <v>46279</v>
      </c>
      <c r="B295" s="34" t="n">
        <f aca="false">SUMIFS(Report!$U:$U,Report!$T:$T,"&lt;&gt;"&amp;"MERCADORIAS P/REVENDA",Report!$AA:$AA,"SIM",Report!$C:$C,A295)</f>
        <v>0</v>
      </c>
      <c r="C295" s="34" t="n">
        <f aca="false">SUMIFS(Report!$U:$U,Report!$T:$T,"MERCADORIAS P/REVENDA",Report!$AA:$AA,"SIM",Report!$C:$C,A295)</f>
        <v>0</v>
      </c>
      <c r="D295" s="35"/>
      <c r="E295" s="35"/>
      <c r="F295" s="34" t="n">
        <f aca="false">B295+C295</f>
        <v>0</v>
      </c>
    </row>
    <row r="296" customFormat="false" ht="12.75" hidden="false" customHeight="true" outlineLevel="0" collapsed="false">
      <c r="A296" s="36" t="s">
        <v>1368</v>
      </c>
      <c r="B296" s="37" t="n">
        <f aca="false">SUM(B289:B295)</f>
        <v>7666.67</v>
      </c>
      <c r="C296" s="37" t="n">
        <f aca="false">SUM(C289:C295)</f>
        <v>2556.3</v>
      </c>
      <c r="D296" s="38"/>
      <c r="E296" s="38"/>
      <c r="F296" s="37" t="n">
        <f aca="false">B296+C296</f>
        <v>10222.97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402.85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0</v>
      </c>
      <c r="F298" s="17" t="n">
        <f aca="false">B298+C298</f>
        <v>0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4121.66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4121.66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2510.34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2510.34</v>
      </c>
    </row>
    <row r="301" customFormat="false" ht="12.75" hidden="false" customHeight="true" outlineLevel="0" collapsed="false">
      <c r="A301" s="33" t="n">
        <v>46284</v>
      </c>
      <c r="B301" s="34" t="n">
        <f aca="false">SUMIFS(Report!$U:$U,Report!$T:$T,"&lt;&gt;"&amp;"MERCADORIAS P/REVENDA",Report!$AA:$AA,"SIM",Report!$C:$C,A301)</f>
        <v>0</v>
      </c>
      <c r="C301" s="34" t="n">
        <f aca="false">SUMIFS(Report!$U:$U,Report!$T:$T,"MERCADORIAS P/REVENDA",Report!$AA:$AA,"SIM",Report!$C:$C,A301)</f>
        <v>0</v>
      </c>
      <c r="D301" s="35"/>
      <c r="E301" s="35"/>
      <c r="F301" s="34" t="n">
        <f aca="false">B301+C301</f>
        <v>0</v>
      </c>
    </row>
    <row r="302" customFormat="false" ht="12.75" hidden="false" customHeight="true" outlineLevel="0" collapsed="false">
      <c r="A302" s="33" t="n">
        <v>46285</v>
      </c>
      <c r="B302" s="34" t="n">
        <f aca="false">SUMIFS(Report!$U:$U,Report!$T:$T,"&lt;&gt;"&amp;"MERCADORIAS P/REVENDA",Report!$AA:$AA,"SIM",Report!$C:$C,A302)</f>
        <v>4228.26</v>
      </c>
      <c r="C302" s="34" t="n">
        <f aca="false">SUMIFS(Report!$U:$U,Report!$T:$T,"MERCADORIAS P/REVENDA",Report!$AA:$AA,"SIM",Report!$C:$C,A302)</f>
        <v>0</v>
      </c>
      <c r="D302" s="35"/>
      <c r="E302" s="35"/>
      <c r="F302" s="34" t="n">
        <f aca="false">B302+C302</f>
        <v>4228.26</v>
      </c>
    </row>
    <row r="303" customFormat="false" ht="12.75" hidden="false" customHeight="true" outlineLevel="0" collapsed="false">
      <c r="A303" s="33" t="n">
        <v>46286</v>
      </c>
      <c r="B303" s="34" t="n">
        <f aca="false">SUMIFS(Report!$U:$U,Report!$T:$T,"&lt;&gt;"&amp;"MERCADORIAS P/REVENDA",Report!$AA:$AA,"SIM",Report!$C:$C,A303)</f>
        <v>0</v>
      </c>
      <c r="C303" s="34" t="n">
        <f aca="false">SUMIFS(Report!$U:$U,Report!$T:$T,"MERCADORIAS P/REVENDA",Report!$AA:$AA,"SIM",Report!$C:$C,A303)</f>
        <v>0</v>
      </c>
      <c r="D303" s="35"/>
      <c r="E303" s="35"/>
      <c r="F303" s="34" t="n">
        <f aca="false">B303+C303</f>
        <v>0</v>
      </c>
    </row>
    <row r="304" customFormat="false" ht="12.75" hidden="false" customHeight="true" outlineLevel="0" collapsed="false">
      <c r="A304" s="36" t="s">
        <v>1369</v>
      </c>
      <c r="B304" s="37" t="n">
        <f aca="false">SUM(B297:B303)</f>
        <v>11263.11</v>
      </c>
      <c r="C304" s="37" t="n">
        <f aca="false">SUM(C297:C303)</f>
        <v>0</v>
      </c>
      <c r="D304" s="38"/>
      <c r="E304" s="38"/>
      <c r="F304" s="37" t="n">
        <f aca="false">B304+C304</f>
        <v>11263.11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710.92</v>
      </c>
      <c r="F305" s="17" t="n">
        <f aca="false">B305+C305</f>
        <v>11099.56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1708.5</v>
      </c>
      <c r="F308" s="17" t="n">
        <f aca="false">B308+C308</f>
        <v>3081.04</v>
      </c>
    </row>
    <row r="309" customFormat="false" ht="12.75" hidden="false" customHeight="true" outlineLevel="0" collapsed="false">
      <c r="A309" s="33" t="n">
        <v>46291</v>
      </c>
      <c r="B309" s="34" t="n">
        <f aca="false">SUMIFS(Report!$U:$U,Report!$T:$T,"&lt;&gt;"&amp;"MERCADORIAS P/REVENDA",Report!$AA:$AA,"SIM",Report!$C:$C,A309)</f>
        <v>0</v>
      </c>
      <c r="C309" s="34" t="n">
        <f aca="false">SUMIFS(Report!$U:$U,Report!$T:$T,"MERCADORIAS P/REVENDA",Report!$AA:$AA,"SIM",Report!$C:$C,A309)</f>
        <v>0</v>
      </c>
      <c r="D309" s="35"/>
      <c r="E309" s="35"/>
      <c r="F309" s="34" t="n">
        <f aca="false">B309+C309</f>
        <v>0</v>
      </c>
    </row>
    <row r="310" customFormat="false" ht="12.75" hidden="false" customHeight="true" outlineLevel="0" collapsed="false">
      <c r="A310" s="33" t="n">
        <v>46292</v>
      </c>
      <c r="B310" s="34" t="n">
        <f aca="false">SUMIFS(Report!$U:$U,Report!$T:$T,"&lt;&gt;"&amp;"MERCADORIAS P/REVENDA",Report!$AA:$AA,"SIM",Report!$C:$C,A310)</f>
        <v>0</v>
      </c>
      <c r="C310" s="34" t="n">
        <f aca="false">SUMIFS(Report!$U:$U,Report!$T:$T,"MERCADORIAS P/REVENDA",Report!$AA:$AA,"SIM",Report!$C:$C,A310)</f>
        <v>0</v>
      </c>
      <c r="D310" s="35"/>
      <c r="E310" s="35"/>
      <c r="F310" s="34" t="n">
        <f aca="false">B310+C310</f>
        <v>0</v>
      </c>
    </row>
    <row r="311" customFormat="false" ht="12.75" hidden="false" customHeight="true" outlineLevel="0" collapsed="false">
      <c r="A311" s="33" t="n">
        <v>46293</v>
      </c>
      <c r="B311" s="34" t="n">
        <f aca="false">SUMIFS(Report!$U:$U,Report!$T:$T,"&lt;&gt;"&amp;"MERCADORIAS P/REVENDA",Report!$AA:$AA,"SIM",Report!$C:$C,A311)</f>
        <v>0</v>
      </c>
      <c r="C311" s="34" t="n">
        <f aca="false">SUMIFS(Report!$U:$U,Report!$T:$T,"MERCADORIAS P/REVENDA",Report!$AA:$AA,"SIM",Report!$C:$C,A311)</f>
        <v>0</v>
      </c>
      <c r="D311" s="35"/>
      <c r="E311" s="35"/>
      <c r="F311" s="34" t="n">
        <f aca="false">B311+C311</f>
        <v>0</v>
      </c>
    </row>
    <row r="312" customFormat="false" ht="12.75" hidden="false" customHeight="true" outlineLevel="0" collapsed="false">
      <c r="A312" s="36" t="s">
        <v>1370</v>
      </c>
      <c r="B312" s="37" t="n">
        <f aca="false">SUM(B305:B311)</f>
        <v>11761.18</v>
      </c>
      <c r="C312" s="37" t="n">
        <f aca="false">SUM(C305:C311)</f>
        <v>2419.42</v>
      </c>
      <c r="D312" s="38"/>
      <c r="E312" s="38"/>
      <c r="F312" s="37" t="n">
        <f aca="false">B312+C312</f>
        <v>14180.6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9837.29</v>
      </c>
    </row>
    <row r="317" customFormat="false" ht="12.75" hidden="false" customHeight="true" outlineLevel="0" collapsed="false">
      <c r="A317" s="33" t="n">
        <v>46298</v>
      </c>
      <c r="B317" s="34" t="n">
        <f aca="false">SUMIFS(Report!$U:$U,Report!$T:$T,"&lt;&gt;"&amp;"MERCADORIAS P/REVENDA",Report!$AA:$AA,"SIM",Report!$C:$C,A317)</f>
        <v>0</v>
      </c>
      <c r="C317" s="34" t="n">
        <f aca="false">SUMIFS(Report!$U:$U,Report!$T:$T,"MERCADORIAS P/REVENDA",Report!$AA:$AA,"SIM",Report!$C:$C,A317)</f>
        <v>0</v>
      </c>
      <c r="D317" s="35"/>
      <c r="E317" s="35"/>
      <c r="F317" s="34" t="n">
        <f aca="false">B317+C317</f>
        <v>0</v>
      </c>
    </row>
    <row r="318" customFormat="false" ht="12.75" hidden="false" customHeight="true" outlineLevel="0" collapsed="false">
      <c r="A318" s="33" t="n">
        <v>46299</v>
      </c>
      <c r="B318" s="34" t="n">
        <f aca="false">SUMIFS(Report!$U:$U,Report!$T:$T,"&lt;&gt;"&amp;"MERCADORIAS P/REVENDA",Report!$AA:$AA,"SIM",Report!$C:$C,A318)</f>
        <v>1000</v>
      </c>
      <c r="C318" s="34" t="n">
        <f aca="false">SUMIFS(Report!$U:$U,Report!$T:$T,"MERCADORIAS P/REVENDA",Report!$AA:$AA,"SIM",Report!$C:$C,A318)</f>
        <v>0</v>
      </c>
      <c r="D318" s="35"/>
      <c r="E318" s="35"/>
      <c r="F318" s="34" t="n">
        <f aca="false">B318+C318</f>
        <v>1000</v>
      </c>
    </row>
    <row r="319" customFormat="false" ht="12.75" hidden="false" customHeight="true" outlineLevel="0" collapsed="false">
      <c r="A319" s="33" t="n">
        <v>46300</v>
      </c>
      <c r="B319" s="34" t="n">
        <f aca="false">SUMIFS(Report!$U:$U,Report!$T:$T,"&lt;&gt;"&amp;"MERCADORIAS P/REVENDA",Report!$AA:$AA,"SIM",Report!$C:$C,A319)</f>
        <v>437.61</v>
      </c>
      <c r="C319" s="34" t="n">
        <f aca="false">SUMIFS(Report!$U:$U,Report!$T:$T,"MERCADORIAS P/REVENDA",Report!$AA:$AA,"SIM",Report!$C:$C,A319)</f>
        <v>0</v>
      </c>
      <c r="D319" s="35"/>
      <c r="E319" s="35"/>
      <c r="F319" s="34" t="n">
        <f aca="false">B319+C319</f>
        <v>437.61</v>
      </c>
    </row>
    <row r="320" customFormat="false" ht="12.75" hidden="false" customHeight="true" outlineLevel="0" collapsed="false">
      <c r="A320" s="36" t="s">
        <v>1371</v>
      </c>
      <c r="B320" s="37" t="n">
        <f aca="false">SUM(B313:B319)</f>
        <v>11274.9</v>
      </c>
      <c r="C320" s="37" t="n">
        <f aca="false">SUM(C313:C319)</f>
        <v>0</v>
      </c>
      <c r="D320" s="38"/>
      <c r="E320" s="38"/>
      <c r="F320" s="37" t="n">
        <f aca="false">B320+C320</f>
        <v>11274.9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1718.76</v>
      </c>
      <c r="F324" s="17" t="n">
        <f aca="false">B324+C324</f>
        <v>1718.76</v>
      </c>
    </row>
    <row r="325" customFormat="false" ht="12.75" hidden="false" customHeight="true" outlineLevel="0" collapsed="false">
      <c r="A325" s="33" t="n">
        <v>46305</v>
      </c>
      <c r="B325" s="34" t="n">
        <f aca="false">SUMIFS(Report!$U:$U,Report!$T:$T,"&lt;&gt;"&amp;"MERCADORIAS P/REVENDA",Report!$AA:$AA,"SIM",Report!$C:$C,A325)</f>
        <v>7666.67</v>
      </c>
      <c r="C325" s="34" t="n">
        <f aca="false">SUMIFS(Report!$U:$U,Report!$T:$T,"MERCADORIAS P/REVENDA",Report!$AA:$AA,"SIM",Report!$C:$C,A325)</f>
        <v>0</v>
      </c>
      <c r="D325" s="35"/>
      <c r="E325" s="35"/>
      <c r="F325" s="34" t="n">
        <f aca="false">B325+C325</f>
        <v>7666.67</v>
      </c>
    </row>
    <row r="326" customFormat="false" ht="12.75" hidden="false" customHeight="true" outlineLevel="0" collapsed="false">
      <c r="A326" s="33" t="n">
        <v>46306</v>
      </c>
      <c r="B326" s="34" t="n">
        <f aca="false">SUMIFS(Report!$U:$U,Report!$T:$T,"&lt;&gt;"&amp;"MERCADORIAS P/REVENDA",Report!$AA:$AA,"SIM",Report!$C:$C,A326)</f>
        <v>0</v>
      </c>
      <c r="C326" s="34" t="n">
        <f aca="false">SUMIFS(Report!$U:$U,Report!$T:$T,"MERCADORIAS P/REVENDA",Report!$AA:$AA,"SIM",Report!$C:$C,A326)</f>
        <v>0</v>
      </c>
      <c r="D326" s="35"/>
      <c r="E326" s="35"/>
      <c r="F326" s="34" t="n">
        <f aca="false">B326+C326</f>
        <v>0</v>
      </c>
    </row>
    <row r="327" customFormat="false" ht="12.75" hidden="false" customHeight="true" outlineLevel="0" collapsed="false">
      <c r="A327" s="33" t="n">
        <v>46307</v>
      </c>
      <c r="B327" s="34" t="n">
        <f aca="false">SUMIFS(Report!$U:$U,Report!$T:$T,"&lt;&gt;"&amp;"MERCADORIAS P/REVENDA",Report!$AA:$AA,"SIM",Report!$C:$C,A327)</f>
        <v>0</v>
      </c>
      <c r="C327" s="34" t="n">
        <f aca="false">SUMIFS(Report!$U:$U,Report!$T:$T,"MERCADORIAS P/REVENDA",Report!$AA:$AA,"SIM",Report!$C:$C,A327)</f>
        <v>0</v>
      </c>
      <c r="D327" s="35"/>
      <c r="E327" s="35"/>
      <c r="F327" s="34" t="n">
        <f aca="false">B327+C327</f>
        <v>0</v>
      </c>
    </row>
    <row r="328" customFormat="false" ht="12.75" hidden="false" customHeight="true" outlineLevel="0" collapsed="false">
      <c r="A328" s="36" t="s">
        <v>1372</v>
      </c>
      <c r="B328" s="37" t="n">
        <f aca="false">SUM(B321:B327)</f>
        <v>7666.67</v>
      </c>
      <c r="C328" s="37" t="n">
        <f aca="false">SUM(C321:C327)</f>
        <v>2429.68</v>
      </c>
      <c r="D328" s="38"/>
      <c r="E328" s="38"/>
      <c r="F328" s="37" t="n">
        <f aca="false">B328+C328</f>
        <v>10096.35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3" t="n">
        <v>46312</v>
      </c>
      <c r="B333" s="34" t="n">
        <f aca="false">SUMIFS(Report!$U:$U,Report!$T:$T,"&lt;&gt;"&amp;"MERCADORIAS P/REVENDA",Report!$AA:$AA,"SIM",Report!$C:$C,A333)</f>
        <v>4121.66</v>
      </c>
      <c r="C333" s="34" t="n">
        <f aca="false">SUMIFS(Report!$U:$U,Report!$T:$T,"MERCADORIAS P/REVENDA",Report!$AA:$AA,"SIM",Report!$C:$C,A333)</f>
        <v>0</v>
      </c>
      <c r="D333" s="35"/>
      <c r="E333" s="35"/>
      <c r="F333" s="34" t="n">
        <f aca="false">B333+C333</f>
        <v>4121.66</v>
      </c>
    </row>
    <row r="334" customFormat="false" ht="12.75" hidden="false" customHeight="true" outlineLevel="0" collapsed="false">
      <c r="A334" s="33" t="n">
        <v>46313</v>
      </c>
      <c r="B334" s="34" t="n">
        <f aca="false">SUMIFS(Report!$U:$U,Report!$T:$T,"&lt;&gt;"&amp;"MERCADORIAS P/REVENDA",Report!$AA:$AA,"SIM",Report!$C:$C,A334)</f>
        <v>2510.34</v>
      </c>
      <c r="C334" s="34" t="n">
        <f aca="false">SUMIFS(Report!$U:$U,Report!$T:$T,"MERCADORIAS P/REVENDA",Report!$AA:$AA,"SIM",Report!$C:$C,A334)</f>
        <v>0</v>
      </c>
      <c r="D334" s="35"/>
      <c r="E334" s="35"/>
      <c r="F334" s="34" t="n">
        <f aca="false">B334+C334</f>
        <v>2510.34</v>
      </c>
    </row>
    <row r="335" customFormat="false" ht="12.75" hidden="false" customHeight="true" outlineLevel="0" collapsed="false">
      <c r="A335" s="33" t="n">
        <v>46314</v>
      </c>
      <c r="B335" s="34" t="n">
        <f aca="false">SUMIFS(Report!$U:$U,Report!$T:$T,"&lt;&gt;"&amp;"MERCADORIAS P/REVENDA",Report!$AA:$AA,"SIM",Report!$C:$C,A335)</f>
        <v>0</v>
      </c>
      <c r="C335" s="34" t="n">
        <f aca="false">SUMIFS(Report!$U:$U,Report!$T:$T,"MERCADORIAS P/REVENDA",Report!$AA:$AA,"SIM",Report!$C:$C,A335)</f>
        <v>0</v>
      </c>
      <c r="D335" s="35"/>
      <c r="E335" s="35"/>
      <c r="F335" s="34" t="n">
        <f aca="false">B335+C335</f>
        <v>0</v>
      </c>
    </row>
    <row r="336" customFormat="false" ht="12.75" hidden="false" customHeight="true" outlineLevel="0" collapsed="false">
      <c r="A336" s="36" t="s">
        <v>1373</v>
      </c>
      <c r="B336" s="37" t="n">
        <f aca="false">SUM(B329:B335)</f>
        <v>7034.85</v>
      </c>
      <c r="C336" s="37" t="n">
        <f aca="false">SUM(C329:C335)</f>
        <v>0</v>
      </c>
      <c r="D336" s="38"/>
      <c r="E336" s="38"/>
      <c r="F336" s="37" t="n">
        <f aca="false">B336+C336</f>
        <v>7034.85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3" t="n">
        <v>46319</v>
      </c>
      <c r="B341" s="34" t="n">
        <f aca="false">SUMIFS(Report!$U:$U,Report!$T:$T,"&lt;&gt;"&amp;"MERCADORIAS P/REVENDA",Report!$AA:$AA,"SIM",Report!$C:$C,A341)</f>
        <v>0</v>
      </c>
      <c r="C341" s="34" t="n">
        <f aca="false">SUMIFS(Report!$U:$U,Report!$T:$T,"MERCADORIAS P/REVENDA",Report!$AA:$AA,"SIM",Report!$C:$C,A341)</f>
        <v>0</v>
      </c>
      <c r="D341" s="35"/>
      <c r="E341" s="35"/>
      <c r="F341" s="34" t="n">
        <f aca="false">B341+C341</f>
        <v>0</v>
      </c>
    </row>
    <row r="342" customFormat="false" ht="12.75" hidden="false" customHeight="true" outlineLevel="0" collapsed="false">
      <c r="A342" s="33" t="n">
        <v>46320</v>
      </c>
      <c r="B342" s="34" t="n">
        <f aca="false">SUMIFS(Report!$U:$U,Report!$T:$T,"&lt;&gt;"&amp;"MERCADORIAS P/REVENDA",Report!$AA:$AA,"SIM",Report!$C:$C,A342)</f>
        <v>256.8</v>
      </c>
      <c r="C342" s="34" t="n">
        <f aca="false">SUMIFS(Report!$U:$U,Report!$T:$T,"MERCADORIAS P/REVENDA",Report!$AA:$AA,"SIM",Report!$C:$C,A342)</f>
        <v>1615.17</v>
      </c>
      <c r="D342" s="35"/>
      <c r="E342" s="35"/>
      <c r="F342" s="34" t="n">
        <f aca="false">B342+C342</f>
        <v>1871.97</v>
      </c>
    </row>
    <row r="343" customFormat="false" ht="12.75" hidden="false" customHeight="true" outlineLevel="0" collapsed="false">
      <c r="A343" s="33" t="n">
        <v>46321</v>
      </c>
      <c r="B343" s="34" t="n">
        <f aca="false">SUMIFS(Report!$U:$U,Report!$T:$T,"&lt;&gt;"&amp;"MERCADORIAS P/REVENDA",Report!$AA:$AA,"SIM",Report!$C:$C,A343)</f>
        <v>0</v>
      </c>
      <c r="C343" s="34" t="n">
        <f aca="false">SUMIFS(Report!$U:$U,Report!$T:$T,"MERCADORIAS P/REVENDA",Report!$AA:$AA,"SIM",Report!$C:$C,A343)</f>
        <v>0</v>
      </c>
      <c r="D343" s="35"/>
      <c r="E343" s="35"/>
      <c r="F343" s="34" t="n">
        <f aca="false">B343+C343</f>
        <v>0</v>
      </c>
    </row>
    <row r="344" customFormat="false" ht="12.75" hidden="false" customHeight="true" outlineLevel="0" collapsed="false">
      <c r="A344" s="36" t="s">
        <v>1374</v>
      </c>
      <c r="B344" s="37" t="n">
        <f aca="false">SUM(B337:B343)</f>
        <v>14648.71</v>
      </c>
      <c r="C344" s="37" t="n">
        <f aca="false">SUM(C337:C343)</f>
        <v>1615.17</v>
      </c>
      <c r="D344" s="38"/>
      <c r="E344" s="38"/>
      <c r="F344" s="37" t="n">
        <f aca="false">B344+C344</f>
        <v>16263.88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3" t="n">
        <v>46326</v>
      </c>
      <c r="B349" s="34" t="n">
        <f aca="false">SUMIFS(Report!$U:$U,Report!$T:$T,"&lt;&gt;"&amp;"MERCADORIAS P/REVENDA",Report!$AA:$AA,"SIM",Report!$C:$C,A349)</f>
        <v>0</v>
      </c>
      <c r="C349" s="34" t="n">
        <f aca="false">SUMIFS(Report!$U:$U,Report!$T:$T,"MERCADORIAS P/REVENDA",Report!$AA:$AA,"SIM",Report!$C:$C,A349)</f>
        <v>0</v>
      </c>
      <c r="D349" s="35"/>
      <c r="E349" s="35"/>
      <c r="F349" s="34" t="n">
        <f aca="false">B349+C349</f>
        <v>0</v>
      </c>
    </row>
    <row r="350" customFormat="false" ht="12.75" hidden="false" customHeight="true" outlineLevel="0" collapsed="false">
      <c r="A350" s="33" t="n">
        <v>46327</v>
      </c>
      <c r="B350" s="34" t="n">
        <f aca="false">SUMIFS(Report!$U:$U,Report!$T:$T,"&lt;&gt;"&amp;"MERCADORIAS P/REVENDA",Report!$AA:$AA,"SIM",Report!$C:$C,A350)</f>
        <v>0</v>
      </c>
      <c r="C350" s="34" t="n">
        <f aca="false">SUMIFS(Report!$U:$U,Report!$T:$T,"MERCADORIAS P/REVENDA",Report!$AA:$AA,"SIM",Report!$C:$C,A350)</f>
        <v>0</v>
      </c>
      <c r="D350" s="35"/>
      <c r="E350" s="35"/>
      <c r="F350" s="34" t="n">
        <f aca="false">B350+C350</f>
        <v>0</v>
      </c>
    </row>
    <row r="351" customFormat="false" ht="12.75" hidden="false" customHeight="true" outlineLevel="0" collapsed="false">
      <c r="A351" s="33" t="n">
        <v>46328</v>
      </c>
      <c r="B351" s="34" t="n">
        <f aca="false">SUMIFS(Report!$U:$U,Report!$T:$T,"&lt;&gt;"&amp;"MERCADORIAS P/REVENDA",Report!$AA:$AA,"SIM",Report!$C:$C,A351)</f>
        <v>0</v>
      </c>
      <c r="C351" s="34" t="n">
        <f aca="false">SUMIFS(Report!$U:$U,Report!$T:$T,"MERCADORIAS P/REVENDA",Report!$AA:$AA,"SIM",Report!$C:$C,A351)</f>
        <v>0</v>
      </c>
      <c r="D351" s="35"/>
      <c r="E351" s="35"/>
      <c r="F351" s="34" t="n">
        <f aca="false">B351+C351</f>
        <v>0</v>
      </c>
    </row>
    <row r="352" customFormat="false" ht="12.75" hidden="false" customHeight="true" outlineLevel="0" collapsed="false">
      <c r="A352" s="36" t="s">
        <v>1375</v>
      </c>
      <c r="B352" s="37" t="n">
        <f aca="false">SUM(B345:B351)</f>
        <v>0</v>
      </c>
      <c r="C352" s="37" t="n">
        <f aca="false">SUM(C345:C351)</f>
        <v>0</v>
      </c>
      <c r="D352" s="38"/>
      <c r="E352" s="38"/>
      <c r="F352" s="37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3" t="n">
        <v>46333</v>
      </c>
      <c r="B357" s="34" t="n">
        <f aca="false">SUMIFS(Report!$U:$U,Report!$T:$T,"&lt;&gt;"&amp;"MERCADORIAS P/REVENDA",Report!$AA:$AA,"SIM",Report!$C:$C,A357)</f>
        <v>0</v>
      </c>
      <c r="C357" s="34" t="n">
        <f aca="false">SUMIFS(Report!$U:$U,Report!$T:$T,"MERCADORIAS P/REVENDA",Report!$AA:$AA,"SIM",Report!$C:$C,A357)</f>
        <v>0</v>
      </c>
      <c r="D357" s="35"/>
      <c r="E357" s="35"/>
      <c r="F357" s="34" t="n">
        <f aca="false">B357+C357</f>
        <v>0</v>
      </c>
    </row>
    <row r="358" customFormat="false" ht="12.75" hidden="false" customHeight="true" outlineLevel="0" collapsed="false">
      <c r="A358" s="33" t="n">
        <v>46334</v>
      </c>
      <c r="B358" s="34" t="n">
        <f aca="false">SUMIFS(Report!$U:$U,Report!$T:$T,"&lt;&gt;"&amp;"MERCADORIAS P/REVENDA",Report!$AA:$AA,"SIM",Report!$C:$C,A358)</f>
        <v>0</v>
      </c>
      <c r="C358" s="34" t="n">
        <f aca="false">SUMIFS(Report!$U:$U,Report!$T:$T,"MERCADORIAS P/REVENDA",Report!$AA:$AA,"SIM",Report!$C:$C,A358)</f>
        <v>0</v>
      </c>
      <c r="D358" s="35"/>
      <c r="E358" s="35"/>
      <c r="F358" s="34" t="n">
        <f aca="false">B358+C358</f>
        <v>0</v>
      </c>
    </row>
    <row r="359" customFormat="false" ht="12.75" hidden="false" customHeight="true" outlineLevel="0" collapsed="false">
      <c r="A359" s="33" t="n">
        <v>46335</v>
      </c>
      <c r="B359" s="34" t="n">
        <f aca="false">SUMIFS(Report!$U:$U,Report!$T:$T,"&lt;&gt;"&amp;"MERCADORIAS P/REVENDA",Report!$AA:$AA,"SIM",Report!$C:$C,A359)</f>
        <v>0</v>
      </c>
      <c r="C359" s="34" t="n">
        <f aca="false">SUMIFS(Report!$U:$U,Report!$T:$T,"MERCADORIAS P/REVENDA",Report!$AA:$AA,"SIM",Report!$C:$C,A359)</f>
        <v>0</v>
      </c>
      <c r="D359" s="35"/>
      <c r="E359" s="35"/>
      <c r="F359" s="34" t="n">
        <f aca="false">B359+C359</f>
        <v>0</v>
      </c>
    </row>
    <row r="360" customFormat="false" ht="12.75" hidden="false" customHeight="true" outlineLevel="0" collapsed="false">
      <c r="A360" s="36" t="s">
        <v>1376</v>
      </c>
      <c r="B360" s="37" t="n">
        <f aca="false">SUM(B353:B359)</f>
        <v>0</v>
      </c>
      <c r="C360" s="37" t="n">
        <f aca="false">SUM(C353:C359)</f>
        <v>0</v>
      </c>
      <c r="D360" s="38"/>
      <c r="E360" s="38"/>
      <c r="F360" s="37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3" t="n">
        <v>46340</v>
      </c>
      <c r="B365" s="34" t="n">
        <f aca="false">SUMIFS(Report!$U:$U,Report!$T:$T,"&lt;&gt;"&amp;"MERCADORIAS P/REVENDA",Report!$AA:$AA,"SIM",Report!$C:$C,A365)</f>
        <v>0</v>
      </c>
      <c r="C365" s="34" t="n">
        <f aca="false">SUMIFS(Report!$U:$U,Report!$T:$T,"MERCADORIAS P/REVENDA",Report!$AA:$AA,"SIM",Report!$C:$C,A365)</f>
        <v>0</v>
      </c>
      <c r="D365" s="35"/>
      <c r="E365" s="35"/>
      <c r="F365" s="34" t="n">
        <f aca="false">B365+C365</f>
        <v>0</v>
      </c>
    </row>
    <row r="366" customFormat="false" ht="12.75" hidden="false" customHeight="true" outlineLevel="0" collapsed="false">
      <c r="A366" s="33" t="n">
        <v>46341</v>
      </c>
      <c r="B366" s="34" t="n">
        <f aca="false">SUMIFS(Report!$U:$U,Report!$T:$T,"&lt;&gt;"&amp;"MERCADORIAS P/REVENDA",Report!$AA:$AA,"SIM",Report!$C:$C,A366)</f>
        <v>0</v>
      </c>
      <c r="C366" s="34" t="n">
        <f aca="false">SUMIFS(Report!$U:$U,Report!$T:$T,"MERCADORIAS P/REVENDA",Report!$AA:$AA,"SIM",Report!$C:$C,A366)</f>
        <v>0</v>
      </c>
      <c r="D366" s="35"/>
      <c r="E366" s="35"/>
      <c r="F366" s="34" t="n">
        <f aca="false">B366+C366</f>
        <v>0</v>
      </c>
    </row>
    <row r="367" customFormat="false" ht="12.75" hidden="false" customHeight="true" outlineLevel="0" collapsed="false">
      <c r="A367" s="33" t="n">
        <v>46342</v>
      </c>
      <c r="B367" s="34" t="n">
        <f aca="false">SUMIFS(Report!$U:$U,Report!$T:$T,"&lt;&gt;"&amp;"MERCADORIAS P/REVENDA",Report!$AA:$AA,"SIM",Report!$C:$C,A367)</f>
        <v>0</v>
      </c>
      <c r="C367" s="34" t="n">
        <f aca="false">SUMIFS(Report!$U:$U,Report!$T:$T,"MERCADORIAS P/REVENDA",Report!$AA:$AA,"SIM",Report!$C:$C,A367)</f>
        <v>0</v>
      </c>
      <c r="D367" s="35"/>
      <c r="E367" s="35"/>
      <c r="F367" s="34" t="n">
        <f aca="false">B367+C367</f>
        <v>0</v>
      </c>
    </row>
    <row r="368" customFormat="false" ht="12.75" hidden="false" customHeight="true" outlineLevel="0" collapsed="false">
      <c r="A368" s="36" t="s">
        <v>1377</v>
      </c>
      <c r="B368" s="37" t="n">
        <f aca="false">SUM(B361:B367)</f>
        <v>0</v>
      </c>
      <c r="C368" s="37" t="n">
        <f aca="false">SUM(C361:C367)</f>
        <v>0</v>
      </c>
      <c r="D368" s="38"/>
      <c r="E368" s="38"/>
      <c r="F368" s="37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3" t="n">
        <v>46347</v>
      </c>
      <c r="B373" s="34" t="n">
        <f aca="false">SUMIFS(Report!$U:$U,Report!$T:$T,"&lt;&gt;"&amp;"MERCADORIAS P/REVENDA",Report!$AA:$AA,"SIM",Report!$C:$C,A373)</f>
        <v>0</v>
      </c>
      <c r="C373" s="34" t="n">
        <f aca="false">SUMIFS(Report!$U:$U,Report!$T:$T,"MERCADORIAS P/REVENDA",Report!$AA:$AA,"SIM",Report!$C:$C,A373)</f>
        <v>0</v>
      </c>
      <c r="D373" s="35"/>
      <c r="E373" s="35"/>
      <c r="F373" s="34" t="n">
        <f aca="false">B373+C373</f>
        <v>0</v>
      </c>
    </row>
    <row r="374" customFormat="false" ht="12.75" hidden="false" customHeight="true" outlineLevel="0" collapsed="false">
      <c r="A374" s="33" t="n">
        <v>46348</v>
      </c>
      <c r="B374" s="34" t="n">
        <f aca="false">SUMIFS(Report!$U:$U,Report!$T:$T,"&lt;&gt;"&amp;"MERCADORIAS P/REVENDA",Report!$AA:$AA,"SIM",Report!$C:$C,A374)</f>
        <v>0</v>
      </c>
      <c r="C374" s="34" t="n">
        <f aca="false">SUMIFS(Report!$U:$U,Report!$T:$T,"MERCADORIAS P/REVENDA",Report!$AA:$AA,"SIM",Report!$C:$C,A374)</f>
        <v>0</v>
      </c>
      <c r="D374" s="35"/>
      <c r="E374" s="35"/>
      <c r="F374" s="34" t="n">
        <f aca="false">B374+C374</f>
        <v>0</v>
      </c>
    </row>
    <row r="375" customFormat="false" ht="12.75" hidden="false" customHeight="true" outlineLevel="0" collapsed="false">
      <c r="A375" s="33" t="n">
        <v>46349</v>
      </c>
      <c r="B375" s="34" t="n">
        <f aca="false">SUMIFS(Report!$U:$U,Report!$T:$T,"&lt;&gt;"&amp;"MERCADORIAS P/REVENDA",Report!$AA:$AA,"SIM",Report!$C:$C,A375)</f>
        <v>0</v>
      </c>
      <c r="C375" s="34" t="n">
        <f aca="false">SUMIFS(Report!$U:$U,Report!$T:$T,"MERCADORIAS P/REVENDA",Report!$AA:$AA,"SIM",Report!$C:$C,A375)</f>
        <v>0</v>
      </c>
      <c r="D375" s="35"/>
      <c r="E375" s="35"/>
      <c r="F375" s="34" t="n">
        <f aca="false">B375+C375</f>
        <v>0</v>
      </c>
    </row>
    <row r="376" customFormat="false" ht="12.75" hidden="false" customHeight="true" outlineLevel="0" collapsed="false">
      <c r="A376" s="36" t="s">
        <v>1378</v>
      </c>
      <c r="B376" s="37" t="n">
        <f aca="false">SUM(B369:B375)</f>
        <v>0</v>
      </c>
      <c r="C376" s="37" t="n">
        <f aca="false">SUM(C369:C375)</f>
        <v>0</v>
      </c>
      <c r="D376" s="38"/>
      <c r="E376" s="38"/>
      <c r="F376" s="37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3" t="n">
        <v>46354</v>
      </c>
      <c r="B381" s="34" t="n">
        <f aca="false">SUMIFS(Report!$U:$U,Report!$T:$T,"&lt;&gt;"&amp;"MERCADORIAS P/REVENDA",Report!$AA:$AA,"SIM",Report!$C:$C,A381)</f>
        <v>0</v>
      </c>
      <c r="C381" s="34" t="n">
        <f aca="false">SUMIFS(Report!$U:$U,Report!$T:$T,"MERCADORIAS P/REVENDA",Report!$AA:$AA,"SIM",Report!$C:$C,A381)</f>
        <v>0</v>
      </c>
      <c r="D381" s="35"/>
      <c r="E381" s="35"/>
      <c r="F381" s="34" t="n">
        <f aca="false">B381+C381</f>
        <v>0</v>
      </c>
    </row>
    <row r="382" customFormat="false" ht="12.75" hidden="false" customHeight="true" outlineLevel="0" collapsed="false">
      <c r="A382" s="33" t="n">
        <v>46355</v>
      </c>
      <c r="B382" s="34" t="n">
        <f aca="false">SUMIFS(Report!$U:$U,Report!$T:$T,"&lt;&gt;"&amp;"MERCADORIAS P/REVENDA",Report!$AA:$AA,"SIM",Report!$C:$C,A382)</f>
        <v>0</v>
      </c>
      <c r="C382" s="34" t="n">
        <f aca="false">SUMIFS(Report!$U:$U,Report!$T:$T,"MERCADORIAS P/REVENDA",Report!$AA:$AA,"SIM",Report!$C:$C,A382)</f>
        <v>0</v>
      </c>
      <c r="D382" s="35"/>
      <c r="E382" s="35"/>
      <c r="F382" s="34" t="n">
        <f aca="false">B382+C382</f>
        <v>0</v>
      </c>
    </row>
    <row r="383" customFormat="false" ht="12.75" hidden="false" customHeight="true" outlineLevel="0" collapsed="false">
      <c r="A383" s="33" t="n">
        <v>46356</v>
      </c>
      <c r="B383" s="34" t="n">
        <f aca="false">SUMIFS(Report!$U:$U,Report!$T:$T,"&lt;&gt;"&amp;"MERCADORIAS P/REVENDA",Report!$AA:$AA,"SIM",Report!$C:$C,A383)</f>
        <v>0</v>
      </c>
      <c r="C383" s="34" t="n">
        <f aca="false">SUMIFS(Report!$U:$U,Report!$T:$T,"MERCADORIAS P/REVENDA",Report!$AA:$AA,"SIM",Report!$C:$C,A383)</f>
        <v>0</v>
      </c>
      <c r="D383" s="35"/>
      <c r="E383" s="35"/>
      <c r="F383" s="34" t="n">
        <f aca="false">B383+C383</f>
        <v>0</v>
      </c>
    </row>
    <row r="384" customFormat="false" ht="12.75" hidden="false" customHeight="true" outlineLevel="0" collapsed="false">
      <c r="A384" s="36" t="s">
        <v>1379</v>
      </c>
      <c r="B384" s="37" t="n">
        <f aca="false">SUM(B377:B383)</f>
        <v>0</v>
      </c>
      <c r="C384" s="37" t="n">
        <f aca="false">SUM(C377:C383)</f>
        <v>0</v>
      </c>
      <c r="D384" s="38"/>
      <c r="E384" s="38"/>
      <c r="F384" s="37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3" t="n">
        <v>46361</v>
      </c>
      <c r="B389" s="34" t="n">
        <f aca="false">SUMIFS(Report!$U:$U,Report!$T:$T,"&lt;&gt;"&amp;"MERCADORIAS P/REVENDA",Report!$AA:$AA,"SIM",Report!$C:$C,A389)</f>
        <v>0</v>
      </c>
      <c r="C389" s="34" t="n">
        <f aca="false">SUMIFS(Report!$U:$U,Report!$T:$T,"MERCADORIAS P/REVENDA",Report!$AA:$AA,"SIM",Report!$C:$C,A389)</f>
        <v>0</v>
      </c>
      <c r="D389" s="35"/>
      <c r="E389" s="35"/>
      <c r="F389" s="34" t="n">
        <f aca="false">B389+C389</f>
        <v>0</v>
      </c>
    </row>
    <row r="390" customFormat="false" ht="12.75" hidden="false" customHeight="true" outlineLevel="0" collapsed="false">
      <c r="A390" s="33" t="n">
        <v>46362</v>
      </c>
      <c r="B390" s="34" t="n">
        <f aca="false">SUMIFS(Report!$U:$U,Report!$T:$T,"&lt;&gt;"&amp;"MERCADORIAS P/REVENDA",Report!$AA:$AA,"SIM",Report!$C:$C,A390)</f>
        <v>0</v>
      </c>
      <c r="C390" s="34" t="n">
        <f aca="false">SUMIFS(Report!$U:$U,Report!$T:$T,"MERCADORIAS P/REVENDA",Report!$AA:$AA,"SIM",Report!$C:$C,A390)</f>
        <v>0</v>
      </c>
      <c r="D390" s="35"/>
      <c r="E390" s="35"/>
      <c r="F390" s="34" t="n">
        <f aca="false">B390+C390</f>
        <v>0</v>
      </c>
    </row>
    <row r="391" customFormat="false" ht="12.75" hidden="false" customHeight="true" outlineLevel="0" collapsed="false">
      <c r="A391" s="33" t="n">
        <v>46363</v>
      </c>
      <c r="B391" s="34" t="n">
        <f aca="false">SUMIFS(Report!$U:$U,Report!$T:$T,"&lt;&gt;"&amp;"MERCADORIAS P/REVENDA",Report!$AA:$AA,"SIM",Report!$C:$C,A391)</f>
        <v>0</v>
      </c>
      <c r="C391" s="34" t="n">
        <f aca="false">SUMIFS(Report!$U:$U,Report!$T:$T,"MERCADORIAS P/REVENDA",Report!$AA:$AA,"SIM",Report!$C:$C,A391)</f>
        <v>0</v>
      </c>
      <c r="D391" s="35"/>
      <c r="E391" s="35"/>
      <c r="F391" s="34" t="n">
        <f aca="false">B391+C391</f>
        <v>0</v>
      </c>
    </row>
    <row r="392" customFormat="false" ht="12.75" hidden="false" customHeight="true" outlineLevel="0" collapsed="false">
      <c r="A392" s="36" t="s">
        <v>1380</v>
      </c>
      <c r="B392" s="37" t="n">
        <f aca="false">SUM(B385:B391)</f>
        <v>0</v>
      </c>
      <c r="C392" s="37" t="n">
        <f aca="false">SUM(C385:C391)</f>
        <v>0</v>
      </c>
      <c r="D392" s="38"/>
      <c r="E392" s="38"/>
      <c r="F392" s="37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3" t="n">
        <v>46368</v>
      </c>
      <c r="B397" s="34" t="n">
        <f aca="false">SUMIFS(Report!$U:$U,Report!$T:$T,"&lt;&gt;"&amp;"MERCADORIAS P/REVENDA",Report!$AA:$AA,"SIM",Report!$C:$C,A397)</f>
        <v>0</v>
      </c>
      <c r="C397" s="34" t="n">
        <f aca="false">SUMIFS(Report!$U:$U,Report!$T:$T,"MERCADORIAS P/REVENDA",Report!$AA:$AA,"SIM",Report!$C:$C,A397)</f>
        <v>0</v>
      </c>
      <c r="D397" s="35"/>
      <c r="E397" s="35"/>
      <c r="F397" s="34" t="n">
        <f aca="false">B397+C397</f>
        <v>0</v>
      </c>
    </row>
    <row r="398" customFormat="false" ht="12.75" hidden="false" customHeight="true" outlineLevel="0" collapsed="false">
      <c r="A398" s="33" t="n">
        <v>46369</v>
      </c>
      <c r="B398" s="34" t="n">
        <f aca="false">SUMIFS(Report!$U:$U,Report!$T:$T,"&lt;&gt;"&amp;"MERCADORIAS P/REVENDA",Report!$AA:$AA,"SIM",Report!$C:$C,A398)</f>
        <v>0</v>
      </c>
      <c r="C398" s="34" t="n">
        <f aca="false">SUMIFS(Report!$U:$U,Report!$T:$T,"MERCADORIAS P/REVENDA",Report!$AA:$AA,"SIM",Report!$C:$C,A398)</f>
        <v>0</v>
      </c>
      <c r="D398" s="35"/>
      <c r="E398" s="35"/>
      <c r="F398" s="34" t="n">
        <f aca="false">B398+C398</f>
        <v>0</v>
      </c>
    </row>
    <row r="399" customFormat="false" ht="12.75" hidden="false" customHeight="true" outlineLevel="0" collapsed="false">
      <c r="A399" s="33" t="n">
        <v>46370</v>
      </c>
      <c r="B399" s="34" t="n">
        <f aca="false">SUMIFS(Report!$U:$U,Report!$T:$T,"&lt;&gt;"&amp;"MERCADORIAS P/REVENDA",Report!$AA:$AA,"SIM",Report!$C:$C,A399)</f>
        <v>0</v>
      </c>
      <c r="C399" s="34" t="n">
        <f aca="false">SUMIFS(Report!$U:$U,Report!$T:$T,"MERCADORIAS P/REVENDA",Report!$AA:$AA,"SIM",Report!$C:$C,A399)</f>
        <v>0</v>
      </c>
      <c r="D399" s="35"/>
      <c r="E399" s="35"/>
      <c r="F399" s="34" t="n">
        <f aca="false">B399+C399</f>
        <v>0</v>
      </c>
    </row>
    <row r="400" customFormat="false" ht="12.75" hidden="false" customHeight="true" outlineLevel="0" collapsed="false">
      <c r="A400" s="36" t="s">
        <v>1381</v>
      </c>
      <c r="B400" s="37" t="n">
        <f aca="false">SUM(B393:B399)</f>
        <v>0</v>
      </c>
      <c r="C400" s="37" t="n">
        <f aca="false">SUM(C393:C399)</f>
        <v>0</v>
      </c>
      <c r="D400" s="38"/>
      <c r="E400" s="38"/>
      <c r="F400" s="37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3" t="n">
        <v>46375</v>
      </c>
      <c r="B405" s="34" t="n">
        <f aca="false">SUMIFS(Report!$U:$U,Report!$T:$T,"&lt;&gt;"&amp;"MERCADORIAS P/REVENDA",Report!$AA:$AA,"SIM",Report!$C:$C,A405)</f>
        <v>0</v>
      </c>
      <c r="C405" s="34" t="n">
        <f aca="false">SUMIFS(Report!$U:$U,Report!$T:$T,"MERCADORIAS P/REVENDA",Report!$AA:$AA,"SIM",Report!$C:$C,A405)</f>
        <v>0</v>
      </c>
      <c r="D405" s="35"/>
      <c r="E405" s="35"/>
      <c r="F405" s="34" t="n">
        <f aca="false">B405+C405</f>
        <v>0</v>
      </c>
    </row>
    <row r="406" customFormat="false" ht="12.75" hidden="false" customHeight="true" outlineLevel="0" collapsed="false">
      <c r="A406" s="33" t="n">
        <v>46376</v>
      </c>
      <c r="B406" s="34" t="n">
        <f aca="false">SUMIFS(Report!$U:$U,Report!$T:$T,"&lt;&gt;"&amp;"MERCADORIAS P/REVENDA",Report!$AA:$AA,"SIM",Report!$C:$C,A406)</f>
        <v>0</v>
      </c>
      <c r="C406" s="34" t="n">
        <f aca="false">SUMIFS(Report!$U:$U,Report!$T:$T,"MERCADORIAS P/REVENDA",Report!$AA:$AA,"SIM",Report!$C:$C,A406)</f>
        <v>0</v>
      </c>
      <c r="D406" s="35"/>
      <c r="E406" s="35"/>
      <c r="F406" s="34" t="n">
        <f aca="false">B406+C406</f>
        <v>0</v>
      </c>
    </row>
    <row r="407" customFormat="false" ht="12.75" hidden="false" customHeight="true" outlineLevel="0" collapsed="false">
      <c r="A407" s="33" t="n">
        <v>46377</v>
      </c>
      <c r="B407" s="34" t="n">
        <f aca="false">SUMIFS(Report!$U:$U,Report!$T:$T,"&lt;&gt;"&amp;"MERCADORIAS P/REVENDA",Report!$AA:$AA,"SIM",Report!$C:$C,A407)</f>
        <v>0</v>
      </c>
      <c r="C407" s="34" t="n">
        <f aca="false">SUMIFS(Report!$U:$U,Report!$T:$T,"MERCADORIAS P/REVENDA",Report!$AA:$AA,"SIM",Report!$C:$C,A407)</f>
        <v>0</v>
      </c>
      <c r="D407" s="35"/>
      <c r="E407" s="35"/>
      <c r="F407" s="34" t="n">
        <f aca="false">B407+C407</f>
        <v>0</v>
      </c>
    </row>
    <row r="408" customFormat="false" ht="12.75" hidden="false" customHeight="true" outlineLevel="0" collapsed="false">
      <c r="A408" s="36" t="s">
        <v>1382</v>
      </c>
      <c r="B408" s="37" t="n">
        <f aca="false">SUM(B401:B407)</f>
        <v>0</v>
      </c>
      <c r="C408" s="37" t="n">
        <f aca="false">SUM(C401:C407)</f>
        <v>0</v>
      </c>
      <c r="D408" s="38"/>
      <c r="E408" s="38"/>
      <c r="F408" s="37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3" t="n">
        <v>46382</v>
      </c>
      <c r="B413" s="34" t="n">
        <f aca="false">SUMIFS(Report!$U:$U,Report!$T:$T,"&lt;&gt;"&amp;"MERCADORIAS P/REVENDA",Report!$AA:$AA,"SIM",Report!$C:$C,A413)</f>
        <v>0</v>
      </c>
      <c r="C413" s="34" t="n">
        <f aca="false">SUMIFS(Report!$U:$U,Report!$T:$T,"MERCADORIAS P/REVENDA",Report!$AA:$AA,"SIM",Report!$C:$C,A413)</f>
        <v>0</v>
      </c>
      <c r="D413" s="35"/>
      <c r="E413" s="35"/>
      <c r="F413" s="34" t="n">
        <f aca="false">B413+C413</f>
        <v>0</v>
      </c>
    </row>
    <row r="414" customFormat="false" ht="12.75" hidden="false" customHeight="true" outlineLevel="0" collapsed="false">
      <c r="A414" s="33" t="n">
        <v>46383</v>
      </c>
      <c r="B414" s="34" t="n">
        <f aca="false">SUMIFS(Report!$U:$U,Report!$T:$T,"&lt;&gt;"&amp;"MERCADORIAS P/REVENDA",Report!$AA:$AA,"SIM",Report!$C:$C,A414)</f>
        <v>0</v>
      </c>
      <c r="C414" s="34" t="n">
        <f aca="false">SUMIFS(Report!$U:$U,Report!$T:$T,"MERCADORIAS P/REVENDA",Report!$AA:$AA,"SIM",Report!$C:$C,A414)</f>
        <v>0</v>
      </c>
      <c r="D414" s="35"/>
      <c r="E414" s="35"/>
      <c r="F414" s="34" t="n">
        <f aca="false">B414+C414</f>
        <v>0</v>
      </c>
    </row>
    <row r="415" customFormat="false" ht="12.75" hidden="false" customHeight="true" outlineLevel="0" collapsed="false">
      <c r="A415" s="33" t="n">
        <v>46384</v>
      </c>
      <c r="B415" s="34" t="n">
        <f aca="false">SUMIFS(Report!$U:$U,Report!$T:$T,"&lt;&gt;"&amp;"MERCADORIAS P/REVENDA",Report!$AA:$AA,"SIM",Report!$C:$C,A415)</f>
        <v>0</v>
      </c>
      <c r="C415" s="34" t="n">
        <f aca="false">SUMIFS(Report!$U:$U,Report!$T:$T,"MERCADORIAS P/REVENDA",Report!$AA:$AA,"SIM",Report!$C:$C,A415)</f>
        <v>0</v>
      </c>
      <c r="D415" s="35"/>
      <c r="E415" s="35"/>
      <c r="F415" s="34" t="n">
        <f aca="false">B415+C415</f>
        <v>0</v>
      </c>
    </row>
    <row r="416" customFormat="false" ht="12.75" hidden="false" customHeight="true" outlineLevel="0" collapsed="false">
      <c r="A416" s="36" t="s">
        <v>1383</v>
      </c>
      <c r="B416" s="37" t="n">
        <f aca="false">SUM(B409:B415)</f>
        <v>0</v>
      </c>
      <c r="C416" s="37" t="n">
        <f aca="false">SUM(C409:C415)</f>
        <v>0</v>
      </c>
      <c r="D416" s="38"/>
      <c r="E416" s="38"/>
      <c r="F416" s="37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3" t="n">
        <v>46389</v>
      </c>
      <c r="B421" s="34" t="n">
        <f aca="false">SUMIFS(Report!$U:$U,Report!$T:$T,"&lt;&gt;"&amp;"MERCADORIAS P/REVENDA",Report!$AA:$AA,"SIM",Report!$C:$C,A421)</f>
        <v>0</v>
      </c>
      <c r="C421" s="34" t="n">
        <f aca="false">SUMIFS(Report!$U:$U,Report!$T:$T,"MERCADORIAS P/REVENDA",Report!$AA:$AA,"SIM",Report!$C:$C,A421)</f>
        <v>0</v>
      </c>
      <c r="D421" s="35"/>
      <c r="E421" s="35"/>
      <c r="F421" s="34" t="n">
        <f aca="false">B421+C421</f>
        <v>0</v>
      </c>
    </row>
    <row r="422" customFormat="false" ht="12.75" hidden="false" customHeight="true" outlineLevel="0" collapsed="false">
      <c r="A422" s="33" t="n">
        <v>46390</v>
      </c>
      <c r="B422" s="34" t="n">
        <f aca="false">SUMIFS(Report!$U:$U,Report!$T:$T,"&lt;&gt;"&amp;"MERCADORIAS P/REVENDA",Report!$AA:$AA,"SIM",Report!$C:$C,A422)</f>
        <v>0</v>
      </c>
      <c r="C422" s="34" t="n">
        <f aca="false">SUMIFS(Report!$U:$U,Report!$T:$T,"MERCADORIAS P/REVENDA",Report!$AA:$AA,"SIM",Report!$C:$C,A422)</f>
        <v>0</v>
      </c>
      <c r="D422" s="35"/>
      <c r="E422" s="35"/>
      <c r="F422" s="34" t="n">
        <f aca="false">B422+C422</f>
        <v>0</v>
      </c>
    </row>
    <row r="423" customFormat="false" ht="12.75" hidden="false" customHeight="true" outlineLevel="0" collapsed="false">
      <c r="A423" s="33" t="n">
        <v>46391</v>
      </c>
      <c r="B423" s="34" t="n">
        <f aca="false">SUMIFS(Report!$U:$U,Report!$T:$T,"&lt;&gt;"&amp;"MERCADORIAS P/REVENDA",Report!$AA:$AA,"SIM",Report!$C:$C,A423)</f>
        <v>0</v>
      </c>
      <c r="C423" s="34" t="n">
        <f aca="false">SUMIFS(Report!$U:$U,Report!$T:$T,"MERCADORIAS P/REVENDA",Report!$AA:$AA,"SIM",Report!$C:$C,A423)</f>
        <v>0</v>
      </c>
      <c r="D423" s="35"/>
      <c r="E423" s="35"/>
      <c r="F423" s="34" t="n">
        <f aca="false">B423+C423</f>
        <v>0</v>
      </c>
    </row>
    <row r="424" customFormat="false" ht="12.75" hidden="false" customHeight="true" outlineLevel="0" collapsed="false">
      <c r="A424" s="36" t="s">
        <v>1384</v>
      </c>
      <c r="B424" s="37" t="n">
        <f aca="false">SUM(B417:B423)</f>
        <v>0</v>
      </c>
      <c r="C424" s="37" t="n">
        <f aca="false">SUM(C417:C423)</f>
        <v>0</v>
      </c>
      <c r="D424" s="38"/>
      <c r="E424" s="38"/>
      <c r="F424" s="37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3" t="n">
        <v>46396</v>
      </c>
      <c r="B429" s="34" t="n">
        <f aca="false">SUMIFS(Report!$U:$U,Report!$T:$T,"&lt;&gt;"&amp;"MERCADORIAS P/REVENDA",Report!$AA:$AA,"SIM",Report!$C:$C,A429)</f>
        <v>0</v>
      </c>
      <c r="C429" s="34" t="n">
        <f aca="false">SUMIFS(Report!$U:$U,Report!$T:$T,"MERCADORIAS P/REVENDA",Report!$AA:$AA,"SIM",Report!$C:$C,A429)</f>
        <v>0</v>
      </c>
      <c r="D429" s="35"/>
      <c r="E429" s="35"/>
      <c r="F429" s="34" t="n">
        <f aca="false">B429+C429</f>
        <v>0</v>
      </c>
    </row>
    <row r="430" customFormat="false" ht="12.75" hidden="false" customHeight="true" outlineLevel="0" collapsed="false">
      <c r="A430" s="33" t="n">
        <v>46397</v>
      </c>
      <c r="B430" s="34" t="n">
        <f aca="false">SUMIFS(Report!$U:$U,Report!$T:$T,"&lt;&gt;"&amp;"MERCADORIAS P/REVENDA",Report!$AA:$AA,"SIM",Report!$C:$C,A430)</f>
        <v>0</v>
      </c>
      <c r="C430" s="34" t="n">
        <f aca="false">SUMIFS(Report!$U:$U,Report!$T:$T,"MERCADORIAS P/REVENDA",Report!$AA:$AA,"SIM",Report!$C:$C,A430)</f>
        <v>0</v>
      </c>
      <c r="D430" s="35"/>
      <c r="E430" s="35"/>
      <c r="F430" s="34" t="n">
        <f aca="false">B430+C430</f>
        <v>0</v>
      </c>
    </row>
    <row r="431" customFormat="false" ht="12.75" hidden="false" customHeight="true" outlineLevel="0" collapsed="false">
      <c r="A431" s="33" t="n">
        <v>46398</v>
      </c>
      <c r="B431" s="34" t="n">
        <f aca="false">SUMIFS(Report!$U:$U,Report!$T:$T,"&lt;&gt;"&amp;"MERCADORIAS P/REVENDA",Report!$AA:$AA,"SIM",Report!$C:$C,A431)</f>
        <v>0</v>
      </c>
      <c r="C431" s="34" t="n">
        <f aca="false">SUMIFS(Report!$U:$U,Report!$T:$T,"MERCADORIAS P/REVENDA",Report!$AA:$AA,"SIM",Report!$C:$C,A431)</f>
        <v>0</v>
      </c>
      <c r="D431" s="35"/>
      <c r="E431" s="35"/>
      <c r="F431" s="34" t="n">
        <f aca="false">B431+C431</f>
        <v>0</v>
      </c>
    </row>
    <row r="432" customFormat="false" ht="12.75" hidden="false" customHeight="true" outlineLevel="0" collapsed="false">
      <c r="A432" s="36" t="s">
        <v>1385</v>
      </c>
      <c r="B432" s="37" t="n">
        <f aca="false">SUM(B425:B431)</f>
        <v>0</v>
      </c>
      <c r="C432" s="37" t="n">
        <f aca="false">SUM(C425:C431)</f>
        <v>0</v>
      </c>
      <c r="D432" s="38"/>
      <c r="E432" s="38"/>
      <c r="F432" s="37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3" t="n">
        <v>46403</v>
      </c>
      <c r="B437" s="34" t="n">
        <f aca="false">SUMIFS(Report!$U:$U,Report!$T:$T,"&lt;&gt;"&amp;"MERCADORIAS P/REVENDA",Report!$AA:$AA,"SIM",Report!$C:$C,A437)</f>
        <v>0</v>
      </c>
      <c r="C437" s="34" t="n">
        <f aca="false">SUMIFS(Report!$U:$U,Report!$T:$T,"MERCADORIAS P/REVENDA",Report!$AA:$AA,"SIM",Report!$C:$C,A437)</f>
        <v>0</v>
      </c>
      <c r="D437" s="35"/>
      <c r="E437" s="35"/>
      <c r="F437" s="34" t="n">
        <f aca="false">B437+C437</f>
        <v>0</v>
      </c>
    </row>
    <row r="438" customFormat="false" ht="12.75" hidden="false" customHeight="true" outlineLevel="0" collapsed="false">
      <c r="A438" s="33" t="n">
        <v>46404</v>
      </c>
      <c r="B438" s="34" t="n">
        <f aca="false">SUMIFS(Report!$U:$U,Report!$T:$T,"&lt;&gt;"&amp;"MERCADORIAS P/REVENDA",Report!$AA:$AA,"SIM",Report!$C:$C,A438)</f>
        <v>0</v>
      </c>
      <c r="C438" s="34" t="n">
        <f aca="false">SUMIFS(Report!$U:$U,Report!$T:$T,"MERCADORIAS P/REVENDA",Report!$AA:$AA,"SIM",Report!$C:$C,A438)</f>
        <v>0</v>
      </c>
      <c r="D438" s="35"/>
      <c r="E438" s="35"/>
      <c r="F438" s="34" t="n">
        <f aca="false">B438+C438</f>
        <v>0</v>
      </c>
    </row>
    <row r="439" customFormat="false" ht="12.75" hidden="false" customHeight="true" outlineLevel="0" collapsed="false">
      <c r="A439" s="33" t="n">
        <v>46405</v>
      </c>
      <c r="B439" s="34" t="n">
        <f aca="false">SUMIFS(Report!$U:$U,Report!$T:$T,"&lt;&gt;"&amp;"MERCADORIAS P/REVENDA",Report!$AA:$AA,"SIM",Report!$C:$C,A439)</f>
        <v>0</v>
      </c>
      <c r="C439" s="34" t="n">
        <f aca="false">SUMIFS(Report!$U:$U,Report!$T:$T,"MERCADORIAS P/REVENDA",Report!$AA:$AA,"SIM",Report!$C:$C,A439)</f>
        <v>0</v>
      </c>
      <c r="D439" s="35"/>
      <c r="E439" s="35"/>
      <c r="F439" s="34" t="n">
        <f aca="false">B439+C439</f>
        <v>0</v>
      </c>
    </row>
    <row r="440" customFormat="false" ht="12.75" hidden="false" customHeight="true" outlineLevel="0" collapsed="false">
      <c r="A440" s="36" t="s">
        <v>1386</v>
      </c>
      <c r="B440" s="37" t="n">
        <f aca="false">SUM(B433:B439)</f>
        <v>0</v>
      </c>
      <c r="C440" s="37" t="n">
        <f aca="false">SUM(C433:C439)</f>
        <v>0</v>
      </c>
      <c r="D440" s="38"/>
      <c r="E440" s="38"/>
      <c r="F440" s="37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3" t="n">
        <v>46410</v>
      </c>
      <c r="B445" s="34" t="n">
        <f aca="false">SUMIFS(Report!$U:$U,Report!$T:$T,"&lt;&gt;"&amp;"MERCADORIAS P/REVENDA",Report!$AA:$AA,"SIM",Report!$C:$C,A445)</f>
        <v>0</v>
      </c>
      <c r="C445" s="34" t="n">
        <f aca="false">SUMIFS(Report!$U:$U,Report!$T:$T,"MERCADORIAS P/REVENDA",Report!$AA:$AA,"SIM",Report!$C:$C,A445)</f>
        <v>0</v>
      </c>
      <c r="D445" s="35"/>
      <c r="E445" s="35"/>
      <c r="F445" s="34" t="n">
        <f aca="false">B445+C445</f>
        <v>0</v>
      </c>
    </row>
    <row r="446" customFormat="false" ht="12.75" hidden="false" customHeight="true" outlineLevel="0" collapsed="false">
      <c r="A446" s="33" t="n">
        <v>46411</v>
      </c>
      <c r="B446" s="34" t="n">
        <f aca="false">SUMIFS(Report!$U:$U,Report!$T:$T,"&lt;&gt;"&amp;"MERCADORIAS P/REVENDA",Report!$AA:$AA,"SIM",Report!$C:$C,A446)</f>
        <v>0</v>
      </c>
      <c r="C446" s="34" t="n">
        <f aca="false">SUMIFS(Report!$U:$U,Report!$T:$T,"MERCADORIAS P/REVENDA",Report!$AA:$AA,"SIM",Report!$C:$C,A446)</f>
        <v>0</v>
      </c>
      <c r="D446" s="35"/>
      <c r="E446" s="35"/>
      <c r="F446" s="34" t="n">
        <f aca="false">B446+C446</f>
        <v>0</v>
      </c>
    </row>
    <row r="447" customFormat="false" ht="12.75" hidden="false" customHeight="true" outlineLevel="0" collapsed="false">
      <c r="A447" s="33" t="n">
        <v>46412</v>
      </c>
      <c r="B447" s="34" t="n">
        <f aca="false">SUMIFS(Report!$U:$U,Report!$T:$T,"&lt;&gt;"&amp;"MERCADORIAS P/REVENDA",Report!$AA:$AA,"SIM",Report!$C:$C,A447)</f>
        <v>0</v>
      </c>
      <c r="C447" s="34" t="n">
        <f aca="false">SUMIFS(Report!$U:$U,Report!$T:$T,"MERCADORIAS P/REVENDA",Report!$AA:$AA,"SIM",Report!$C:$C,A447)</f>
        <v>0</v>
      </c>
      <c r="D447" s="35"/>
      <c r="E447" s="35"/>
      <c r="F447" s="34" t="n">
        <f aca="false">B447+C447</f>
        <v>0</v>
      </c>
    </row>
    <row r="448" customFormat="false" ht="12.75" hidden="false" customHeight="true" outlineLevel="0" collapsed="false">
      <c r="A448" s="36" t="s">
        <v>1387</v>
      </c>
      <c r="B448" s="37" t="n">
        <f aca="false">SUM(B441:B447)</f>
        <v>0</v>
      </c>
      <c r="C448" s="37" t="n">
        <f aca="false">SUM(C441:C447)</f>
        <v>0</v>
      </c>
      <c r="D448" s="38"/>
      <c r="E448" s="38"/>
      <c r="F448" s="37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3" t="n">
        <v>46417</v>
      </c>
      <c r="B453" s="34" t="n">
        <f aca="false">SUMIFS(Report!$U:$U,Report!$T:$T,"&lt;&gt;"&amp;"MERCADORIAS P/REVENDA",Report!$AA:$AA,"SIM",Report!$C:$C,A453)</f>
        <v>0</v>
      </c>
      <c r="C453" s="34" t="n">
        <f aca="false">SUMIFS(Report!$U:$U,Report!$T:$T,"MERCADORIAS P/REVENDA",Report!$AA:$AA,"SIM",Report!$C:$C,A453)</f>
        <v>0</v>
      </c>
      <c r="D453" s="35"/>
      <c r="E453" s="35"/>
      <c r="F453" s="34" t="n">
        <f aca="false">B453+C453</f>
        <v>0</v>
      </c>
    </row>
    <row r="454" customFormat="false" ht="12.75" hidden="false" customHeight="true" outlineLevel="0" collapsed="false">
      <c r="A454" s="33" t="n">
        <v>46418</v>
      </c>
      <c r="B454" s="34" t="n">
        <f aca="false">SUMIFS(Report!$U:$U,Report!$T:$T,"&lt;&gt;"&amp;"MERCADORIAS P/REVENDA",Report!$AA:$AA,"SIM",Report!$C:$C,A454)</f>
        <v>0</v>
      </c>
      <c r="C454" s="34" t="n">
        <f aca="false">SUMIFS(Report!$U:$U,Report!$T:$T,"MERCADORIAS P/REVENDA",Report!$AA:$AA,"SIM",Report!$C:$C,A454)</f>
        <v>0</v>
      </c>
      <c r="D454" s="35"/>
      <c r="E454" s="35"/>
      <c r="F454" s="34" t="n">
        <f aca="false">B454+C454</f>
        <v>0</v>
      </c>
    </row>
    <row r="455" customFormat="false" ht="12.75" hidden="false" customHeight="true" outlineLevel="0" collapsed="false">
      <c r="A455" s="33" t="n">
        <v>46419</v>
      </c>
      <c r="B455" s="34" t="n">
        <f aca="false">SUMIFS(Report!$U:$U,Report!$T:$T,"&lt;&gt;"&amp;"MERCADORIAS P/REVENDA",Report!$AA:$AA,"SIM",Report!$C:$C,A455)</f>
        <v>0</v>
      </c>
      <c r="C455" s="34" t="n">
        <f aca="false">SUMIFS(Report!$U:$U,Report!$T:$T,"MERCADORIAS P/REVENDA",Report!$AA:$AA,"SIM",Report!$C:$C,A455)</f>
        <v>0</v>
      </c>
      <c r="D455" s="35"/>
      <c r="E455" s="35"/>
      <c r="F455" s="34" t="n">
        <f aca="false">B455+C455</f>
        <v>0</v>
      </c>
    </row>
    <row r="456" customFormat="false" ht="12.75" hidden="false" customHeight="true" outlineLevel="0" collapsed="false">
      <c r="A456" s="36" t="s">
        <v>1388</v>
      </c>
      <c r="B456" s="37" t="n">
        <f aca="false">SUM(B449:B455)</f>
        <v>0</v>
      </c>
      <c r="C456" s="37" t="n">
        <f aca="false">SUM(C449:C455)</f>
        <v>0</v>
      </c>
      <c r="D456" s="38"/>
      <c r="E456" s="38"/>
      <c r="F456" s="37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3" t="n">
        <v>46424</v>
      </c>
      <c r="B461" s="34" t="n">
        <f aca="false">SUMIFS(Report!$U:$U,Report!$T:$T,"&lt;&gt;"&amp;"MERCADORIAS P/REVENDA",Report!$AA:$AA,"SIM",Report!$C:$C,A461)</f>
        <v>0</v>
      </c>
      <c r="C461" s="34" t="n">
        <f aca="false">SUMIFS(Report!$U:$U,Report!$T:$T,"MERCADORIAS P/REVENDA",Report!$AA:$AA,"SIM",Report!$C:$C,A461)</f>
        <v>0</v>
      </c>
      <c r="D461" s="35"/>
      <c r="E461" s="35"/>
      <c r="F461" s="34" t="n">
        <f aca="false">B461+C461</f>
        <v>0</v>
      </c>
    </row>
    <row r="462" customFormat="false" ht="12.75" hidden="false" customHeight="true" outlineLevel="0" collapsed="false">
      <c r="A462" s="33" t="n">
        <v>46425</v>
      </c>
      <c r="B462" s="34" t="n">
        <f aca="false">SUMIFS(Report!$U:$U,Report!$T:$T,"&lt;&gt;"&amp;"MERCADORIAS P/REVENDA",Report!$AA:$AA,"SIM",Report!$C:$C,A462)</f>
        <v>0</v>
      </c>
      <c r="C462" s="34" t="n">
        <f aca="false">SUMIFS(Report!$U:$U,Report!$T:$T,"MERCADORIAS P/REVENDA",Report!$AA:$AA,"SIM",Report!$C:$C,A462)</f>
        <v>0</v>
      </c>
      <c r="D462" s="35"/>
      <c r="E462" s="35"/>
      <c r="F462" s="34" t="n">
        <f aca="false">B462+C462</f>
        <v>0</v>
      </c>
    </row>
    <row r="463" customFormat="false" ht="12.75" hidden="false" customHeight="true" outlineLevel="0" collapsed="false">
      <c r="A463" s="33" t="n">
        <v>46426</v>
      </c>
      <c r="B463" s="34" t="n">
        <f aca="false">SUMIFS(Report!$U:$U,Report!$T:$T,"&lt;&gt;"&amp;"MERCADORIAS P/REVENDA",Report!$AA:$AA,"SIM",Report!$C:$C,A463)</f>
        <v>0</v>
      </c>
      <c r="C463" s="34" t="n">
        <f aca="false">SUMIFS(Report!$U:$U,Report!$T:$T,"MERCADORIAS P/REVENDA",Report!$AA:$AA,"SIM",Report!$C:$C,A463)</f>
        <v>0</v>
      </c>
      <c r="D463" s="35"/>
      <c r="E463" s="35"/>
      <c r="F463" s="34" t="n">
        <f aca="false">B463+C463</f>
        <v>0</v>
      </c>
    </row>
    <row r="464" customFormat="false" ht="12.75" hidden="false" customHeight="true" outlineLevel="0" collapsed="false">
      <c r="A464" s="36" t="s">
        <v>1389</v>
      </c>
      <c r="B464" s="37" t="n">
        <f aca="false">SUM(B457:B463)</f>
        <v>0</v>
      </c>
      <c r="C464" s="37" t="n">
        <f aca="false">SUM(C457:C463)</f>
        <v>0</v>
      </c>
      <c r="D464" s="38"/>
      <c r="E464" s="38"/>
      <c r="F464" s="37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3" t="n">
        <v>46431</v>
      </c>
      <c r="B469" s="34" t="n">
        <f aca="false">SUMIFS(Report!$U:$U,Report!$T:$T,"&lt;&gt;"&amp;"MERCADORIAS P/REVENDA",Report!$AA:$AA,"SIM",Report!$C:$C,A469)</f>
        <v>0</v>
      </c>
      <c r="C469" s="34" t="n">
        <f aca="false">SUMIFS(Report!$U:$U,Report!$T:$T,"MERCADORIAS P/REVENDA",Report!$AA:$AA,"SIM",Report!$C:$C,A469)</f>
        <v>0</v>
      </c>
      <c r="D469" s="35"/>
      <c r="E469" s="35"/>
      <c r="F469" s="34" t="n">
        <f aca="false">B469+C469</f>
        <v>0</v>
      </c>
    </row>
    <row r="470" customFormat="false" ht="12.75" hidden="false" customHeight="true" outlineLevel="0" collapsed="false">
      <c r="A470" s="33" t="n">
        <v>46432</v>
      </c>
      <c r="B470" s="34" t="n">
        <f aca="false">SUMIFS(Report!$U:$U,Report!$T:$T,"&lt;&gt;"&amp;"MERCADORIAS P/REVENDA",Report!$AA:$AA,"SIM",Report!$C:$C,A470)</f>
        <v>0</v>
      </c>
      <c r="C470" s="34" t="n">
        <f aca="false">SUMIFS(Report!$U:$U,Report!$T:$T,"MERCADORIAS P/REVENDA",Report!$AA:$AA,"SIM",Report!$C:$C,A470)</f>
        <v>0</v>
      </c>
      <c r="D470" s="35"/>
      <c r="E470" s="35"/>
      <c r="F470" s="34" t="n">
        <f aca="false">B470+C470</f>
        <v>0</v>
      </c>
    </row>
    <row r="471" customFormat="false" ht="12.75" hidden="false" customHeight="true" outlineLevel="0" collapsed="false">
      <c r="A471" s="33" t="n">
        <v>46433</v>
      </c>
      <c r="B471" s="34" t="n">
        <f aca="false">SUMIFS(Report!$U:$U,Report!$T:$T,"&lt;&gt;"&amp;"MERCADORIAS P/REVENDA",Report!$AA:$AA,"SIM",Report!$C:$C,A471)</f>
        <v>0</v>
      </c>
      <c r="C471" s="34" t="n">
        <f aca="false">SUMIFS(Report!$U:$U,Report!$T:$T,"MERCADORIAS P/REVENDA",Report!$AA:$AA,"SIM",Report!$C:$C,A471)</f>
        <v>0</v>
      </c>
      <c r="D471" s="35"/>
      <c r="E471" s="35"/>
      <c r="F471" s="34" t="n">
        <f aca="false">B471+C471</f>
        <v>0</v>
      </c>
    </row>
    <row r="472" customFormat="false" ht="12.75" hidden="false" customHeight="true" outlineLevel="0" collapsed="false">
      <c r="A472" s="36" t="s">
        <v>1390</v>
      </c>
      <c r="B472" s="37" t="n">
        <f aca="false">SUM(B465:B471)</f>
        <v>0</v>
      </c>
      <c r="C472" s="37" t="n">
        <f aca="false">SUM(C465:C471)</f>
        <v>0</v>
      </c>
      <c r="D472" s="38"/>
      <c r="E472" s="38"/>
      <c r="F472" s="37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3" t="n">
        <v>46438</v>
      </c>
      <c r="B477" s="34" t="n">
        <f aca="false">SUMIFS(Report!$U:$U,Report!$T:$T,"&lt;&gt;"&amp;"MERCADORIAS P/REVENDA",Report!$AA:$AA,"SIM",Report!$C:$C,A477)</f>
        <v>0</v>
      </c>
      <c r="C477" s="34" t="n">
        <f aca="false">SUMIFS(Report!$U:$U,Report!$T:$T,"MERCADORIAS P/REVENDA",Report!$AA:$AA,"SIM",Report!$C:$C,A477)</f>
        <v>0</v>
      </c>
      <c r="D477" s="35"/>
      <c r="E477" s="35"/>
      <c r="F477" s="34" t="n">
        <f aca="false">B477+C477</f>
        <v>0</v>
      </c>
    </row>
    <row r="478" customFormat="false" ht="12.75" hidden="false" customHeight="true" outlineLevel="0" collapsed="false">
      <c r="A478" s="33" t="n">
        <v>46439</v>
      </c>
      <c r="B478" s="34" t="n">
        <f aca="false">SUMIFS(Report!$U:$U,Report!$T:$T,"&lt;&gt;"&amp;"MERCADORIAS P/REVENDA",Report!$AA:$AA,"SIM",Report!$C:$C,A478)</f>
        <v>0</v>
      </c>
      <c r="C478" s="34" t="n">
        <f aca="false">SUMIFS(Report!$U:$U,Report!$T:$T,"MERCADORIAS P/REVENDA",Report!$AA:$AA,"SIM",Report!$C:$C,A478)</f>
        <v>0</v>
      </c>
      <c r="D478" s="35"/>
      <c r="E478" s="35"/>
      <c r="F478" s="34" t="n">
        <f aca="false">B478+C478</f>
        <v>0</v>
      </c>
    </row>
    <row r="479" customFormat="false" ht="12.75" hidden="false" customHeight="true" outlineLevel="0" collapsed="false">
      <c r="A479" s="33" t="n">
        <v>46440</v>
      </c>
      <c r="B479" s="34" t="n">
        <f aca="false">SUMIFS(Report!$U:$U,Report!$T:$T,"&lt;&gt;"&amp;"MERCADORIAS P/REVENDA",Report!$AA:$AA,"SIM",Report!$C:$C,A479)</f>
        <v>0</v>
      </c>
      <c r="C479" s="34" t="n">
        <f aca="false">SUMIFS(Report!$U:$U,Report!$T:$T,"MERCADORIAS P/REVENDA",Report!$AA:$AA,"SIM",Report!$C:$C,A479)</f>
        <v>0</v>
      </c>
      <c r="D479" s="35"/>
      <c r="E479" s="35"/>
      <c r="F479" s="34" t="n">
        <f aca="false">B479+C479</f>
        <v>0</v>
      </c>
    </row>
    <row r="480" customFormat="false" ht="12.75" hidden="false" customHeight="true" outlineLevel="0" collapsed="false">
      <c r="A480" s="36" t="s">
        <v>1391</v>
      </c>
      <c r="B480" s="37" t="n">
        <f aca="false">SUM(B473:B479)</f>
        <v>0</v>
      </c>
      <c r="C480" s="37" t="n">
        <f aca="false">SUM(C473:C479)</f>
        <v>0</v>
      </c>
      <c r="D480" s="38"/>
      <c r="E480" s="38"/>
      <c r="F480" s="37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3" t="n">
        <v>46445</v>
      </c>
      <c r="B485" s="34" t="n">
        <f aca="false">SUMIFS(Report!$U:$U,Report!$T:$T,"&lt;&gt;"&amp;"MERCADORIAS P/REVENDA",Report!$AA:$AA,"SIM",Report!$C:$C,A485)</f>
        <v>0</v>
      </c>
      <c r="C485" s="34" t="n">
        <f aca="false">SUMIFS(Report!$U:$U,Report!$T:$T,"MERCADORIAS P/REVENDA",Report!$AA:$AA,"SIM",Report!$C:$C,A485)</f>
        <v>0</v>
      </c>
      <c r="D485" s="35"/>
      <c r="E485" s="35"/>
      <c r="F485" s="34" t="n">
        <f aca="false">B485+C485</f>
        <v>0</v>
      </c>
    </row>
    <row r="486" customFormat="false" ht="12.75" hidden="false" customHeight="true" outlineLevel="0" collapsed="false">
      <c r="A486" s="33" t="n">
        <v>46446</v>
      </c>
      <c r="B486" s="34" t="n">
        <f aca="false">SUMIFS(Report!$U:$U,Report!$T:$T,"&lt;&gt;"&amp;"MERCADORIAS P/REVENDA",Report!$AA:$AA,"SIM",Report!$C:$C,A486)</f>
        <v>0</v>
      </c>
      <c r="C486" s="34" t="n">
        <f aca="false">SUMIFS(Report!$U:$U,Report!$T:$T,"MERCADORIAS P/REVENDA",Report!$AA:$AA,"SIM",Report!$C:$C,A486)</f>
        <v>0</v>
      </c>
      <c r="D486" s="35"/>
      <c r="E486" s="35"/>
      <c r="F486" s="34" t="n">
        <f aca="false">B486+C486</f>
        <v>0</v>
      </c>
    </row>
    <row r="487" customFormat="false" ht="12.75" hidden="false" customHeight="true" outlineLevel="0" collapsed="false">
      <c r="A487" s="33" t="n">
        <v>46447</v>
      </c>
      <c r="B487" s="34" t="n">
        <f aca="false">SUMIFS(Report!$U:$U,Report!$T:$T,"&lt;&gt;"&amp;"MERCADORIAS P/REVENDA",Report!$AA:$AA,"SIM",Report!$C:$C,A487)</f>
        <v>0</v>
      </c>
      <c r="C487" s="34" t="n">
        <f aca="false">SUMIFS(Report!$U:$U,Report!$T:$T,"MERCADORIAS P/REVENDA",Report!$AA:$AA,"SIM",Report!$C:$C,A487)</f>
        <v>0</v>
      </c>
      <c r="D487" s="35"/>
      <c r="E487" s="35"/>
      <c r="F487" s="34" t="n">
        <f aca="false">B487+C487</f>
        <v>0</v>
      </c>
    </row>
    <row r="488" customFormat="false" ht="12.75" hidden="false" customHeight="true" outlineLevel="0" collapsed="false">
      <c r="A488" s="36" t="s">
        <v>1392</v>
      </c>
      <c r="B488" s="37" t="n">
        <f aca="false">SUM(B481:B487)</f>
        <v>0</v>
      </c>
      <c r="C488" s="37" t="n">
        <f aca="false">SUM(C481:C487)</f>
        <v>0</v>
      </c>
      <c r="D488" s="38"/>
      <c r="E488" s="38"/>
      <c r="F488" s="37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3" t="n">
        <v>46452</v>
      </c>
      <c r="B493" s="34" t="n">
        <f aca="false">SUMIFS(Report!$U:$U,Report!$T:$T,"&lt;&gt;"&amp;"MERCADORIAS P/REVENDA",Report!$AA:$AA,"SIM",Report!$C:$C,A493)</f>
        <v>0</v>
      </c>
      <c r="C493" s="34" t="n">
        <f aca="false">SUMIFS(Report!$U:$U,Report!$T:$T,"MERCADORIAS P/REVENDA",Report!$AA:$AA,"SIM",Report!$C:$C,A493)</f>
        <v>0</v>
      </c>
      <c r="D493" s="35"/>
      <c r="E493" s="35"/>
      <c r="F493" s="34" t="n">
        <f aca="false">B493+C493</f>
        <v>0</v>
      </c>
    </row>
    <row r="494" customFormat="false" ht="12.75" hidden="false" customHeight="true" outlineLevel="0" collapsed="false">
      <c r="A494" s="33" t="n">
        <v>46453</v>
      </c>
      <c r="B494" s="34" t="n">
        <f aca="false">SUMIFS(Report!$U:$U,Report!$T:$T,"&lt;&gt;"&amp;"MERCADORIAS P/REVENDA",Report!$AA:$AA,"SIM",Report!$C:$C,A494)</f>
        <v>0</v>
      </c>
      <c r="C494" s="34" t="n">
        <f aca="false">SUMIFS(Report!$U:$U,Report!$T:$T,"MERCADORIAS P/REVENDA",Report!$AA:$AA,"SIM",Report!$C:$C,A494)</f>
        <v>0</v>
      </c>
      <c r="D494" s="35"/>
      <c r="E494" s="35"/>
      <c r="F494" s="34" t="n">
        <f aca="false">B494+C494</f>
        <v>0</v>
      </c>
    </row>
    <row r="495" customFormat="false" ht="12.75" hidden="false" customHeight="true" outlineLevel="0" collapsed="false">
      <c r="A495" s="33" t="n">
        <v>46454</v>
      </c>
      <c r="B495" s="34" t="n">
        <f aca="false">SUMIFS(Report!$U:$U,Report!$T:$T,"&lt;&gt;"&amp;"MERCADORIAS P/REVENDA",Report!$AA:$AA,"SIM",Report!$C:$C,A495)</f>
        <v>0</v>
      </c>
      <c r="C495" s="34" t="n">
        <f aca="false">SUMIFS(Report!$U:$U,Report!$T:$T,"MERCADORIAS P/REVENDA",Report!$AA:$AA,"SIM",Report!$C:$C,A495)</f>
        <v>0</v>
      </c>
      <c r="D495" s="35"/>
      <c r="E495" s="35"/>
      <c r="F495" s="34" t="n">
        <f aca="false">B495+C495</f>
        <v>0</v>
      </c>
    </row>
    <row r="496" customFormat="false" ht="12.75" hidden="false" customHeight="true" outlineLevel="0" collapsed="false">
      <c r="A496" s="36" t="s">
        <v>1393</v>
      </c>
      <c r="B496" s="37" t="n">
        <f aca="false">SUM(B489:B495)</f>
        <v>0</v>
      </c>
      <c r="C496" s="37" t="n">
        <f aca="false">SUM(C489:C495)</f>
        <v>0</v>
      </c>
      <c r="D496" s="38"/>
      <c r="E496" s="38"/>
      <c r="F496" s="37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3" t="n">
        <v>46459</v>
      </c>
      <c r="B501" s="34" t="n">
        <f aca="false">SUMIFS(Report!$U:$U,Report!$T:$T,"&lt;&gt;"&amp;"MERCADORIAS P/REVENDA",Report!$AA:$AA,"SIM",Report!$C:$C,A501)</f>
        <v>0</v>
      </c>
      <c r="C501" s="34" t="n">
        <f aca="false">SUMIFS(Report!$U:$U,Report!$T:$T,"MERCADORIAS P/REVENDA",Report!$AA:$AA,"SIM",Report!$C:$C,A501)</f>
        <v>0</v>
      </c>
      <c r="D501" s="35"/>
      <c r="E501" s="35"/>
      <c r="F501" s="34" t="n">
        <f aca="false">B501+C501</f>
        <v>0</v>
      </c>
    </row>
    <row r="502" customFormat="false" ht="12.75" hidden="false" customHeight="true" outlineLevel="0" collapsed="false">
      <c r="A502" s="33" t="n">
        <v>46460</v>
      </c>
      <c r="B502" s="34" t="n">
        <f aca="false">SUMIFS(Report!$U:$U,Report!$T:$T,"&lt;&gt;"&amp;"MERCADORIAS P/REVENDA",Report!$AA:$AA,"SIM",Report!$C:$C,A502)</f>
        <v>0</v>
      </c>
      <c r="C502" s="34" t="n">
        <f aca="false">SUMIFS(Report!$U:$U,Report!$T:$T,"MERCADORIAS P/REVENDA",Report!$AA:$AA,"SIM",Report!$C:$C,A502)</f>
        <v>0</v>
      </c>
      <c r="D502" s="35"/>
      <c r="E502" s="35"/>
      <c r="F502" s="34" t="n">
        <f aca="false">B502+C502</f>
        <v>0</v>
      </c>
    </row>
    <row r="503" customFormat="false" ht="12.75" hidden="false" customHeight="true" outlineLevel="0" collapsed="false">
      <c r="A503" s="33" t="n">
        <v>46461</v>
      </c>
      <c r="B503" s="34" t="n">
        <f aca="false">SUMIFS(Report!$U:$U,Report!$T:$T,"&lt;&gt;"&amp;"MERCADORIAS P/REVENDA",Report!$AA:$AA,"SIM",Report!$C:$C,A503)</f>
        <v>0</v>
      </c>
      <c r="C503" s="34" t="n">
        <f aca="false">SUMIFS(Report!$U:$U,Report!$T:$T,"MERCADORIAS P/REVENDA",Report!$AA:$AA,"SIM",Report!$C:$C,A503)</f>
        <v>0</v>
      </c>
      <c r="D503" s="35"/>
      <c r="E503" s="35"/>
      <c r="F503" s="34" t="n">
        <f aca="false">B503+C503</f>
        <v>0</v>
      </c>
    </row>
    <row r="504" customFormat="false" ht="12.75" hidden="false" customHeight="true" outlineLevel="0" collapsed="false">
      <c r="A504" s="36" t="s">
        <v>1394</v>
      </c>
      <c r="B504" s="37" t="n">
        <f aca="false">SUM(B497:B503)</f>
        <v>0</v>
      </c>
      <c r="C504" s="37" t="n">
        <f aca="false">SUM(C497:C503)</f>
        <v>0</v>
      </c>
      <c r="D504" s="38"/>
      <c r="E504" s="38"/>
      <c r="F504" s="37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3" t="n">
        <v>46466</v>
      </c>
      <c r="B509" s="34" t="n">
        <f aca="false">SUMIFS(Report!$U:$U,Report!$T:$T,"&lt;&gt;"&amp;"MERCADORIAS P/REVENDA",Report!$AA:$AA,"SIM",Report!$C:$C,A509)</f>
        <v>0</v>
      </c>
      <c r="C509" s="34" t="n">
        <f aca="false">SUMIFS(Report!$U:$U,Report!$T:$T,"MERCADORIAS P/REVENDA",Report!$AA:$AA,"SIM",Report!$C:$C,A509)</f>
        <v>0</v>
      </c>
      <c r="D509" s="35"/>
      <c r="E509" s="35"/>
      <c r="F509" s="34" t="n">
        <f aca="false">B509+C509</f>
        <v>0</v>
      </c>
    </row>
    <row r="510" customFormat="false" ht="12.75" hidden="false" customHeight="true" outlineLevel="0" collapsed="false">
      <c r="A510" s="33" t="n">
        <v>46467</v>
      </c>
      <c r="B510" s="34" t="n">
        <f aca="false">SUMIFS(Report!$U:$U,Report!$T:$T,"&lt;&gt;"&amp;"MERCADORIAS P/REVENDA",Report!$AA:$AA,"SIM",Report!$C:$C,A510)</f>
        <v>0</v>
      </c>
      <c r="C510" s="34" t="n">
        <f aca="false">SUMIFS(Report!$U:$U,Report!$T:$T,"MERCADORIAS P/REVENDA",Report!$AA:$AA,"SIM",Report!$C:$C,A510)</f>
        <v>0</v>
      </c>
      <c r="D510" s="35"/>
      <c r="E510" s="35"/>
      <c r="F510" s="34" t="n">
        <f aca="false">B510+C510</f>
        <v>0</v>
      </c>
    </row>
    <row r="511" customFormat="false" ht="12.75" hidden="false" customHeight="true" outlineLevel="0" collapsed="false">
      <c r="A511" s="33" t="n">
        <v>46468</v>
      </c>
      <c r="B511" s="34" t="n">
        <f aca="false">SUMIFS(Report!$U:$U,Report!$T:$T,"&lt;&gt;"&amp;"MERCADORIAS P/REVENDA",Report!$AA:$AA,"SIM",Report!$C:$C,A511)</f>
        <v>0</v>
      </c>
      <c r="C511" s="34" t="n">
        <f aca="false">SUMIFS(Report!$U:$U,Report!$T:$T,"MERCADORIAS P/REVENDA",Report!$AA:$AA,"SIM",Report!$C:$C,A511)</f>
        <v>0</v>
      </c>
      <c r="D511" s="35"/>
      <c r="E511" s="35"/>
      <c r="F511" s="34" t="n">
        <f aca="false">B511+C511</f>
        <v>0</v>
      </c>
    </row>
    <row r="512" customFormat="false" ht="12.75" hidden="false" customHeight="true" outlineLevel="0" collapsed="false">
      <c r="A512" s="36" t="s">
        <v>1395</v>
      </c>
      <c r="B512" s="37" t="n">
        <f aca="false">SUM(B505:B511)</f>
        <v>0</v>
      </c>
      <c r="C512" s="37" t="n">
        <f aca="false">SUM(C505:C511)</f>
        <v>0</v>
      </c>
      <c r="D512" s="38"/>
      <c r="E512" s="38"/>
      <c r="F512" s="37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3" t="n">
        <v>46473</v>
      </c>
      <c r="B517" s="34" t="n">
        <f aca="false">SUMIFS(Report!$U:$U,Report!$T:$T,"&lt;&gt;"&amp;"MERCADORIAS P/REVENDA",Report!$AA:$AA,"SIM",Report!$C:$C,A517)</f>
        <v>0</v>
      </c>
      <c r="C517" s="34" t="n">
        <f aca="false">SUMIFS(Report!$U:$U,Report!$T:$T,"MERCADORIAS P/REVENDA",Report!$AA:$AA,"SIM",Report!$C:$C,A517)</f>
        <v>0</v>
      </c>
      <c r="D517" s="35"/>
      <c r="E517" s="35"/>
      <c r="F517" s="34" t="n">
        <f aca="false">B517+C517</f>
        <v>0</v>
      </c>
    </row>
    <row r="518" customFormat="false" ht="12.75" hidden="false" customHeight="true" outlineLevel="0" collapsed="false">
      <c r="A518" s="33" t="n">
        <v>46474</v>
      </c>
      <c r="B518" s="34" t="n">
        <f aca="false">SUMIFS(Report!$U:$U,Report!$T:$T,"&lt;&gt;"&amp;"MERCADORIAS P/REVENDA",Report!$AA:$AA,"SIM",Report!$C:$C,A518)</f>
        <v>0</v>
      </c>
      <c r="C518" s="34" t="n">
        <f aca="false">SUMIFS(Report!$U:$U,Report!$T:$T,"MERCADORIAS P/REVENDA",Report!$AA:$AA,"SIM",Report!$C:$C,A518)</f>
        <v>0</v>
      </c>
      <c r="D518" s="35"/>
      <c r="E518" s="35"/>
      <c r="F518" s="34" t="n">
        <f aca="false">B518+C518</f>
        <v>0</v>
      </c>
    </row>
    <row r="519" customFormat="false" ht="12.75" hidden="false" customHeight="true" outlineLevel="0" collapsed="false">
      <c r="A519" s="33" t="n">
        <v>46475</v>
      </c>
      <c r="B519" s="34" t="n">
        <f aca="false">SUMIFS(Report!$U:$U,Report!$T:$T,"&lt;&gt;"&amp;"MERCADORIAS P/REVENDA",Report!$AA:$AA,"SIM",Report!$C:$C,A519)</f>
        <v>0</v>
      </c>
      <c r="C519" s="34" t="n">
        <f aca="false">SUMIFS(Report!$U:$U,Report!$T:$T,"MERCADORIAS P/REVENDA",Report!$AA:$AA,"SIM",Report!$C:$C,A519)</f>
        <v>0</v>
      </c>
      <c r="D519" s="35"/>
      <c r="E519" s="35"/>
      <c r="F519" s="34" t="n">
        <f aca="false">B519+C519</f>
        <v>0</v>
      </c>
    </row>
    <row r="520" customFormat="false" ht="12.75" hidden="false" customHeight="true" outlineLevel="0" collapsed="false">
      <c r="A520" s="36" t="s">
        <v>1396</v>
      </c>
      <c r="B520" s="37" t="n">
        <f aca="false">SUM(B513:B519)</f>
        <v>0</v>
      </c>
      <c r="C520" s="37" t="n">
        <f aca="false">SUM(C513:C519)</f>
        <v>0</v>
      </c>
      <c r="D520" s="38"/>
      <c r="E520" s="38"/>
      <c r="F520" s="37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3" t="n">
        <v>46480</v>
      </c>
      <c r="B525" s="34" t="n">
        <f aca="false">SUMIFS(Report!$U:$U,Report!$T:$T,"&lt;&gt;"&amp;"MERCADORIAS P/REVENDA",Report!$AA:$AA,"SIM",Report!$C:$C,A525)</f>
        <v>0</v>
      </c>
      <c r="C525" s="34" t="n">
        <f aca="false">SUMIFS(Report!$U:$U,Report!$T:$T,"MERCADORIAS P/REVENDA",Report!$AA:$AA,"SIM",Report!$C:$C,A525)</f>
        <v>0</v>
      </c>
      <c r="D525" s="35"/>
      <c r="E525" s="35"/>
      <c r="F525" s="34" t="n">
        <f aca="false">B525+C525</f>
        <v>0</v>
      </c>
    </row>
    <row r="526" customFormat="false" ht="12.75" hidden="false" customHeight="true" outlineLevel="0" collapsed="false">
      <c r="A526" s="33" t="n">
        <v>46481</v>
      </c>
      <c r="B526" s="34" t="n">
        <f aca="false">SUMIFS(Report!$U:$U,Report!$T:$T,"&lt;&gt;"&amp;"MERCADORIAS P/REVENDA",Report!$AA:$AA,"SIM",Report!$C:$C,A526)</f>
        <v>0</v>
      </c>
      <c r="C526" s="34" t="n">
        <f aca="false">SUMIFS(Report!$U:$U,Report!$T:$T,"MERCADORIAS P/REVENDA",Report!$AA:$AA,"SIM",Report!$C:$C,A526)</f>
        <v>0</v>
      </c>
      <c r="D526" s="35"/>
      <c r="E526" s="35"/>
      <c r="F526" s="34" t="n">
        <f aca="false">B526+C526</f>
        <v>0</v>
      </c>
    </row>
    <row r="527" customFormat="false" ht="12.75" hidden="false" customHeight="true" outlineLevel="0" collapsed="false">
      <c r="A527" s="33" t="n">
        <v>46482</v>
      </c>
      <c r="B527" s="34" t="n">
        <f aca="false">SUMIFS(Report!$U:$U,Report!$T:$T,"&lt;&gt;"&amp;"MERCADORIAS P/REVENDA",Report!$AA:$AA,"SIM",Report!$C:$C,A527)</f>
        <v>0</v>
      </c>
      <c r="C527" s="34" t="n">
        <f aca="false">SUMIFS(Report!$U:$U,Report!$T:$T,"MERCADORIAS P/REVENDA",Report!$AA:$AA,"SIM",Report!$C:$C,A527)</f>
        <v>0</v>
      </c>
      <c r="D527" s="35"/>
      <c r="E527" s="35"/>
      <c r="F527" s="34" t="n">
        <f aca="false">B527+C527</f>
        <v>0</v>
      </c>
    </row>
    <row r="528" customFormat="false" ht="12.75" hidden="false" customHeight="true" outlineLevel="0" collapsed="false">
      <c r="A528" s="36" t="s">
        <v>1397</v>
      </c>
      <c r="B528" s="37" t="n">
        <f aca="false">SUM(B521:B527)</f>
        <v>0</v>
      </c>
      <c r="C528" s="37" t="n">
        <f aca="false">SUM(C521:C527)</f>
        <v>0</v>
      </c>
      <c r="D528" s="38"/>
      <c r="E528" s="38"/>
      <c r="F528" s="37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3" t="n">
        <v>46487</v>
      </c>
      <c r="B533" s="34" t="n">
        <f aca="false">SUMIFS(Report!$U:$U,Report!$T:$T,"&lt;&gt;"&amp;"MERCADORIAS P/REVENDA",Report!$AA:$AA,"SIM",Report!$C:$C,A533)</f>
        <v>0</v>
      </c>
      <c r="C533" s="34" t="n">
        <f aca="false">SUMIFS(Report!$U:$U,Report!$T:$T,"MERCADORIAS P/REVENDA",Report!$AA:$AA,"SIM",Report!$C:$C,A533)</f>
        <v>0</v>
      </c>
      <c r="D533" s="35"/>
      <c r="E533" s="35"/>
      <c r="F533" s="34" t="n">
        <f aca="false">B533+C533</f>
        <v>0</v>
      </c>
    </row>
    <row r="534" customFormat="false" ht="12.75" hidden="false" customHeight="true" outlineLevel="0" collapsed="false">
      <c r="A534" s="33" t="n">
        <v>46488</v>
      </c>
      <c r="B534" s="34" t="n">
        <f aca="false">SUMIFS(Report!$U:$U,Report!$T:$T,"&lt;&gt;"&amp;"MERCADORIAS P/REVENDA",Report!$AA:$AA,"SIM",Report!$C:$C,A534)</f>
        <v>0</v>
      </c>
      <c r="C534" s="34" t="n">
        <f aca="false">SUMIFS(Report!$U:$U,Report!$T:$T,"MERCADORIAS P/REVENDA",Report!$AA:$AA,"SIM",Report!$C:$C,A534)</f>
        <v>0</v>
      </c>
      <c r="D534" s="35"/>
      <c r="E534" s="35"/>
      <c r="F534" s="34" t="n">
        <f aca="false">B534+C534</f>
        <v>0</v>
      </c>
    </row>
    <row r="535" customFormat="false" ht="12.75" hidden="false" customHeight="true" outlineLevel="0" collapsed="false">
      <c r="A535" s="33" t="n">
        <v>46489</v>
      </c>
      <c r="B535" s="34" t="n">
        <f aca="false">SUMIFS(Report!$U:$U,Report!$T:$T,"&lt;&gt;"&amp;"MERCADORIAS P/REVENDA",Report!$AA:$AA,"SIM",Report!$C:$C,A535)</f>
        <v>0</v>
      </c>
      <c r="C535" s="34" t="n">
        <f aca="false">SUMIFS(Report!$U:$U,Report!$T:$T,"MERCADORIAS P/REVENDA",Report!$AA:$AA,"SIM",Report!$C:$C,A535)</f>
        <v>0</v>
      </c>
      <c r="D535" s="35"/>
      <c r="E535" s="35"/>
      <c r="F535" s="34" t="n">
        <f aca="false">B535+C535</f>
        <v>0</v>
      </c>
    </row>
    <row r="536" customFormat="false" ht="12.75" hidden="false" customHeight="true" outlineLevel="0" collapsed="false">
      <c r="A536" s="36" t="s">
        <v>1398</v>
      </c>
      <c r="B536" s="37" t="n">
        <f aca="false">SUM(B529:B535)</f>
        <v>0</v>
      </c>
      <c r="C536" s="37" t="n">
        <f aca="false">SUM(C529:C535)</f>
        <v>0</v>
      </c>
      <c r="D536" s="38"/>
      <c r="E536" s="38"/>
      <c r="F536" s="37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3" t="n">
        <v>46494</v>
      </c>
      <c r="B541" s="34" t="n">
        <f aca="false">SUMIFS(Report!$U:$U,Report!$T:$T,"&lt;&gt;"&amp;"MERCADORIAS P/REVENDA",Report!$AA:$AA,"SIM",Report!$C:$C,A541)</f>
        <v>0</v>
      </c>
      <c r="C541" s="34" t="n">
        <f aca="false">SUMIFS(Report!$U:$U,Report!$T:$T,"MERCADORIAS P/REVENDA",Report!$AA:$AA,"SIM",Report!$C:$C,A541)</f>
        <v>0</v>
      </c>
      <c r="D541" s="35"/>
      <c r="E541" s="35"/>
      <c r="F541" s="34" t="n">
        <f aca="false">B541+C541</f>
        <v>0</v>
      </c>
    </row>
    <row r="542" customFormat="false" ht="12.75" hidden="false" customHeight="true" outlineLevel="0" collapsed="false">
      <c r="A542" s="33" t="n">
        <v>46495</v>
      </c>
      <c r="B542" s="34" t="n">
        <f aca="false">SUMIFS(Report!$U:$U,Report!$T:$T,"&lt;&gt;"&amp;"MERCADORIAS P/REVENDA",Report!$AA:$AA,"SIM",Report!$C:$C,A542)</f>
        <v>0</v>
      </c>
      <c r="C542" s="34" t="n">
        <f aca="false">SUMIFS(Report!$U:$U,Report!$T:$T,"MERCADORIAS P/REVENDA",Report!$AA:$AA,"SIM",Report!$C:$C,A542)</f>
        <v>0</v>
      </c>
      <c r="D542" s="35"/>
      <c r="E542" s="35"/>
      <c r="F542" s="34" t="n">
        <f aca="false">B542+C542</f>
        <v>0</v>
      </c>
    </row>
    <row r="543" customFormat="false" ht="12.75" hidden="false" customHeight="true" outlineLevel="0" collapsed="false">
      <c r="A543" s="33" t="n">
        <v>46496</v>
      </c>
      <c r="B543" s="34" t="n">
        <f aca="false">SUMIFS(Report!$U:$U,Report!$T:$T,"&lt;&gt;"&amp;"MERCADORIAS P/REVENDA",Report!$AA:$AA,"SIM",Report!$C:$C,A543)</f>
        <v>0</v>
      </c>
      <c r="C543" s="34" t="n">
        <f aca="false">SUMIFS(Report!$U:$U,Report!$T:$T,"MERCADORIAS P/REVENDA",Report!$AA:$AA,"SIM",Report!$C:$C,A543)</f>
        <v>0</v>
      </c>
      <c r="D543" s="35"/>
      <c r="E543" s="35"/>
      <c r="F543" s="34" t="n">
        <f aca="false">B543+C543</f>
        <v>0</v>
      </c>
    </row>
    <row r="544" customFormat="false" ht="12.75" hidden="false" customHeight="true" outlineLevel="0" collapsed="false">
      <c r="A544" s="36" t="s">
        <v>1399</v>
      </c>
      <c r="B544" s="37" t="n">
        <f aca="false">SUM(B537:B543)</f>
        <v>0</v>
      </c>
      <c r="C544" s="37" t="n">
        <f aca="false">SUM(C537:C543)</f>
        <v>0</v>
      </c>
      <c r="D544" s="38"/>
      <c r="E544" s="38"/>
      <c r="F544" s="37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3" t="n">
        <v>46501</v>
      </c>
      <c r="B549" s="34" t="n">
        <f aca="false">SUMIFS(Report!$U:$U,Report!$T:$T,"&lt;&gt;"&amp;"MERCADORIAS P/REVENDA",Report!$AA:$AA,"SIM",Report!$C:$C,A549)</f>
        <v>0</v>
      </c>
      <c r="C549" s="34" t="n">
        <f aca="false">SUMIFS(Report!$U:$U,Report!$T:$T,"MERCADORIAS P/REVENDA",Report!$AA:$AA,"SIM",Report!$C:$C,A549)</f>
        <v>0</v>
      </c>
      <c r="D549" s="35"/>
      <c r="E549" s="35"/>
      <c r="F549" s="34" t="n">
        <f aca="false">B549+C549</f>
        <v>0</v>
      </c>
    </row>
    <row r="550" customFormat="false" ht="12.75" hidden="false" customHeight="true" outlineLevel="0" collapsed="false">
      <c r="A550" s="33" t="n">
        <v>46502</v>
      </c>
      <c r="B550" s="34" t="n">
        <f aca="false">SUMIFS(Report!$U:$U,Report!$T:$T,"&lt;&gt;"&amp;"MERCADORIAS P/REVENDA",Report!$AA:$AA,"SIM",Report!$C:$C,A550)</f>
        <v>0</v>
      </c>
      <c r="C550" s="34" t="n">
        <f aca="false">SUMIFS(Report!$U:$U,Report!$T:$T,"MERCADORIAS P/REVENDA",Report!$AA:$AA,"SIM",Report!$C:$C,A550)</f>
        <v>0</v>
      </c>
      <c r="D550" s="35"/>
      <c r="E550" s="35"/>
      <c r="F550" s="34" t="n">
        <f aca="false">B550+C550</f>
        <v>0</v>
      </c>
    </row>
    <row r="551" customFormat="false" ht="12.75" hidden="false" customHeight="true" outlineLevel="0" collapsed="false">
      <c r="A551" s="33" t="n">
        <v>46503</v>
      </c>
      <c r="B551" s="34" t="n">
        <f aca="false">SUMIFS(Report!$U:$U,Report!$T:$T,"&lt;&gt;"&amp;"MERCADORIAS P/REVENDA",Report!$AA:$AA,"SIM",Report!$C:$C,A551)</f>
        <v>0</v>
      </c>
      <c r="C551" s="34" t="n">
        <f aca="false">SUMIFS(Report!$U:$U,Report!$T:$T,"MERCADORIAS P/REVENDA",Report!$AA:$AA,"SIM",Report!$C:$C,A551)</f>
        <v>0</v>
      </c>
      <c r="D551" s="35"/>
      <c r="E551" s="35"/>
      <c r="F551" s="34" t="n">
        <f aca="false">B551+C551</f>
        <v>0</v>
      </c>
    </row>
    <row r="552" customFormat="false" ht="12.75" hidden="false" customHeight="true" outlineLevel="0" collapsed="false">
      <c r="A552" s="36" t="s">
        <v>1400</v>
      </c>
      <c r="B552" s="37" t="n">
        <f aca="false">SUM(B545:B551)</f>
        <v>0</v>
      </c>
      <c r="C552" s="37" t="n">
        <f aca="false">SUM(C545:C551)</f>
        <v>0</v>
      </c>
      <c r="D552" s="38"/>
      <c r="E552" s="38"/>
      <c r="F552" s="37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3" t="n">
        <v>46508</v>
      </c>
      <c r="B557" s="34" t="n">
        <f aca="false">SUMIFS(Report!$U:$U,Report!$T:$T,"&lt;&gt;"&amp;"MERCADORIAS P/REVENDA",Report!$AA:$AA,"SIM",Report!$C:$C,A557)</f>
        <v>0</v>
      </c>
      <c r="C557" s="34" t="n">
        <f aca="false">SUMIFS(Report!$U:$U,Report!$T:$T,"MERCADORIAS P/REVENDA",Report!$AA:$AA,"SIM",Report!$C:$C,A557)</f>
        <v>0</v>
      </c>
      <c r="D557" s="35"/>
      <c r="E557" s="35"/>
      <c r="F557" s="34" t="n">
        <f aca="false">B557+C557</f>
        <v>0</v>
      </c>
    </row>
    <row r="558" customFormat="false" ht="12.75" hidden="false" customHeight="true" outlineLevel="0" collapsed="false">
      <c r="A558" s="33" t="n">
        <v>46509</v>
      </c>
      <c r="B558" s="34" t="n">
        <f aca="false">SUMIFS(Report!$U:$U,Report!$T:$T,"&lt;&gt;"&amp;"MERCADORIAS P/REVENDA",Report!$AA:$AA,"SIM",Report!$C:$C,A558)</f>
        <v>0</v>
      </c>
      <c r="C558" s="34" t="n">
        <f aca="false">SUMIFS(Report!$U:$U,Report!$T:$T,"MERCADORIAS P/REVENDA",Report!$AA:$AA,"SIM",Report!$C:$C,A558)</f>
        <v>0</v>
      </c>
      <c r="D558" s="35"/>
      <c r="E558" s="35"/>
      <c r="F558" s="34" t="n">
        <f aca="false">B558+C558</f>
        <v>0</v>
      </c>
    </row>
    <row r="559" customFormat="false" ht="12.75" hidden="false" customHeight="true" outlineLevel="0" collapsed="false">
      <c r="A559" s="33" t="n">
        <v>46510</v>
      </c>
      <c r="B559" s="34" t="n">
        <f aca="false">SUMIFS(Report!$U:$U,Report!$T:$T,"&lt;&gt;"&amp;"MERCADORIAS P/REVENDA",Report!$AA:$AA,"SIM",Report!$C:$C,A559)</f>
        <v>0</v>
      </c>
      <c r="C559" s="34" t="n">
        <f aca="false">SUMIFS(Report!$U:$U,Report!$T:$T,"MERCADORIAS P/REVENDA",Report!$AA:$AA,"SIM",Report!$C:$C,A559)</f>
        <v>0</v>
      </c>
      <c r="D559" s="35"/>
      <c r="E559" s="35"/>
      <c r="F559" s="34" t="n">
        <f aca="false">B559+C559</f>
        <v>0</v>
      </c>
    </row>
    <row r="560" customFormat="false" ht="12.75" hidden="false" customHeight="true" outlineLevel="0" collapsed="false">
      <c r="A560" s="36" t="s">
        <v>1401</v>
      </c>
      <c r="B560" s="37" t="n">
        <f aca="false">SUM(B553:B559)</f>
        <v>0</v>
      </c>
      <c r="C560" s="37" t="n">
        <f aca="false">SUM(C553:C559)</f>
        <v>0</v>
      </c>
      <c r="D560" s="38"/>
      <c r="E560" s="38"/>
      <c r="F560" s="37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3" t="n">
        <v>46515</v>
      </c>
      <c r="B565" s="34" t="n">
        <f aca="false">SUMIFS(Report!$U:$U,Report!$T:$T,"&lt;&gt;"&amp;"MERCADORIAS P/REVENDA",Report!$AA:$AA,"SIM",Report!$C:$C,A565)</f>
        <v>0</v>
      </c>
      <c r="C565" s="34" t="n">
        <f aca="false">SUMIFS(Report!$U:$U,Report!$T:$T,"MERCADORIAS P/REVENDA",Report!$AA:$AA,"SIM",Report!$C:$C,A565)</f>
        <v>0</v>
      </c>
      <c r="D565" s="35"/>
      <c r="E565" s="35"/>
      <c r="F565" s="34" t="n">
        <f aca="false">B565+C565</f>
        <v>0</v>
      </c>
    </row>
    <row r="566" customFormat="false" ht="12.75" hidden="false" customHeight="true" outlineLevel="0" collapsed="false">
      <c r="A566" s="33" t="n">
        <v>46516</v>
      </c>
      <c r="B566" s="34" t="n">
        <f aca="false">SUMIFS(Report!$U:$U,Report!$T:$T,"&lt;&gt;"&amp;"MERCADORIAS P/REVENDA",Report!$AA:$AA,"SIM",Report!$C:$C,A566)</f>
        <v>0</v>
      </c>
      <c r="C566" s="34" t="n">
        <f aca="false">SUMIFS(Report!$U:$U,Report!$T:$T,"MERCADORIAS P/REVENDA",Report!$AA:$AA,"SIM",Report!$C:$C,A566)</f>
        <v>0</v>
      </c>
      <c r="D566" s="35"/>
      <c r="E566" s="35"/>
      <c r="F566" s="34" t="n">
        <f aca="false">B566+C566</f>
        <v>0</v>
      </c>
    </row>
    <row r="567" customFormat="false" ht="12.75" hidden="false" customHeight="true" outlineLevel="0" collapsed="false">
      <c r="A567" s="33" t="n">
        <v>46517</v>
      </c>
      <c r="B567" s="34" t="n">
        <f aca="false">SUMIFS(Report!$U:$U,Report!$T:$T,"&lt;&gt;"&amp;"MERCADORIAS P/REVENDA",Report!$AA:$AA,"SIM",Report!$C:$C,A567)</f>
        <v>0</v>
      </c>
      <c r="C567" s="34" t="n">
        <f aca="false">SUMIFS(Report!$U:$U,Report!$T:$T,"MERCADORIAS P/REVENDA",Report!$AA:$AA,"SIM",Report!$C:$C,A567)</f>
        <v>0</v>
      </c>
      <c r="D567" s="35"/>
      <c r="E567" s="35"/>
      <c r="F567" s="34" t="n">
        <f aca="false">B567+C567</f>
        <v>0</v>
      </c>
    </row>
    <row r="568" customFormat="false" ht="12.75" hidden="false" customHeight="true" outlineLevel="0" collapsed="false">
      <c r="A568" s="36" t="s">
        <v>1402</v>
      </c>
      <c r="B568" s="37" t="n">
        <f aca="false">SUM(B561:B567)</f>
        <v>0</v>
      </c>
      <c r="C568" s="37" t="n">
        <f aca="false">SUM(C561:C567)</f>
        <v>0</v>
      </c>
      <c r="D568" s="38"/>
      <c r="E568" s="38"/>
      <c r="F568" s="37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3" t="n">
        <v>46522</v>
      </c>
      <c r="B573" s="34" t="n">
        <f aca="false">SUMIFS(Report!$U:$U,Report!$T:$T,"&lt;&gt;"&amp;"MERCADORIAS P/REVENDA",Report!$AA:$AA,"SIM",Report!$C:$C,A573)</f>
        <v>0</v>
      </c>
      <c r="C573" s="34" t="n">
        <f aca="false">SUMIFS(Report!$U:$U,Report!$T:$T,"MERCADORIAS P/REVENDA",Report!$AA:$AA,"SIM",Report!$C:$C,A573)</f>
        <v>0</v>
      </c>
      <c r="D573" s="35"/>
      <c r="E573" s="35"/>
      <c r="F573" s="34" t="n">
        <f aca="false">B573+C573</f>
        <v>0</v>
      </c>
    </row>
    <row r="574" customFormat="false" ht="12.75" hidden="false" customHeight="true" outlineLevel="0" collapsed="false">
      <c r="A574" s="33" t="n">
        <v>46523</v>
      </c>
      <c r="B574" s="34" t="n">
        <f aca="false">SUMIFS(Report!$U:$U,Report!$T:$T,"&lt;&gt;"&amp;"MERCADORIAS P/REVENDA",Report!$AA:$AA,"SIM",Report!$C:$C,A574)</f>
        <v>0</v>
      </c>
      <c r="C574" s="34" t="n">
        <f aca="false">SUMIFS(Report!$U:$U,Report!$T:$T,"MERCADORIAS P/REVENDA",Report!$AA:$AA,"SIM",Report!$C:$C,A574)</f>
        <v>0</v>
      </c>
      <c r="D574" s="35"/>
      <c r="E574" s="35"/>
      <c r="F574" s="34" t="n">
        <f aca="false">B574+C574</f>
        <v>0</v>
      </c>
    </row>
    <row r="575" customFormat="false" ht="12.75" hidden="false" customHeight="true" outlineLevel="0" collapsed="false">
      <c r="A575" s="33" t="n">
        <v>46524</v>
      </c>
      <c r="B575" s="34" t="n">
        <f aca="false">SUMIFS(Report!$U:$U,Report!$T:$T,"&lt;&gt;"&amp;"MERCADORIAS P/REVENDA",Report!$AA:$AA,"SIM",Report!$C:$C,A575)</f>
        <v>0</v>
      </c>
      <c r="C575" s="34" t="n">
        <f aca="false">SUMIFS(Report!$U:$U,Report!$T:$T,"MERCADORIAS P/REVENDA",Report!$AA:$AA,"SIM",Report!$C:$C,A575)</f>
        <v>0</v>
      </c>
      <c r="D575" s="35"/>
      <c r="E575" s="35"/>
      <c r="F575" s="34" t="n">
        <f aca="false">B575+C575</f>
        <v>0</v>
      </c>
    </row>
    <row r="576" customFormat="false" ht="12.75" hidden="false" customHeight="true" outlineLevel="0" collapsed="false">
      <c r="A576" s="36" t="s">
        <v>1403</v>
      </c>
      <c r="B576" s="37" t="n">
        <f aca="false">SUM(B569:B575)</f>
        <v>0</v>
      </c>
      <c r="C576" s="37" t="n">
        <f aca="false">SUM(C569:C575)</f>
        <v>0</v>
      </c>
      <c r="D576" s="38"/>
      <c r="E576" s="38"/>
      <c r="F576" s="37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3" t="n">
        <v>46529</v>
      </c>
      <c r="B581" s="34" t="n">
        <f aca="false">SUMIFS(Report!$U:$U,Report!$T:$T,"&lt;&gt;"&amp;"MERCADORIAS P/REVENDA",Report!$AA:$AA,"SIM",Report!$C:$C,A581)</f>
        <v>0</v>
      </c>
      <c r="C581" s="34" t="n">
        <f aca="false">SUMIFS(Report!$U:$U,Report!$T:$T,"MERCADORIAS P/REVENDA",Report!$AA:$AA,"SIM",Report!$C:$C,A581)</f>
        <v>0</v>
      </c>
      <c r="D581" s="35"/>
      <c r="E581" s="35"/>
      <c r="F581" s="34" t="n">
        <f aca="false">B581+C581</f>
        <v>0</v>
      </c>
    </row>
    <row r="582" customFormat="false" ht="12.75" hidden="false" customHeight="true" outlineLevel="0" collapsed="false">
      <c r="A582" s="33" t="n">
        <v>46530</v>
      </c>
      <c r="B582" s="34" t="n">
        <f aca="false">SUMIFS(Report!$U:$U,Report!$T:$T,"&lt;&gt;"&amp;"MERCADORIAS P/REVENDA",Report!$AA:$AA,"SIM",Report!$C:$C,A582)</f>
        <v>0</v>
      </c>
      <c r="C582" s="34" t="n">
        <f aca="false">SUMIFS(Report!$U:$U,Report!$T:$T,"MERCADORIAS P/REVENDA",Report!$AA:$AA,"SIM",Report!$C:$C,A582)</f>
        <v>0</v>
      </c>
      <c r="D582" s="35"/>
      <c r="E582" s="35"/>
      <c r="F582" s="34" t="n">
        <f aca="false">B582+C582</f>
        <v>0</v>
      </c>
    </row>
    <row r="583" customFormat="false" ht="12.75" hidden="false" customHeight="true" outlineLevel="0" collapsed="false">
      <c r="A583" s="33" t="n">
        <v>46531</v>
      </c>
      <c r="B583" s="34" t="n">
        <f aca="false">SUMIFS(Report!$U:$U,Report!$T:$T,"&lt;&gt;"&amp;"MERCADORIAS P/REVENDA",Report!$AA:$AA,"SIM",Report!$C:$C,A583)</f>
        <v>0</v>
      </c>
      <c r="C583" s="34" t="n">
        <f aca="false">SUMIFS(Report!$U:$U,Report!$T:$T,"MERCADORIAS P/REVENDA",Report!$AA:$AA,"SIM",Report!$C:$C,A583)</f>
        <v>0</v>
      </c>
      <c r="D583" s="35"/>
      <c r="E583" s="35"/>
      <c r="F583" s="34" t="n">
        <f aca="false">B583+C583</f>
        <v>0</v>
      </c>
    </row>
    <row r="584" customFormat="false" ht="12.75" hidden="false" customHeight="true" outlineLevel="0" collapsed="false">
      <c r="A584" s="36" t="s">
        <v>1404</v>
      </c>
      <c r="B584" s="37" t="n">
        <f aca="false">SUM(B577:B583)</f>
        <v>0</v>
      </c>
      <c r="C584" s="37" t="n">
        <f aca="false">SUM(C577:C583)</f>
        <v>0</v>
      </c>
      <c r="D584" s="38"/>
      <c r="E584" s="38"/>
      <c r="F584" s="37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3" t="n">
        <v>46536</v>
      </c>
      <c r="B589" s="34" t="n">
        <f aca="false">SUMIFS(Report!$U:$U,Report!$T:$T,"&lt;&gt;"&amp;"MERCADORIAS P/REVENDA",Report!$AA:$AA,"SIM",Report!$C:$C,A589)</f>
        <v>0</v>
      </c>
      <c r="C589" s="34" t="n">
        <f aca="false">SUMIFS(Report!$U:$U,Report!$T:$T,"MERCADORIAS P/REVENDA",Report!$AA:$AA,"SIM",Report!$C:$C,A589)</f>
        <v>0</v>
      </c>
      <c r="D589" s="35"/>
      <c r="E589" s="35"/>
      <c r="F589" s="34" t="n">
        <f aca="false">B589+C589</f>
        <v>0</v>
      </c>
    </row>
    <row r="590" customFormat="false" ht="12.75" hidden="false" customHeight="true" outlineLevel="0" collapsed="false">
      <c r="A590" s="33" t="n">
        <v>46537</v>
      </c>
      <c r="B590" s="34" t="n">
        <f aca="false">SUMIFS(Report!$U:$U,Report!$T:$T,"&lt;&gt;"&amp;"MERCADORIAS P/REVENDA",Report!$AA:$AA,"SIM",Report!$C:$C,A590)</f>
        <v>0</v>
      </c>
      <c r="C590" s="34" t="n">
        <f aca="false">SUMIFS(Report!$U:$U,Report!$T:$T,"MERCADORIAS P/REVENDA",Report!$AA:$AA,"SIM",Report!$C:$C,A590)</f>
        <v>0</v>
      </c>
      <c r="D590" s="35"/>
      <c r="E590" s="35"/>
      <c r="F590" s="34" t="n">
        <f aca="false">B590+C590</f>
        <v>0</v>
      </c>
    </row>
    <row r="591" customFormat="false" ht="12.75" hidden="false" customHeight="true" outlineLevel="0" collapsed="false">
      <c r="A591" s="33" t="n">
        <v>46538</v>
      </c>
      <c r="B591" s="34" t="n">
        <f aca="false">SUMIFS(Report!$U:$U,Report!$T:$T,"&lt;&gt;"&amp;"MERCADORIAS P/REVENDA",Report!$AA:$AA,"SIM",Report!$C:$C,A591)</f>
        <v>0</v>
      </c>
      <c r="C591" s="34" t="n">
        <f aca="false">SUMIFS(Report!$U:$U,Report!$T:$T,"MERCADORIAS P/REVENDA",Report!$AA:$AA,"SIM",Report!$C:$C,A591)</f>
        <v>0</v>
      </c>
      <c r="D591" s="35"/>
      <c r="E591" s="35"/>
      <c r="F591" s="34" t="n">
        <f aca="false">B591+C591</f>
        <v>0</v>
      </c>
    </row>
    <row r="592" customFormat="false" ht="12.75" hidden="false" customHeight="true" outlineLevel="0" collapsed="false">
      <c r="A592" s="36" t="s">
        <v>1405</v>
      </c>
      <c r="B592" s="37" t="n">
        <f aca="false">SUM(B585:B591)</f>
        <v>0</v>
      </c>
      <c r="C592" s="37" t="n">
        <f aca="false">SUM(C585:C591)</f>
        <v>0</v>
      </c>
      <c r="D592" s="38"/>
      <c r="E592" s="38"/>
      <c r="F592" s="37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3" t="n">
        <v>46543</v>
      </c>
      <c r="B597" s="34" t="n">
        <f aca="false">SUMIFS(Report!$U:$U,Report!$T:$T,"&lt;&gt;"&amp;"MERCADORIAS P/REVENDA",Report!$AA:$AA,"SIM",Report!$C:$C,A597)</f>
        <v>0</v>
      </c>
      <c r="C597" s="34" t="n">
        <f aca="false">SUMIFS(Report!$U:$U,Report!$T:$T,"MERCADORIAS P/REVENDA",Report!$AA:$AA,"SIM",Report!$C:$C,A597)</f>
        <v>0</v>
      </c>
      <c r="D597" s="35"/>
      <c r="E597" s="35"/>
      <c r="F597" s="34" t="n">
        <f aca="false">B597+C597</f>
        <v>0</v>
      </c>
    </row>
    <row r="598" customFormat="false" ht="12.75" hidden="false" customHeight="true" outlineLevel="0" collapsed="false">
      <c r="A598" s="33" t="n">
        <v>46544</v>
      </c>
      <c r="B598" s="34" t="n">
        <f aca="false">SUMIFS(Report!$U:$U,Report!$T:$T,"&lt;&gt;"&amp;"MERCADORIAS P/REVENDA",Report!$AA:$AA,"SIM",Report!$C:$C,A598)</f>
        <v>0</v>
      </c>
      <c r="C598" s="34" t="n">
        <f aca="false">SUMIFS(Report!$U:$U,Report!$T:$T,"MERCADORIAS P/REVENDA",Report!$AA:$AA,"SIM",Report!$C:$C,A598)</f>
        <v>0</v>
      </c>
      <c r="D598" s="35"/>
      <c r="E598" s="35"/>
      <c r="F598" s="34" t="n">
        <f aca="false">B598+C598</f>
        <v>0</v>
      </c>
    </row>
    <row r="599" customFormat="false" ht="12.75" hidden="false" customHeight="true" outlineLevel="0" collapsed="false">
      <c r="A599" s="33" t="n">
        <v>46545</v>
      </c>
      <c r="B599" s="34" t="n">
        <f aca="false">SUMIFS(Report!$U:$U,Report!$T:$T,"&lt;&gt;"&amp;"MERCADORIAS P/REVENDA",Report!$AA:$AA,"SIM",Report!$C:$C,A599)</f>
        <v>0</v>
      </c>
      <c r="C599" s="34" t="n">
        <f aca="false">SUMIFS(Report!$U:$U,Report!$T:$T,"MERCADORIAS P/REVENDA",Report!$AA:$AA,"SIM",Report!$C:$C,A599)</f>
        <v>0</v>
      </c>
      <c r="D599" s="35"/>
      <c r="E599" s="35"/>
      <c r="F599" s="34" t="n">
        <f aca="false">B599+C599</f>
        <v>0</v>
      </c>
    </row>
    <row r="600" customFormat="false" ht="12.75" hidden="false" customHeight="true" outlineLevel="0" collapsed="false">
      <c r="A600" s="36" t="s">
        <v>1406</v>
      </c>
      <c r="B600" s="37" t="n">
        <f aca="false">SUM(B593:B599)</f>
        <v>0</v>
      </c>
      <c r="C600" s="37" t="n">
        <f aca="false">SUM(C593:C599)</f>
        <v>0</v>
      </c>
      <c r="D600" s="38"/>
      <c r="E600" s="38"/>
      <c r="F600" s="37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3" t="n">
        <v>46550</v>
      </c>
      <c r="B605" s="34" t="n">
        <f aca="false">SUMIFS(Report!$U:$U,Report!$T:$T,"&lt;&gt;"&amp;"MERCADORIAS P/REVENDA",Report!$AA:$AA,"SIM",Report!$C:$C,A605)</f>
        <v>0</v>
      </c>
      <c r="C605" s="34" t="n">
        <f aca="false">SUMIFS(Report!$U:$U,Report!$T:$T,"MERCADORIAS P/REVENDA",Report!$AA:$AA,"SIM",Report!$C:$C,A605)</f>
        <v>0</v>
      </c>
      <c r="D605" s="35"/>
      <c r="E605" s="35"/>
      <c r="F605" s="34" t="n">
        <f aca="false">B605+C605</f>
        <v>0</v>
      </c>
    </row>
    <row r="606" customFormat="false" ht="12.75" hidden="false" customHeight="true" outlineLevel="0" collapsed="false">
      <c r="A606" s="33" t="n">
        <v>46551</v>
      </c>
      <c r="B606" s="34" t="n">
        <f aca="false">SUMIFS(Report!$U:$U,Report!$T:$T,"&lt;&gt;"&amp;"MERCADORIAS P/REVENDA",Report!$AA:$AA,"SIM",Report!$C:$C,A606)</f>
        <v>0</v>
      </c>
      <c r="C606" s="34" t="n">
        <f aca="false">SUMIFS(Report!$U:$U,Report!$T:$T,"MERCADORIAS P/REVENDA",Report!$AA:$AA,"SIM",Report!$C:$C,A606)</f>
        <v>0</v>
      </c>
      <c r="D606" s="35"/>
      <c r="E606" s="35"/>
      <c r="F606" s="34" t="n">
        <f aca="false">B606+C606</f>
        <v>0</v>
      </c>
    </row>
    <row r="607" customFormat="false" ht="12.75" hidden="false" customHeight="true" outlineLevel="0" collapsed="false">
      <c r="A607" s="33" t="n">
        <v>46552</v>
      </c>
      <c r="B607" s="34" t="n">
        <f aca="false">SUMIFS(Report!$U:$U,Report!$T:$T,"&lt;&gt;"&amp;"MERCADORIAS P/REVENDA",Report!$AA:$AA,"SIM",Report!$C:$C,A607)</f>
        <v>0</v>
      </c>
      <c r="C607" s="34" t="n">
        <f aca="false">SUMIFS(Report!$U:$U,Report!$T:$T,"MERCADORIAS P/REVENDA",Report!$AA:$AA,"SIM",Report!$C:$C,A607)</f>
        <v>0</v>
      </c>
      <c r="D607" s="35"/>
      <c r="E607" s="35"/>
      <c r="F607" s="34" t="n">
        <f aca="false">B607+C607</f>
        <v>0</v>
      </c>
    </row>
    <row r="608" customFormat="false" ht="12.75" hidden="false" customHeight="true" outlineLevel="0" collapsed="false">
      <c r="A608" s="36" t="s">
        <v>1407</v>
      </c>
      <c r="B608" s="37" t="n">
        <f aca="false">SUM(B601:B607)</f>
        <v>0</v>
      </c>
      <c r="C608" s="37" t="n">
        <f aca="false">SUM(C601:C607)</f>
        <v>0</v>
      </c>
      <c r="D608" s="38"/>
      <c r="E608" s="38"/>
      <c r="F608" s="37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3" t="n">
        <v>46557</v>
      </c>
      <c r="B613" s="34" t="n">
        <f aca="false">SUMIFS(Report!$U:$U,Report!$T:$T,"&lt;&gt;"&amp;"MERCADORIAS P/REVENDA",Report!$AA:$AA,"SIM",Report!$C:$C,A613)</f>
        <v>0</v>
      </c>
      <c r="C613" s="34" t="n">
        <f aca="false">SUMIFS(Report!$U:$U,Report!$T:$T,"MERCADORIAS P/REVENDA",Report!$AA:$AA,"SIM",Report!$C:$C,A613)</f>
        <v>0</v>
      </c>
      <c r="D613" s="35"/>
      <c r="E613" s="35"/>
      <c r="F613" s="34" t="n">
        <f aca="false">B613+C613</f>
        <v>0</v>
      </c>
    </row>
    <row r="614" customFormat="false" ht="12.75" hidden="false" customHeight="true" outlineLevel="0" collapsed="false">
      <c r="A614" s="33" t="n">
        <v>46558</v>
      </c>
      <c r="B614" s="34" t="n">
        <f aca="false">SUMIFS(Report!$U:$U,Report!$T:$T,"&lt;&gt;"&amp;"MERCADORIAS P/REVENDA",Report!$AA:$AA,"SIM",Report!$C:$C,A614)</f>
        <v>0</v>
      </c>
      <c r="C614" s="34" t="n">
        <f aca="false">SUMIFS(Report!$U:$U,Report!$T:$T,"MERCADORIAS P/REVENDA",Report!$AA:$AA,"SIM",Report!$C:$C,A614)</f>
        <v>0</v>
      </c>
      <c r="D614" s="35"/>
      <c r="E614" s="35"/>
      <c r="F614" s="34" t="n">
        <f aca="false">B614+C614</f>
        <v>0</v>
      </c>
    </row>
    <row r="615" customFormat="false" ht="12.75" hidden="false" customHeight="true" outlineLevel="0" collapsed="false">
      <c r="A615" s="33" t="n">
        <v>46559</v>
      </c>
      <c r="B615" s="34" t="n">
        <f aca="false">SUMIFS(Report!$U:$U,Report!$T:$T,"&lt;&gt;"&amp;"MERCADORIAS P/REVENDA",Report!$AA:$AA,"SIM",Report!$C:$C,A615)</f>
        <v>0</v>
      </c>
      <c r="C615" s="34" t="n">
        <f aca="false">SUMIFS(Report!$U:$U,Report!$T:$T,"MERCADORIAS P/REVENDA",Report!$AA:$AA,"SIM",Report!$C:$C,A615)</f>
        <v>0</v>
      </c>
      <c r="D615" s="35"/>
      <c r="E615" s="35"/>
      <c r="F615" s="34" t="n">
        <f aca="false">B615+C615</f>
        <v>0</v>
      </c>
    </row>
    <row r="616" customFormat="false" ht="12.75" hidden="false" customHeight="true" outlineLevel="0" collapsed="false">
      <c r="A616" s="36" t="s">
        <v>1408</v>
      </c>
      <c r="B616" s="37" t="n">
        <f aca="false">SUM(B609:B615)</f>
        <v>0</v>
      </c>
      <c r="C616" s="37" t="n">
        <f aca="false">SUM(C609:C615)</f>
        <v>0</v>
      </c>
      <c r="D616" s="38"/>
      <c r="E616" s="38"/>
      <c r="F616" s="37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3" t="n">
        <v>46564</v>
      </c>
      <c r="B621" s="34" t="n">
        <f aca="false">SUMIFS(Report!$U:$U,Report!$T:$T,"&lt;&gt;"&amp;"MERCADORIAS P/REVENDA",Report!$AA:$AA,"SIM",Report!$C:$C,A621)</f>
        <v>0</v>
      </c>
      <c r="C621" s="34" t="n">
        <f aca="false">SUMIFS(Report!$U:$U,Report!$T:$T,"MERCADORIAS P/REVENDA",Report!$AA:$AA,"SIM",Report!$C:$C,A621)</f>
        <v>0</v>
      </c>
      <c r="D621" s="35"/>
      <c r="E621" s="35"/>
      <c r="F621" s="34" t="n">
        <f aca="false">B621+C621</f>
        <v>0</v>
      </c>
    </row>
    <row r="622" customFormat="false" ht="12.75" hidden="false" customHeight="true" outlineLevel="0" collapsed="false">
      <c r="A622" s="33" t="n">
        <v>46565</v>
      </c>
      <c r="B622" s="34" t="n">
        <f aca="false">SUMIFS(Report!$U:$U,Report!$T:$T,"&lt;&gt;"&amp;"MERCADORIAS P/REVENDA",Report!$AA:$AA,"SIM",Report!$C:$C,A622)</f>
        <v>0</v>
      </c>
      <c r="C622" s="34" t="n">
        <f aca="false">SUMIFS(Report!$U:$U,Report!$T:$T,"MERCADORIAS P/REVENDA",Report!$AA:$AA,"SIM",Report!$C:$C,A622)</f>
        <v>0</v>
      </c>
      <c r="D622" s="35"/>
      <c r="E622" s="35"/>
      <c r="F622" s="34" t="n">
        <f aca="false">B622+C622</f>
        <v>0</v>
      </c>
    </row>
    <row r="623" customFormat="false" ht="12.75" hidden="false" customHeight="true" outlineLevel="0" collapsed="false">
      <c r="A623" s="33" t="n">
        <v>46566</v>
      </c>
      <c r="B623" s="34" t="n">
        <f aca="false">SUMIFS(Report!$U:$U,Report!$T:$T,"&lt;&gt;"&amp;"MERCADORIAS P/REVENDA",Report!$AA:$AA,"SIM",Report!$C:$C,A623)</f>
        <v>0</v>
      </c>
      <c r="C623" s="34" t="n">
        <f aca="false">SUMIFS(Report!$U:$U,Report!$T:$T,"MERCADORIAS P/REVENDA",Report!$AA:$AA,"SIM",Report!$C:$C,A623)</f>
        <v>0</v>
      </c>
      <c r="D623" s="35"/>
      <c r="E623" s="35"/>
      <c r="F623" s="34" t="n">
        <f aca="false">B623+C623</f>
        <v>0</v>
      </c>
    </row>
    <row r="624" customFormat="false" ht="12.75" hidden="false" customHeight="true" outlineLevel="0" collapsed="false">
      <c r="A624" s="36" t="s">
        <v>1409</v>
      </c>
      <c r="B624" s="37" t="n">
        <f aca="false">SUM(B617:B623)</f>
        <v>0</v>
      </c>
      <c r="C624" s="37" t="n">
        <f aca="false">SUM(C617:C623)</f>
        <v>0</v>
      </c>
      <c r="D624" s="38"/>
      <c r="E624" s="38"/>
      <c r="F624" s="37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3" t="n">
        <v>46571</v>
      </c>
      <c r="B629" s="34" t="n">
        <f aca="false">SUMIFS(Report!$U:$U,Report!$T:$T,"&lt;&gt;"&amp;"MERCADORIAS P/REVENDA",Report!$AA:$AA,"SIM",Report!$C:$C,A629)</f>
        <v>0</v>
      </c>
      <c r="C629" s="34" t="n">
        <f aca="false">SUMIFS(Report!$U:$U,Report!$T:$T,"MERCADORIAS P/REVENDA",Report!$AA:$AA,"SIM",Report!$C:$C,A629)</f>
        <v>0</v>
      </c>
      <c r="D629" s="35"/>
      <c r="E629" s="35"/>
      <c r="F629" s="34" t="n">
        <f aca="false">B629+C629</f>
        <v>0</v>
      </c>
    </row>
    <row r="630" customFormat="false" ht="12.75" hidden="false" customHeight="true" outlineLevel="0" collapsed="false">
      <c r="A630" s="33" t="n">
        <v>46572</v>
      </c>
      <c r="B630" s="34" t="n">
        <f aca="false">SUMIFS(Report!$U:$U,Report!$T:$T,"&lt;&gt;"&amp;"MERCADORIAS P/REVENDA",Report!$AA:$AA,"SIM",Report!$C:$C,A630)</f>
        <v>0</v>
      </c>
      <c r="C630" s="34" t="n">
        <f aca="false">SUMIFS(Report!$U:$U,Report!$T:$T,"MERCADORIAS P/REVENDA",Report!$AA:$AA,"SIM",Report!$C:$C,A630)</f>
        <v>0</v>
      </c>
      <c r="D630" s="35"/>
      <c r="E630" s="35"/>
      <c r="F630" s="34" t="n">
        <f aca="false">B630+C630</f>
        <v>0</v>
      </c>
    </row>
    <row r="631" customFormat="false" ht="12.75" hidden="false" customHeight="true" outlineLevel="0" collapsed="false">
      <c r="A631" s="33" t="n">
        <v>46573</v>
      </c>
      <c r="B631" s="34" t="n">
        <f aca="false">SUMIFS(Report!$U:$U,Report!$T:$T,"&lt;&gt;"&amp;"MERCADORIAS P/REVENDA",Report!$AA:$AA,"SIM",Report!$C:$C,A631)</f>
        <v>0</v>
      </c>
      <c r="C631" s="34" t="n">
        <f aca="false">SUMIFS(Report!$U:$U,Report!$T:$T,"MERCADORIAS P/REVENDA",Report!$AA:$AA,"SIM",Report!$C:$C,A631)</f>
        <v>0</v>
      </c>
      <c r="D631" s="35"/>
      <c r="E631" s="35"/>
      <c r="F631" s="34" t="n">
        <f aca="false">B631+C631</f>
        <v>0</v>
      </c>
    </row>
    <row r="632" customFormat="false" ht="12.75" hidden="false" customHeight="true" outlineLevel="0" collapsed="false">
      <c r="A632" s="36" t="s">
        <v>1410</v>
      </c>
      <c r="B632" s="37" t="n">
        <f aca="false">SUM(B625:B631)</f>
        <v>0</v>
      </c>
      <c r="C632" s="37" t="n">
        <f aca="false">SUM(C625:C631)</f>
        <v>0</v>
      </c>
      <c r="D632" s="38"/>
      <c r="E632" s="38"/>
      <c r="F632" s="37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3" t="n">
        <v>46578</v>
      </c>
      <c r="B637" s="34" t="n">
        <f aca="false">SUMIFS(Report!$U:$U,Report!$T:$T,"&lt;&gt;"&amp;"MERCADORIAS P/REVENDA",Report!$AA:$AA,"SIM",Report!$C:$C,A637)</f>
        <v>0</v>
      </c>
      <c r="C637" s="34" t="n">
        <f aca="false">SUMIFS(Report!$U:$U,Report!$T:$T,"MERCADORIAS P/REVENDA",Report!$AA:$AA,"SIM",Report!$C:$C,A637)</f>
        <v>0</v>
      </c>
      <c r="D637" s="35"/>
      <c r="E637" s="35"/>
      <c r="F637" s="34" t="n">
        <f aca="false">B637+C637</f>
        <v>0</v>
      </c>
    </row>
    <row r="638" customFormat="false" ht="12.75" hidden="false" customHeight="true" outlineLevel="0" collapsed="false">
      <c r="A638" s="33" t="n">
        <v>46579</v>
      </c>
      <c r="B638" s="34" t="n">
        <f aca="false">SUMIFS(Report!$U:$U,Report!$T:$T,"&lt;&gt;"&amp;"MERCADORIAS P/REVENDA",Report!$AA:$AA,"SIM",Report!$C:$C,A638)</f>
        <v>0</v>
      </c>
      <c r="C638" s="34" t="n">
        <f aca="false">SUMIFS(Report!$U:$U,Report!$T:$T,"MERCADORIAS P/REVENDA",Report!$AA:$AA,"SIM",Report!$C:$C,A638)</f>
        <v>0</v>
      </c>
      <c r="D638" s="35"/>
      <c r="E638" s="35"/>
      <c r="F638" s="34" t="n">
        <f aca="false">B638+C638</f>
        <v>0</v>
      </c>
    </row>
    <row r="639" customFormat="false" ht="12.75" hidden="false" customHeight="true" outlineLevel="0" collapsed="false">
      <c r="A639" s="33" t="n">
        <v>46580</v>
      </c>
      <c r="B639" s="34" t="n">
        <f aca="false">SUMIFS(Report!$U:$U,Report!$T:$T,"&lt;&gt;"&amp;"MERCADORIAS P/REVENDA",Report!$AA:$AA,"SIM",Report!$C:$C,A639)</f>
        <v>0</v>
      </c>
      <c r="C639" s="34" t="n">
        <f aca="false">SUMIFS(Report!$U:$U,Report!$T:$T,"MERCADORIAS P/REVENDA",Report!$AA:$AA,"SIM",Report!$C:$C,A639)</f>
        <v>0</v>
      </c>
      <c r="D639" s="35"/>
      <c r="E639" s="35"/>
      <c r="F639" s="34" t="n">
        <f aca="false">B639+C639</f>
        <v>0</v>
      </c>
    </row>
    <row r="640" customFormat="false" ht="12.75" hidden="false" customHeight="true" outlineLevel="0" collapsed="false">
      <c r="A640" s="36" t="s">
        <v>1411</v>
      </c>
      <c r="B640" s="37" t="n">
        <f aca="false">SUM(B633:B639)</f>
        <v>0</v>
      </c>
      <c r="C640" s="37" t="n">
        <f aca="false">SUM(C633:C639)</f>
        <v>0</v>
      </c>
      <c r="D640" s="38"/>
      <c r="E640" s="38"/>
      <c r="F640" s="37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3" t="n">
        <v>46585</v>
      </c>
      <c r="B645" s="34" t="n">
        <f aca="false">SUMIFS(Report!$U:$U,Report!$T:$T,"&lt;&gt;"&amp;"MERCADORIAS P/REVENDA",Report!$AA:$AA,"SIM",Report!$C:$C,A645)</f>
        <v>0</v>
      </c>
      <c r="C645" s="34" t="n">
        <f aca="false">SUMIFS(Report!$U:$U,Report!$T:$T,"MERCADORIAS P/REVENDA",Report!$AA:$AA,"SIM",Report!$C:$C,A645)</f>
        <v>0</v>
      </c>
      <c r="D645" s="35"/>
      <c r="E645" s="35"/>
      <c r="F645" s="34" t="n">
        <f aca="false">B645+C645</f>
        <v>0</v>
      </c>
    </row>
    <row r="646" customFormat="false" ht="12.75" hidden="false" customHeight="true" outlineLevel="0" collapsed="false">
      <c r="A646" s="33" t="n">
        <v>46586</v>
      </c>
      <c r="B646" s="34" t="n">
        <f aca="false">SUMIFS(Report!$U:$U,Report!$T:$T,"&lt;&gt;"&amp;"MERCADORIAS P/REVENDA",Report!$AA:$AA,"SIM",Report!$C:$C,A646)</f>
        <v>0</v>
      </c>
      <c r="C646" s="34" t="n">
        <f aca="false">SUMIFS(Report!$U:$U,Report!$T:$T,"MERCADORIAS P/REVENDA",Report!$AA:$AA,"SIM",Report!$C:$C,A646)</f>
        <v>0</v>
      </c>
      <c r="D646" s="35"/>
      <c r="E646" s="35"/>
      <c r="F646" s="34" t="n">
        <f aca="false">B646+C646</f>
        <v>0</v>
      </c>
    </row>
    <row r="647" customFormat="false" ht="12.75" hidden="false" customHeight="true" outlineLevel="0" collapsed="false">
      <c r="A647" s="33" t="n">
        <v>46587</v>
      </c>
      <c r="B647" s="34" t="n">
        <f aca="false">SUMIFS(Report!$U:$U,Report!$T:$T,"&lt;&gt;"&amp;"MERCADORIAS P/REVENDA",Report!$AA:$AA,"SIM",Report!$C:$C,A647)</f>
        <v>0</v>
      </c>
      <c r="C647" s="34" t="n">
        <f aca="false">SUMIFS(Report!$U:$U,Report!$T:$T,"MERCADORIAS P/REVENDA",Report!$AA:$AA,"SIM",Report!$C:$C,A647)</f>
        <v>0</v>
      </c>
      <c r="D647" s="35"/>
      <c r="E647" s="35"/>
      <c r="F647" s="34" t="n">
        <f aca="false">B647+C647</f>
        <v>0</v>
      </c>
    </row>
    <row r="648" customFormat="false" ht="12.75" hidden="false" customHeight="true" outlineLevel="0" collapsed="false">
      <c r="A648" s="36" t="s">
        <v>1412</v>
      </c>
      <c r="B648" s="37" t="n">
        <f aca="false">SUM(B641:B647)</f>
        <v>0</v>
      </c>
      <c r="C648" s="37" t="n">
        <f aca="false">SUM(C641:C647)</f>
        <v>0</v>
      </c>
      <c r="D648" s="38"/>
      <c r="E648" s="38"/>
      <c r="F648" s="37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3" t="n">
        <v>46592</v>
      </c>
      <c r="B653" s="34" t="n">
        <f aca="false">SUMIFS(Report!$U:$U,Report!$T:$T,"&lt;&gt;"&amp;"MERCADORIAS P/REVENDA",Report!$AA:$AA,"SIM",Report!$C:$C,A653)</f>
        <v>0</v>
      </c>
      <c r="C653" s="34" t="n">
        <f aca="false">SUMIFS(Report!$U:$U,Report!$T:$T,"MERCADORIAS P/REVENDA",Report!$AA:$AA,"SIM",Report!$C:$C,A653)</f>
        <v>0</v>
      </c>
      <c r="D653" s="35"/>
      <c r="E653" s="35"/>
      <c r="F653" s="34" t="n">
        <f aca="false">B653+C653</f>
        <v>0</v>
      </c>
    </row>
    <row r="654" customFormat="false" ht="12.75" hidden="false" customHeight="true" outlineLevel="0" collapsed="false">
      <c r="A654" s="33" t="n">
        <v>46593</v>
      </c>
      <c r="B654" s="34" t="n">
        <f aca="false">SUMIFS(Report!$U:$U,Report!$T:$T,"&lt;&gt;"&amp;"MERCADORIAS P/REVENDA",Report!$AA:$AA,"SIM",Report!$C:$C,A654)</f>
        <v>0</v>
      </c>
      <c r="C654" s="34" t="n">
        <f aca="false">SUMIFS(Report!$U:$U,Report!$T:$T,"MERCADORIAS P/REVENDA",Report!$AA:$AA,"SIM",Report!$C:$C,A654)</f>
        <v>0</v>
      </c>
      <c r="D654" s="35"/>
      <c r="E654" s="35"/>
      <c r="F654" s="34" t="n">
        <f aca="false">B654+C654</f>
        <v>0</v>
      </c>
    </row>
    <row r="655" customFormat="false" ht="12.75" hidden="false" customHeight="true" outlineLevel="0" collapsed="false">
      <c r="A655" s="33" t="n">
        <v>46594</v>
      </c>
      <c r="B655" s="34" t="n">
        <f aca="false">SUMIFS(Report!$U:$U,Report!$T:$T,"&lt;&gt;"&amp;"MERCADORIAS P/REVENDA",Report!$AA:$AA,"SIM",Report!$C:$C,A655)</f>
        <v>0</v>
      </c>
      <c r="C655" s="34" t="n">
        <f aca="false">SUMIFS(Report!$U:$U,Report!$T:$T,"MERCADORIAS P/REVENDA",Report!$AA:$AA,"SIM",Report!$C:$C,A655)</f>
        <v>0</v>
      </c>
      <c r="D655" s="35"/>
      <c r="E655" s="35"/>
      <c r="F655" s="34" t="n">
        <f aca="false">B655+C655</f>
        <v>0</v>
      </c>
    </row>
    <row r="656" customFormat="false" ht="12.75" hidden="false" customHeight="true" outlineLevel="0" collapsed="false">
      <c r="A656" s="36" t="s">
        <v>1413</v>
      </c>
      <c r="B656" s="37" t="n">
        <f aca="false">SUM(B649:B655)</f>
        <v>0</v>
      </c>
      <c r="C656" s="37" t="n">
        <f aca="false">SUM(C649:C655)</f>
        <v>0</v>
      </c>
      <c r="D656" s="38"/>
      <c r="E656" s="38"/>
      <c r="F656" s="37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3" t="n">
        <v>46599</v>
      </c>
      <c r="B661" s="34" t="n">
        <f aca="false">SUMIFS(Report!$U:$U,Report!$T:$T,"&lt;&gt;"&amp;"MERCADORIAS P/REVENDA",Report!$AA:$AA,"SIM",Report!$C:$C,A661)</f>
        <v>0</v>
      </c>
      <c r="C661" s="34" t="n">
        <f aca="false">SUMIFS(Report!$U:$U,Report!$T:$T,"MERCADORIAS P/REVENDA",Report!$AA:$AA,"SIM",Report!$C:$C,A661)</f>
        <v>0</v>
      </c>
      <c r="D661" s="35"/>
      <c r="E661" s="35"/>
      <c r="F661" s="34" t="n">
        <f aca="false">B661+C661</f>
        <v>0</v>
      </c>
    </row>
    <row r="662" customFormat="false" ht="12.75" hidden="false" customHeight="true" outlineLevel="0" collapsed="false">
      <c r="A662" s="33" t="n">
        <v>46600</v>
      </c>
      <c r="B662" s="34" t="n">
        <f aca="false">SUMIFS(Report!$U:$U,Report!$T:$T,"&lt;&gt;"&amp;"MERCADORIAS P/REVENDA",Report!$AA:$AA,"SIM",Report!$C:$C,A662)</f>
        <v>0</v>
      </c>
      <c r="C662" s="34" t="n">
        <f aca="false">SUMIFS(Report!$U:$U,Report!$T:$T,"MERCADORIAS P/REVENDA",Report!$AA:$AA,"SIM",Report!$C:$C,A662)</f>
        <v>0</v>
      </c>
      <c r="D662" s="35"/>
      <c r="E662" s="35"/>
      <c r="F662" s="34" t="n">
        <f aca="false">B662+C662</f>
        <v>0</v>
      </c>
    </row>
    <row r="663" customFormat="false" ht="12.75" hidden="false" customHeight="true" outlineLevel="0" collapsed="false">
      <c r="A663" s="33" t="n">
        <v>46601</v>
      </c>
      <c r="B663" s="34" t="n">
        <f aca="false">SUMIFS(Report!$U:$U,Report!$T:$T,"&lt;&gt;"&amp;"MERCADORIAS P/REVENDA",Report!$AA:$AA,"SIM",Report!$C:$C,A663)</f>
        <v>0</v>
      </c>
      <c r="C663" s="34" t="n">
        <f aca="false">SUMIFS(Report!$U:$U,Report!$T:$T,"MERCADORIAS P/REVENDA",Report!$AA:$AA,"SIM",Report!$C:$C,A663)</f>
        <v>0</v>
      </c>
      <c r="D663" s="35"/>
      <c r="E663" s="35"/>
      <c r="F663" s="34" t="n">
        <f aca="false">B663+C663</f>
        <v>0</v>
      </c>
    </row>
    <row r="664" customFormat="false" ht="12.75" hidden="false" customHeight="true" outlineLevel="0" collapsed="false">
      <c r="A664" s="36" t="s">
        <v>1414</v>
      </c>
      <c r="B664" s="37" t="n">
        <f aca="false">SUM(B657:B663)</f>
        <v>0</v>
      </c>
      <c r="C664" s="37" t="n">
        <f aca="false">SUM(C657:C663)</f>
        <v>0</v>
      </c>
      <c r="D664" s="38"/>
      <c r="E664" s="38"/>
      <c r="F664" s="37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3" t="n">
        <v>46606</v>
      </c>
      <c r="B669" s="34" t="n">
        <f aca="false">SUMIFS(Report!$U:$U,Report!$T:$T,"&lt;&gt;"&amp;"MERCADORIAS P/REVENDA",Report!$AA:$AA,"SIM",Report!$C:$C,A669)</f>
        <v>0</v>
      </c>
      <c r="C669" s="34" t="n">
        <f aca="false">SUMIFS(Report!$U:$U,Report!$T:$T,"MERCADORIAS P/REVENDA",Report!$AA:$AA,"SIM",Report!$C:$C,A669)</f>
        <v>0</v>
      </c>
      <c r="D669" s="35"/>
      <c r="E669" s="35"/>
      <c r="F669" s="34" t="n">
        <f aca="false">B669+C669</f>
        <v>0</v>
      </c>
    </row>
    <row r="670" customFormat="false" ht="12.75" hidden="false" customHeight="true" outlineLevel="0" collapsed="false">
      <c r="A670" s="33" t="n">
        <v>46607</v>
      </c>
      <c r="B670" s="34" t="n">
        <f aca="false">SUMIFS(Report!$U:$U,Report!$T:$T,"&lt;&gt;"&amp;"MERCADORIAS P/REVENDA",Report!$AA:$AA,"SIM",Report!$C:$C,A670)</f>
        <v>0</v>
      </c>
      <c r="C670" s="34" t="n">
        <f aca="false">SUMIFS(Report!$U:$U,Report!$T:$T,"MERCADORIAS P/REVENDA",Report!$AA:$AA,"SIM",Report!$C:$C,A670)</f>
        <v>0</v>
      </c>
      <c r="D670" s="35"/>
      <c r="E670" s="35"/>
      <c r="F670" s="34" t="n">
        <f aca="false">B670+C670</f>
        <v>0</v>
      </c>
    </row>
    <row r="671" customFormat="false" ht="12.75" hidden="false" customHeight="true" outlineLevel="0" collapsed="false">
      <c r="A671" s="33" t="n">
        <v>46608</v>
      </c>
      <c r="B671" s="34" t="n">
        <f aca="false">SUMIFS(Report!$U:$U,Report!$T:$T,"&lt;&gt;"&amp;"MERCADORIAS P/REVENDA",Report!$AA:$AA,"SIM",Report!$C:$C,A671)</f>
        <v>0</v>
      </c>
      <c r="C671" s="34" t="n">
        <f aca="false">SUMIFS(Report!$U:$U,Report!$T:$T,"MERCADORIAS P/REVENDA",Report!$AA:$AA,"SIM",Report!$C:$C,A671)</f>
        <v>0</v>
      </c>
      <c r="D671" s="35"/>
      <c r="E671" s="35"/>
      <c r="F671" s="34" t="n">
        <f aca="false">B671+C671</f>
        <v>0</v>
      </c>
    </row>
    <row r="672" customFormat="false" ht="12.75" hidden="false" customHeight="true" outlineLevel="0" collapsed="false">
      <c r="A672" s="36" t="s">
        <v>1415</v>
      </c>
      <c r="B672" s="37" t="n">
        <f aca="false">SUM(B665:B671)</f>
        <v>0</v>
      </c>
      <c r="C672" s="37" t="n">
        <f aca="false">SUM(C665:C671)</f>
        <v>0</v>
      </c>
      <c r="D672" s="38"/>
      <c r="E672" s="38"/>
      <c r="F672" s="37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3" t="n">
        <v>46613</v>
      </c>
      <c r="B677" s="34" t="n">
        <f aca="false">SUMIFS(Report!$U:$U,Report!$T:$T,"&lt;&gt;"&amp;"MERCADORIAS P/REVENDA",Report!$AA:$AA,"SIM",Report!$C:$C,A677)</f>
        <v>0</v>
      </c>
      <c r="C677" s="34" t="n">
        <f aca="false">SUMIFS(Report!$U:$U,Report!$T:$T,"MERCADORIAS P/REVENDA",Report!$AA:$AA,"SIM",Report!$C:$C,A677)</f>
        <v>0</v>
      </c>
      <c r="D677" s="35"/>
      <c r="E677" s="35"/>
      <c r="F677" s="34" t="n">
        <f aca="false">B677+C677</f>
        <v>0</v>
      </c>
    </row>
    <row r="678" customFormat="false" ht="12.75" hidden="false" customHeight="true" outlineLevel="0" collapsed="false">
      <c r="A678" s="33" t="n">
        <v>46614</v>
      </c>
      <c r="B678" s="34" t="n">
        <f aca="false">SUMIFS(Report!$U:$U,Report!$T:$T,"&lt;&gt;"&amp;"MERCADORIAS P/REVENDA",Report!$AA:$AA,"SIM",Report!$C:$C,A678)</f>
        <v>0</v>
      </c>
      <c r="C678" s="34" t="n">
        <f aca="false">SUMIFS(Report!$U:$U,Report!$T:$T,"MERCADORIAS P/REVENDA",Report!$AA:$AA,"SIM",Report!$C:$C,A678)</f>
        <v>0</v>
      </c>
      <c r="D678" s="35"/>
      <c r="E678" s="35"/>
      <c r="F678" s="34" t="n">
        <f aca="false">B678+C678</f>
        <v>0</v>
      </c>
    </row>
    <row r="679" customFormat="false" ht="12.75" hidden="false" customHeight="true" outlineLevel="0" collapsed="false">
      <c r="A679" s="33" t="n">
        <v>46615</v>
      </c>
      <c r="B679" s="34" t="n">
        <f aca="false">SUMIFS(Report!$U:$U,Report!$T:$T,"&lt;&gt;"&amp;"MERCADORIAS P/REVENDA",Report!$AA:$AA,"SIM",Report!$C:$C,A679)</f>
        <v>0</v>
      </c>
      <c r="C679" s="34" t="n">
        <f aca="false">SUMIFS(Report!$U:$U,Report!$T:$T,"MERCADORIAS P/REVENDA",Report!$AA:$AA,"SIM",Report!$C:$C,A679)</f>
        <v>0</v>
      </c>
      <c r="D679" s="35"/>
      <c r="E679" s="35"/>
      <c r="F679" s="34" t="n">
        <f aca="false">B679+C679</f>
        <v>0</v>
      </c>
    </row>
    <row r="680" customFormat="false" ht="12.75" hidden="false" customHeight="true" outlineLevel="0" collapsed="false">
      <c r="A680" s="36" t="s">
        <v>1416</v>
      </c>
      <c r="B680" s="37" t="n">
        <f aca="false">SUM(B673:B679)</f>
        <v>0</v>
      </c>
      <c r="C680" s="37" t="n">
        <f aca="false">SUM(C673:C679)</f>
        <v>0</v>
      </c>
      <c r="D680" s="38"/>
      <c r="E680" s="38"/>
      <c r="F680" s="37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3" t="n">
        <v>46620</v>
      </c>
      <c r="B685" s="34" t="n">
        <f aca="false">SUMIFS(Report!$U:$U,Report!$T:$T,"&lt;&gt;"&amp;"MERCADORIAS P/REVENDA",Report!$AA:$AA,"SIM",Report!$C:$C,A685)</f>
        <v>0</v>
      </c>
      <c r="C685" s="34" t="n">
        <f aca="false">SUMIFS(Report!$U:$U,Report!$T:$T,"MERCADORIAS P/REVENDA",Report!$AA:$AA,"SIM",Report!$C:$C,A685)</f>
        <v>0</v>
      </c>
      <c r="D685" s="35"/>
      <c r="E685" s="35"/>
      <c r="F685" s="34" t="n">
        <f aca="false">B685+C685</f>
        <v>0</v>
      </c>
    </row>
    <row r="686" customFormat="false" ht="12.75" hidden="false" customHeight="true" outlineLevel="0" collapsed="false">
      <c r="A686" s="33" t="n">
        <v>46621</v>
      </c>
      <c r="B686" s="34" t="n">
        <f aca="false">SUMIFS(Report!$U:$U,Report!$T:$T,"&lt;&gt;"&amp;"MERCADORIAS P/REVENDA",Report!$AA:$AA,"SIM",Report!$C:$C,A686)</f>
        <v>0</v>
      </c>
      <c r="C686" s="34" t="n">
        <f aca="false">SUMIFS(Report!$U:$U,Report!$T:$T,"MERCADORIAS P/REVENDA",Report!$AA:$AA,"SIM",Report!$C:$C,A686)</f>
        <v>0</v>
      </c>
      <c r="D686" s="35"/>
      <c r="E686" s="35"/>
      <c r="F686" s="34" t="n">
        <f aca="false">B686+C686</f>
        <v>0</v>
      </c>
    </row>
    <row r="687" customFormat="false" ht="12.75" hidden="false" customHeight="true" outlineLevel="0" collapsed="false">
      <c r="A687" s="33" t="n">
        <v>46622</v>
      </c>
      <c r="B687" s="34" t="n">
        <f aca="false">SUMIFS(Report!$U:$U,Report!$T:$T,"&lt;&gt;"&amp;"MERCADORIAS P/REVENDA",Report!$AA:$AA,"SIM",Report!$C:$C,A687)</f>
        <v>0</v>
      </c>
      <c r="C687" s="34" t="n">
        <f aca="false">SUMIFS(Report!$U:$U,Report!$T:$T,"MERCADORIAS P/REVENDA",Report!$AA:$AA,"SIM",Report!$C:$C,A687)</f>
        <v>0</v>
      </c>
      <c r="D687" s="35"/>
      <c r="E687" s="35"/>
      <c r="F687" s="34" t="n">
        <f aca="false">B687+C687</f>
        <v>0</v>
      </c>
    </row>
    <row r="688" customFormat="false" ht="12.75" hidden="false" customHeight="true" outlineLevel="0" collapsed="false">
      <c r="A688" s="36" t="s">
        <v>1417</v>
      </c>
      <c r="B688" s="37" t="n">
        <f aca="false">SUM(B681:B687)</f>
        <v>0</v>
      </c>
      <c r="C688" s="37" t="n">
        <f aca="false">SUM(C681:C687)</f>
        <v>0</v>
      </c>
      <c r="D688" s="38"/>
      <c r="E688" s="38"/>
      <c r="F688" s="37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3" t="n">
        <v>46627</v>
      </c>
      <c r="B693" s="34" t="n">
        <f aca="false">SUMIFS(Report!$U:$U,Report!$T:$T,"&lt;&gt;"&amp;"MERCADORIAS P/REVENDA",Report!$AA:$AA,"SIM",Report!$C:$C,A693)</f>
        <v>0</v>
      </c>
      <c r="C693" s="34" t="n">
        <f aca="false">SUMIFS(Report!$U:$U,Report!$T:$T,"MERCADORIAS P/REVENDA",Report!$AA:$AA,"SIM",Report!$C:$C,A693)</f>
        <v>0</v>
      </c>
      <c r="D693" s="35"/>
      <c r="E693" s="35"/>
      <c r="F693" s="34" t="n">
        <f aca="false">B693+C693</f>
        <v>0</v>
      </c>
    </row>
    <row r="694" customFormat="false" ht="12.75" hidden="false" customHeight="true" outlineLevel="0" collapsed="false">
      <c r="A694" s="33" t="n">
        <v>46628</v>
      </c>
      <c r="B694" s="34" t="n">
        <f aca="false">SUMIFS(Report!$U:$U,Report!$T:$T,"&lt;&gt;"&amp;"MERCADORIAS P/REVENDA",Report!$AA:$AA,"SIM",Report!$C:$C,A694)</f>
        <v>0</v>
      </c>
      <c r="C694" s="34" t="n">
        <f aca="false">SUMIFS(Report!$U:$U,Report!$T:$T,"MERCADORIAS P/REVENDA",Report!$AA:$AA,"SIM",Report!$C:$C,A694)</f>
        <v>0</v>
      </c>
      <c r="D694" s="35"/>
      <c r="E694" s="35"/>
      <c r="F694" s="34" t="n">
        <f aca="false">B694+C694</f>
        <v>0</v>
      </c>
    </row>
    <row r="695" customFormat="false" ht="12.75" hidden="false" customHeight="true" outlineLevel="0" collapsed="false">
      <c r="A695" s="33" t="n">
        <v>46629</v>
      </c>
      <c r="B695" s="34" t="n">
        <f aca="false">SUMIFS(Report!$U:$U,Report!$T:$T,"&lt;&gt;"&amp;"MERCADORIAS P/REVENDA",Report!$AA:$AA,"SIM",Report!$C:$C,A695)</f>
        <v>0</v>
      </c>
      <c r="C695" s="34" t="n">
        <f aca="false">SUMIFS(Report!$U:$U,Report!$T:$T,"MERCADORIAS P/REVENDA",Report!$AA:$AA,"SIM",Report!$C:$C,A695)</f>
        <v>0</v>
      </c>
      <c r="D695" s="35"/>
      <c r="E695" s="35"/>
      <c r="F695" s="34" t="n">
        <f aca="false">B695+C695</f>
        <v>0</v>
      </c>
    </row>
    <row r="696" customFormat="false" ht="12.75" hidden="false" customHeight="true" outlineLevel="0" collapsed="false">
      <c r="A696" s="36" t="s">
        <v>1418</v>
      </c>
      <c r="B696" s="37" t="n">
        <f aca="false">SUM(B689:B695)</f>
        <v>0</v>
      </c>
      <c r="C696" s="37" t="n">
        <f aca="false">SUM(C689:C695)</f>
        <v>0</v>
      </c>
      <c r="D696" s="38"/>
      <c r="E696" s="38"/>
      <c r="F696" s="37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3" t="n">
        <v>46634</v>
      </c>
      <c r="B701" s="34" t="n">
        <f aca="false">SUMIFS(Report!$U:$U,Report!$T:$T,"&lt;&gt;"&amp;"MERCADORIAS P/REVENDA",Report!$AA:$AA,"SIM",Report!$C:$C,A701)</f>
        <v>0</v>
      </c>
      <c r="C701" s="34" t="n">
        <f aca="false">SUMIFS(Report!$U:$U,Report!$T:$T,"MERCADORIAS P/REVENDA",Report!$AA:$AA,"SIM",Report!$C:$C,A701)</f>
        <v>0</v>
      </c>
      <c r="D701" s="35"/>
      <c r="E701" s="35"/>
      <c r="F701" s="34" t="n">
        <f aca="false">B701+C701</f>
        <v>0</v>
      </c>
    </row>
    <row r="702" customFormat="false" ht="12.75" hidden="false" customHeight="true" outlineLevel="0" collapsed="false">
      <c r="A702" s="33" t="n">
        <v>46635</v>
      </c>
      <c r="B702" s="34" t="n">
        <f aca="false">SUMIFS(Report!$U:$U,Report!$T:$T,"&lt;&gt;"&amp;"MERCADORIAS P/REVENDA",Report!$AA:$AA,"SIM",Report!$C:$C,A702)</f>
        <v>0</v>
      </c>
      <c r="C702" s="34" t="n">
        <f aca="false">SUMIFS(Report!$U:$U,Report!$T:$T,"MERCADORIAS P/REVENDA",Report!$AA:$AA,"SIM",Report!$C:$C,A702)</f>
        <v>0</v>
      </c>
      <c r="D702" s="35"/>
      <c r="E702" s="35"/>
      <c r="F702" s="34" t="n">
        <f aca="false">B702+C702</f>
        <v>0</v>
      </c>
    </row>
    <row r="703" customFormat="false" ht="12.75" hidden="false" customHeight="true" outlineLevel="0" collapsed="false">
      <c r="A703" s="33" t="n">
        <v>46636</v>
      </c>
      <c r="B703" s="34" t="n">
        <f aca="false">SUMIFS(Report!$U:$U,Report!$T:$T,"&lt;&gt;"&amp;"MERCADORIAS P/REVENDA",Report!$AA:$AA,"SIM",Report!$C:$C,A703)</f>
        <v>0</v>
      </c>
      <c r="C703" s="34" t="n">
        <f aca="false">SUMIFS(Report!$U:$U,Report!$T:$T,"MERCADORIAS P/REVENDA",Report!$AA:$AA,"SIM",Report!$C:$C,A703)</f>
        <v>0</v>
      </c>
      <c r="D703" s="35"/>
      <c r="E703" s="35"/>
      <c r="F703" s="34" t="n">
        <f aca="false">B703+C703</f>
        <v>0</v>
      </c>
    </row>
    <row r="704" customFormat="false" ht="12.75" hidden="false" customHeight="true" outlineLevel="0" collapsed="false">
      <c r="A704" s="36" t="s">
        <v>1419</v>
      </c>
      <c r="B704" s="37" t="n">
        <f aca="false">SUM(B697:B703)</f>
        <v>0</v>
      </c>
      <c r="C704" s="37" t="n">
        <f aca="false">SUM(C697:C703)</f>
        <v>0</v>
      </c>
      <c r="D704" s="38"/>
      <c r="E704" s="38"/>
      <c r="F704" s="37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3" t="n">
        <v>46641</v>
      </c>
      <c r="B709" s="34" t="n">
        <f aca="false">SUMIFS(Report!$U:$U,Report!$T:$T,"&lt;&gt;"&amp;"MERCADORIAS P/REVENDA",Report!$AA:$AA,"SIM",Report!$C:$C,A709)</f>
        <v>0</v>
      </c>
      <c r="C709" s="34" t="n">
        <f aca="false">SUMIFS(Report!$U:$U,Report!$T:$T,"MERCADORIAS P/REVENDA",Report!$AA:$AA,"SIM",Report!$C:$C,A709)</f>
        <v>0</v>
      </c>
      <c r="D709" s="35"/>
      <c r="E709" s="35"/>
      <c r="F709" s="34" t="n">
        <f aca="false">B709+C709</f>
        <v>0</v>
      </c>
    </row>
    <row r="710" customFormat="false" ht="12.75" hidden="false" customHeight="true" outlineLevel="0" collapsed="false">
      <c r="A710" s="33" t="n">
        <v>46642</v>
      </c>
      <c r="B710" s="34" t="n">
        <f aca="false">SUMIFS(Report!$U:$U,Report!$T:$T,"&lt;&gt;"&amp;"MERCADORIAS P/REVENDA",Report!$AA:$AA,"SIM",Report!$C:$C,A710)</f>
        <v>0</v>
      </c>
      <c r="C710" s="34" t="n">
        <f aca="false">SUMIFS(Report!$U:$U,Report!$T:$T,"MERCADORIAS P/REVENDA",Report!$AA:$AA,"SIM",Report!$C:$C,A710)</f>
        <v>0</v>
      </c>
      <c r="D710" s="35"/>
      <c r="E710" s="35"/>
      <c r="F710" s="34" t="n">
        <f aca="false">B710+C710</f>
        <v>0</v>
      </c>
    </row>
    <row r="711" customFormat="false" ht="12.75" hidden="false" customHeight="true" outlineLevel="0" collapsed="false">
      <c r="A711" s="33" t="n">
        <v>46643</v>
      </c>
      <c r="B711" s="34" t="n">
        <f aca="false">SUMIFS(Report!$U:$U,Report!$T:$T,"&lt;&gt;"&amp;"MERCADORIAS P/REVENDA",Report!$AA:$AA,"SIM",Report!$C:$C,A711)</f>
        <v>0</v>
      </c>
      <c r="C711" s="34" t="n">
        <f aca="false">SUMIFS(Report!$U:$U,Report!$T:$T,"MERCADORIAS P/REVENDA",Report!$AA:$AA,"SIM",Report!$C:$C,A711)</f>
        <v>0</v>
      </c>
      <c r="D711" s="35"/>
      <c r="E711" s="35"/>
      <c r="F711" s="34" t="n">
        <f aca="false">B711+C711</f>
        <v>0</v>
      </c>
    </row>
    <row r="712" customFormat="false" ht="12.75" hidden="false" customHeight="true" outlineLevel="0" collapsed="false">
      <c r="A712" s="36" t="s">
        <v>1420</v>
      </c>
      <c r="B712" s="37" t="n">
        <f aca="false">SUM(B705:B711)</f>
        <v>0</v>
      </c>
      <c r="C712" s="37" t="n">
        <f aca="false">SUM(C705:C711)</f>
        <v>0</v>
      </c>
      <c r="D712" s="38"/>
      <c r="E712" s="38"/>
      <c r="F712" s="37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3" t="n">
        <v>46648</v>
      </c>
      <c r="B717" s="34" t="n">
        <f aca="false">SUMIFS(Report!$U:$U,Report!$T:$T,"&lt;&gt;"&amp;"MERCADORIAS P/REVENDA",Report!$AA:$AA,"SIM",Report!$C:$C,A717)</f>
        <v>0</v>
      </c>
      <c r="C717" s="34" t="n">
        <f aca="false">SUMIFS(Report!$U:$U,Report!$T:$T,"MERCADORIAS P/REVENDA",Report!$AA:$AA,"SIM",Report!$C:$C,A717)</f>
        <v>0</v>
      </c>
      <c r="D717" s="35"/>
      <c r="E717" s="35"/>
      <c r="F717" s="34" t="n">
        <f aca="false">B717+C717</f>
        <v>0</v>
      </c>
    </row>
    <row r="718" customFormat="false" ht="12.75" hidden="false" customHeight="true" outlineLevel="0" collapsed="false">
      <c r="A718" s="33" t="n">
        <v>46649</v>
      </c>
      <c r="B718" s="34" t="n">
        <f aca="false">SUMIFS(Report!$U:$U,Report!$T:$T,"&lt;&gt;"&amp;"MERCADORIAS P/REVENDA",Report!$AA:$AA,"SIM",Report!$C:$C,A718)</f>
        <v>0</v>
      </c>
      <c r="C718" s="34" t="n">
        <f aca="false">SUMIFS(Report!$U:$U,Report!$T:$T,"MERCADORIAS P/REVENDA",Report!$AA:$AA,"SIM",Report!$C:$C,A718)</f>
        <v>0</v>
      </c>
      <c r="D718" s="35"/>
      <c r="E718" s="35"/>
      <c r="F718" s="34" t="n">
        <f aca="false">B718+C718</f>
        <v>0</v>
      </c>
    </row>
    <row r="719" customFormat="false" ht="12.75" hidden="false" customHeight="true" outlineLevel="0" collapsed="false">
      <c r="A719" s="33" t="n">
        <v>46650</v>
      </c>
      <c r="B719" s="34" t="n">
        <f aca="false">SUMIFS(Report!$U:$U,Report!$T:$T,"&lt;&gt;"&amp;"MERCADORIAS P/REVENDA",Report!$AA:$AA,"SIM",Report!$C:$C,A719)</f>
        <v>0</v>
      </c>
      <c r="C719" s="34" t="n">
        <f aca="false">SUMIFS(Report!$U:$U,Report!$T:$T,"MERCADORIAS P/REVENDA",Report!$AA:$AA,"SIM",Report!$C:$C,A719)</f>
        <v>0</v>
      </c>
      <c r="D719" s="35"/>
      <c r="E719" s="35"/>
      <c r="F719" s="34" t="n">
        <f aca="false">B719+C719</f>
        <v>0</v>
      </c>
    </row>
    <row r="720" customFormat="false" ht="12.75" hidden="false" customHeight="true" outlineLevel="0" collapsed="false">
      <c r="A720" s="36" t="s">
        <v>1421</v>
      </c>
      <c r="B720" s="37" t="n">
        <f aca="false">SUM(B713:B719)</f>
        <v>0</v>
      </c>
      <c r="C720" s="37" t="n">
        <f aca="false">SUM(C713:C719)</f>
        <v>0</v>
      </c>
      <c r="D720" s="38"/>
      <c r="E720" s="38"/>
      <c r="F720" s="37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3" t="n">
        <v>46655</v>
      </c>
      <c r="B725" s="34" t="n">
        <f aca="false">SUMIFS(Report!$U:$U,Report!$T:$T,"&lt;&gt;"&amp;"MERCADORIAS P/REVENDA",Report!$AA:$AA,"SIM",Report!$C:$C,A725)</f>
        <v>0</v>
      </c>
      <c r="C725" s="34" t="n">
        <f aca="false">SUMIFS(Report!$U:$U,Report!$T:$T,"MERCADORIAS P/REVENDA",Report!$AA:$AA,"SIM",Report!$C:$C,A725)</f>
        <v>0</v>
      </c>
      <c r="D725" s="35"/>
      <c r="E725" s="35"/>
      <c r="F725" s="34" t="n">
        <f aca="false">B725+C725</f>
        <v>0</v>
      </c>
    </row>
    <row r="726" customFormat="false" ht="12.75" hidden="false" customHeight="true" outlineLevel="0" collapsed="false">
      <c r="A726" s="33" t="n">
        <v>46656</v>
      </c>
      <c r="B726" s="34" t="n">
        <f aca="false">SUMIFS(Report!$U:$U,Report!$T:$T,"&lt;&gt;"&amp;"MERCADORIAS P/REVENDA",Report!$AA:$AA,"SIM",Report!$C:$C,A726)</f>
        <v>0</v>
      </c>
      <c r="C726" s="34" t="n">
        <f aca="false">SUMIFS(Report!$U:$U,Report!$T:$T,"MERCADORIAS P/REVENDA",Report!$AA:$AA,"SIM",Report!$C:$C,A726)</f>
        <v>0</v>
      </c>
      <c r="D726" s="35"/>
      <c r="E726" s="35"/>
      <c r="F726" s="34" t="n">
        <f aca="false">B726+C726</f>
        <v>0</v>
      </c>
    </row>
    <row r="727" customFormat="false" ht="12.75" hidden="false" customHeight="true" outlineLevel="0" collapsed="false">
      <c r="A727" s="33" t="n">
        <v>46657</v>
      </c>
      <c r="B727" s="34" t="n">
        <f aca="false">SUMIFS(Report!$U:$U,Report!$T:$T,"&lt;&gt;"&amp;"MERCADORIAS P/REVENDA",Report!$AA:$AA,"SIM",Report!$C:$C,A727)</f>
        <v>0</v>
      </c>
      <c r="C727" s="34" t="n">
        <f aca="false">SUMIFS(Report!$U:$U,Report!$T:$T,"MERCADORIAS P/REVENDA",Report!$AA:$AA,"SIM",Report!$C:$C,A727)</f>
        <v>0</v>
      </c>
      <c r="D727" s="35"/>
      <c r="E727" s="35"/>
      <c r="F727" s="34" t="n">
        <f aca="false">B727+C727</f>
        <v>0</v>
      </c>
    </row>
    <row r="728" customFormat="false" ht="12.75" hidden="false" customHeight="true" outlineLevel="0" collapsed="false">
      <c r="A728" s="36" t="s">
        <v>1422</v>
      </c>
      <c r="B728" s="37" t="n">
        <f aca="false">SUM(B721:B727)</f>
        <v>0</v>
      </c>
      <c r="C728" s="37" t="n">
        <f aca="false">SUM(C721:C727)</f>
        <v>0</v>
      </c>
      <c r="D728" s="38"/>
      <c r="E728" s="38"/>
      <c r="F728" s="37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3" t="n">
        <v>46662</v>
      </c>
      <c r="B733" s="34" t="n">
        <f aca="false">SUMIFS(Report!$U:$U,Report!$T:$T,"&lt;&gt;"&amp;"MERCADORIAS P/REVENDA",Report!$AA:$AA,"SIM",Report!$C:$C,A733)</f>
        <v>0</v>
      </c>
      <c r="C733" s="34" t="n">
        <f aca="false">SUMIFS(Report!$U:$U,Report!$T:$T,"MERCADORIAS P/REVENDA",Report!$AA:$AA,"SIM",Report!$C:$C,A733)</f>
        <v>0</v>
      </c>
      <c r="D733" s="35"/>
      <c r="E733" s="35"/>
      <c r="F733" s="34" t="n">
        <f aca="false">B733+C733</f>
        <v>0</v>
      </c>
    </row>
    <row r="734" customFormat="false" ht="12.75" hidden="false" customHeight="true" outlineLevel="0" collapsed="false">
      <c r="A734" s="33" t="n">
        <v>46663</v>
      </c>
      <c r="B734" s="34" t="n">
        <f aca="false">SUMIFS(Report!$U:$U,Report!$T:$T,"&lt;&gt;"&amp;"MERCADORIAS P/REVENDA",Report!$AA:$AA,"SIM",Report!$C:$C,A734)</f>
        <v>0</v>
      </c>
      <c r="C734" s="34" t="n">
        <f aca="false">SUMIFS(Report!$U:$U,Report!$T:$T,"MERCADORIAS P/REVENDA",Report!$AA:$AA,"SIM",Report!$C:$C,A734)</f>
        <v>0</v>
      </c>
      <c r="D734" s="35"/>
      <c r="E734" s="35"/>
      <c r="F734" s="34" t="n">
        <f aca="false">B734+C734</f>
        <v>0</v>
      </c>
    </row>
    <row r="735" customFormat="false" ht="12.75" hidden="false" customHeight="true" outlineLevel="0" collapsed="false">
      <c r="A735" s="33" t="n">
        <v>46664</v>
      </c>
      <c r="B735" s="34" t="n">
        <f aca="false">SUMIFS(Report!$U:$U,Report!$T:$T,"&lt;&gt;"&amp;"MERCADORIAS P/REVENDA",Report!$AA:$AA,"SIM",Report!$C:$C,A735)</f>
        <v>0</v>
      </c>
      <c r="C735" s="34" t="n">
        <f aca="false">SUMIFS(Report!$U:$U,Report!$T:$T,"MERCADORIAS P/REVENDA",Report!$AA:$AA,"SIM",Report!$C:$C,A735)</f>
        <v>0</v>
      </c>
      <c r="D735" s="35"/>
      <c r="E735" s="35"/>
      <c r="F735" s="34" t="n">
        <f aca="false">B735+C735</f>
        <v>0</v>
      </c>
    </row>
    <row r="736" customFormat="false" ht="12.75" hidden="false" customHeight="true" outlineLevel="0" collapsed="false">
      <c r="A736" s="36" t="s">
        <v>1423</v>
      </c>
      <c r="B736" s="37" t="n">
        <f aca="false">SUM(B729:B735)</f>
        <v>0</v>
      </c>
      <c r="C736" s="37" t="n">
        <f aca="false">SUM(C729:C735)</f>
        <v>0</v>
      </c>
      <c r="D736" s="38"/>
      <c r="E736" s="38"/>
      <c r="F736" s="37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3" t="n">
        <v>46669</v>
      </c>
      <c r="B741" s="34" t="n">
        <f aca="false">SUMIFS(Report!$U:$U,Report!$T:$T,"&lt;&gt;"&amp;"MERCADORIAS P/REVENDA",Report!$AA:$AA,"SIM",Report!$C:$C,A741)</f>
        <v>0</v>
      </c>
      <c r="C741" s="34" t="n">
        <f aca="false">SUMIFS(Report!$U:$U,Report!$T:$T,"MERCADORIAS P/REVENDA",Report!$AA:$AA,"SIM",Report!$C:$C,A741)</f>
        <v>0</v>
      </c>
      <c r="D741" s="35"/>
      <c r="E741" s="35"/>
      <c r="F741" s="34" t="n">
        <f aca="false">B741+C741</f>
        <v>0</v>
      </c>
    </row>
    <row r="742" customFormat="false" ht="12.75" hidden="false" customHeight="true" outlineLevel="0" collapsed="false">
      <c r="A742" s="33" t="n">
        <v>46670</v>
      </c>
      <c r="B742" s="34" t="n">
        <f aca="false">SUMIFS(Report!$U:$U,Report!$T:$T,"&lt;&gt;"&amp;"MERCADORIAS P/REVENDA",Report!$AA:$AA,"SIM",Report!$C:$C,A742)</f>
        <v>0</v>
      </c>
      <c r="C742" s="34" t="n">
        <f aca="false">SUMIFS(Report!$U:$U,Report!$T:$T,"MERCADORIAS P/REVENDA",Report!$AA:$AA,"SIM",Report!$C:$C,A742)</f>
        <v>0</v>
      </c>
      <c r="D742" s="35"/>
      <c r="E742" s="35"/>
      <c r="F742" s="34" t="n">
        <f aca="false">B742+C742</f>
        <v>0</v>
      </c>
    </row>
    <row r="743" customFormat="false" ht="12.75" hidden="false" customHeight="true" outlineLevel="0" collapsed="false">
      <c r="A743" s="33" t="n">
        <v>46671</v>
      </c>
      <c r="B743" s="34" t="n">
        <f aca="false">SUMIFS(Report!$U:$U,Report!$T:$T,"&lt;&gt;"&amp;"MERCADORIAS P/REVENDA",Report!$AA:$AA,"SIM",Report!$C:$C,A743)</f>
        <v>0</v>
      </c>
      <c r="C743" s="34" t="n">
        <f aca="false">SUMIFS(Report!$U:$U,Report!$T:$T,"MERCADORIAS P/REVENDA",Report!$AA:$AA,"SIM",Report!$C:$C,A743)</f>
        <v>0</v>
      </c>
      <c r="D743" s="35"/>
      <c r="E743" s="35"/>
      <c r="F743" s="34" t="n">
        <f aca="false">B743+C743</f>
        <v>0</v>
      </c>
    </row>
    <row r="744" customFormat="false" ht="12.75" hidden="false" customHeight="true" outlineLevel="0" collapsed="false">
      <c r="A744" s="36" t="s">
        <v>1424</v>
      </c>
      <c r="B744" s="37" t="n">
        <f aca="false">SUM(B737:B743)</f>
        <v>0</v>
      </c>
      <c r="C744" s="37" t="n">
        <f aca="false">SUM(C737:C743)</f>
        <v>0</v>
      </c>
      <c r="D744" s="38"/>
      <c r="E744" s="38"/>
      <c r="F744" s="37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3" t="n">
        <v>46676</v>
      </c>
      <c r="B749" s="34" t="n">
        <f aca="false">SUMIFS(Report!$U:$U,Report!$T:$T,"&lt;&gt;"&amp;"MERCADORIAS P/REVENDA",Report!$AA:$AA,"SIM",Report!$C:$C,A749)</f>
        <v>0</v>
      </c>
      <c r="C749" s="34" t="n">
        <f aca="false">SUMIFS(Report!$U:$U,Report!$T:$T,"MERCADORIAS P/REVENDA",Report!$AA:$AA,"SIM",Report!$C:$C,A749)</f>
        <v>0</v>
      </c>
      <c r="D749" s="35"/>
      <c r="E749" s="35"/>
      <c r="F749" s="34" t="n">
        <f aca="false">B749+C749</f>
        <v>0</v>
      </c>
    </row>
    <row r="750" customFormat="false" ht="12.75" hidden="false" customHeight="true" outlineLevel="0" collapsed="false">
      <c r="A750" s="33" t="n">
        <v>46677</v>
      </c>
      <c r="B750" s="34" t="n">
        <f aca="false">SUMIFS(Report!$U:$U,Report!$T:$T,"&lt;&gt;"&amp;"MERCADORIAS P/REVENDA",Report!$AA:$AA,"SIM",Report!$C:$C,A750)</f>
        <v>0</v>
      </c>
      <c r="C750" s="34" t="n">
        <f aca="false">SUMIFS(Report!$U:$U,Report!$T:$T,"MERCADORIAS P/REVENDA",Report!$AA:$AA,"SIM",Report!$C:$C,A750)</f>
        <v>0</v>
      </c>
      <c r="D750" s="35"/>
      <c r="E750" s="35"/>
      <c r="F750" s="34" t="n">
        <f aca="false">B750+C750</f>
        <v>0</v>
      </c>
    </row>
    <row r="751" customFormat="false" ht="12.75" hidden="false" customHeight="true" outlineLevel="0" collapsed="false">
      <c r="A751" s="33" t="n">
        <v>46678</v>
      </c>
      <c r="B751" s="34" t="n">
        <f aca="false">SUMIFS(Report!$U:$U,Report!$T:$T,"&lt;&gt;"&amp;"MERCADORIAS P/REVENDA",Report!$AA:$AA,"SIM",Report!$C:$C,A751)</f>
        <v>0</v>
      </c>
      <c r="C751" s="34" t="n">
        <f aca="false">SUMIFS(Report!$U:$U,Report!$T:$T,"MERCADORIAS P/REVENDA",Report!$AA:$AA,"SIM",Report!$C:$C,A751)</f>
        <v>0</v>
      </c>
      <c r="D751" s="35"/>
      <c r="E751" s="35"/>
      <c r="F751" s="34" t="n">
        <f aca="false">B751+C751</f>
        <v>0</v>
      </c>
    </row>
    <row r="752" customFormat="false" ht="12.75" hidden="false" customHeight="true" outlineLevel="0" collapsed="false">
      <c r="A752" s="36" t="s">
        <v>1425</v>
      </c>
      <c r="B752" s="37" t="n">
        <f aca="false">SUM(B745:B751)</f>
        <v>0</v>
      </c>
      <c r="C752" s="37" t="n">
        <f aca="false">SUM(C745:C751)</f>
        <v>0</v>
      </c>
      <c r="D752" s="38"/>
      <c r="E752" s="38"/>
      <c r="F752" s="37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3" t="n">
        <v>46683</v>
      </c>
      <c r="B757" s="34" t="n">
        <f aca="false">SUMIFS(Report!$U:$U,Report!$T:$T,"&lt;&gt;"&amp;"MERCADORIAS P/REVENDA",Report!$AA:$AA,"SIM",Report!$C:$C,A757)</f>
        <v>0</v>
      </c>
      <c r="C757" s="34" t="n">
        <f aca="false">SUMIFS(Report!$U:$U,Report!$T:$T,"MERCADORIAS P/REVENDA",Report!$AA:$AA,"SIM",Report!$C:$C,A757)</f>
        <v>0</v>
      </c>
      <c r="D757" s="35"/>
      <c r="E757" s="35"/>
      <c r="F757" s="34" t="n">
        <f aca="false">B757+C757</f>
        <v>0</v>
      </c>
    </row>
    <row r="758" customFormat="false" ht="12.75" hidden="false" customHeight="true" outlineLevel="0" collapsed="false">
      <c r="A758" s="33" t="n">
        <v>46684</v>
      </c>
      <c r="B758" s="34" t="n">
        <f aca="false">SUMIFS(Report!$U:$U,Report!$T:$T,"&lt;&gt;"&amp;"MERCADORIAS P/REVENDA",Report!$AA:$AA,"SIM",Report!$C:$C,A758)</f>
        <v>0</v>
      </c>
      <c r="C758" s="34" t="n">
        <f aca="false">SUMIFS(Report!$U:$U,Report!$T:$T,"MERCADORIAS P/REVENDA",Report!$AA:$AA,"SIM",Report!$C:$C,A758)</f>
        <v>0</v>
      </c>
      <c r="D758" s="35"/>
      <c r="E758" s="35"/>
      <c r="F758" s="34" t="n">
        <f aca="false">B758+C758</f>
        <v>0</v>
      </c>
    </row>
    <row r="759" customFormat="false" ht="12.75" hidden="false" customHeight="true" outlineLevel="0" collapsed="false">
      <c r="A759" s="33" t="n">
        <v>46685</v>
      </c>
      <c r="B759" s="34" t="n">
        <f aca="false">SUMIFS(Report!$U:$U,Report!$T:$T,"&lt;&gt;"&amp;"MERCADORIAS P/REVENDA",Report!$AA:$AA,"SIM",Report!$C:$C,A759)</f>
        <v>0</v>
      </c>
      <c r="C759" s="34" t="n">
        <f aca="false">SUMIFS(Report!$U:$U,Report!$T:$T,"MERCADORIAS P/REVENDA",Report!$AA:$AA,"SIM",Report!$C:$C,A759)</f>
        <v>0</v>
      </c>
      <c r="D759" s="35"/>
      <c r="E759" s="35"/>
      <c r="F759" s="34" t="n">
        <f aca="false">B759+C759</f>
        <v>0</v>
      </c>
    </row>
    <row r="760" customFormat="false" ht="12.75" hidden="false" customHeight="true" outlineLevel="0" collapsed="false">
      <c r="A760" s="36" t="s">
        <v>1426</v>
      </c>
      <c r="B760" s="37" t="n">
        <f aca="false">SUM(B753:B759)</f>
        <v>0</v>
      </c>
      <c r="C760" s="37" t="n">
        <f aca="false">SUM(C753:C759)</f>
        <v>0</v>
      </c>
      <c r="D760" s="38"/>
      <c r="E760" s="38"/>
      <c r="F760" s="37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3" t="n">
        <v>46690</v>
      </c>
      <c r="B765" s="34" t="n">
        <f aca="false">SUMIFS(Report!$U:$U,Report!$T:$T,"&lt;&gt;"&amp;"MERCADORIAS P/REVENDA",Report!$AA:$AA,"SIM",Report!$C:$C,A765)</f>
        <v>0</v>
      </c>
      <c r="C765" s="34" t="n">
        <f aca="false">SUMIFS(Report!$U:$U,Report!$T:$T,"MERCADORIAS P/REVENDA",Report!$AA:$AA,"SIM",Report!$C:$C,A765)</f>
        <v>0</v>
      </c>
      <c r="D765" s="35"/>
      <c r="E765" s="35"/>
      <c r="F765" s="34" t="n">
        <f aca="false">B765+C765</f>
        <v>0</v>
      </c>
    </row>
    <row r="766" customFormat="false" ht="12.75" hidden="false" customHeight="true" outlineLevel="0" collapsed="false">
      <c r="A766" s="33" t="n">
        <v>46691</v>
      </c>
      <c r="B766" s="34" t="n">
        <f aca="false">SUMIFS(Report!$U:$U,Report!$T:$T,"&lt;&gt;"&amp;"MERCADORIAS P/REVENDA",Report!$AA:$AA,"SIM",Report!$C:$C,A766)</f>
        <v>0</v>
      </c>
      <c r="C766" s="34" t="n">
        <f aca="false">SUMIFS(Report!$U:$U,Report!$T:$T,"MERCADORIAS P/REVENDA",Report!$AA:$AA,"SIM",Report!$C:$C,A766)</f>
        <v>0</v>
      </c>
      <c r="D766" s="35"/>
      <c r="E766" s="35"/>
      <c r="F766" s="34" t="n">
        <f aca="false">B766+C766</f>
        <v>0</v>
      </c>
    </row>
    <row r="767" customFormat="false" ht="12.75" hidden="false" customHeight="true" outlineLevel="0" collapsed="false">
      <c r="A767" s="33" t="n">
        <v>46692</v>
      </c>
      <c r="B767" s="34" t="n">
        <f aca="false">SUMIFS(Report!$U:$U,Report!$T:$T,"&lt;&gt;"&amp;"MERCADORIAS P/REVENDA",Report!$AA:$AA,"SIM",Report!$C:$C,A767)</f>
        <v>0</v>
      </c>
      <c r="C767" s="34" t="n">
        <f aca="false">SUMIFS(Report!$U:$U,Report!$T:$T,"MERCADORIAS P/REVENDA",Report!$AA:$AA,"SIM",Report!$C:$C,A767)</f>
        <v>0</v>
      </c>
      <c r="D767" s="35"/>
      <c r="E767" s="35"/>
      <c r="F767" s="34" t="n">
        <f aca="false">B767+C767</f>
        <v>0</v>
      </c>
    </row>
    <row r="768" customFormat="false" ht="12.75" hidden="false" customHeight="true" outlineLevel="0" collapsed="false">
      <c r="A768" s="36" t="s">
        <v>1427</v>
      </c>
      <c r="B768" s="37" t="n">
        <f aca="false">SUM(B761:B767)</f>
        <v>0</v>
      </c>
      <c r="C768" s="37" t="n">
        <f aca="false">SUM(C761:C767)</f>
        <v>0</v>
      </c>
      <c r="D768" s="38"/>
      <c r="E768" s="38"/>
      <c r="F768" s="37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3" t="n">
        <v>46697</v>
      </c>
      <c r="B773" s="34" t="n">
        <f aca="false">SUMIFS(Report!$U:$U,Report!$T:$T,"&lt;&gt;"&amp;"MERCADORIAS P/REVENDA",Report!$AA:$AA,"SIM",Report!$C:$C,A773)</f>
        <v>0</v>
      </c>
      <c r="C773" s="34" t="n">
        <f aca="false">SUMIFS(Report!$U:$U,Report!$T:$T,"MERCADORIAS P/REVENDA",Report!$AA:$AA,"SIM",Report!$C:$C,A773)</f>
        <v>0</v>
      </c>
      <c r="D773" s="35"/>
      <c r="E773" s="35"/>
      <c r="F773" s="34" t="n">
        <f aca="false">B773+C773</f>
        <v>0</v>
      </c>
    </row>
    <row r="774" customFormat="false" ht="12.75" hidden="false" customHeight="true" outlineLevel="0" collapsed="false">
      <c r="A774" s="33" t="n">
        <v>46698</v>
      </c>
      <c r="B774" s="34" t="n">
        <f aca="false">SUMIFS(Report!$U:$U,Report!$T:$T,"&lt;&gt;"&amp;"MERCADORIAS P/REVENDA",Report!$AA:$AA,"SIM",Report!$C:$C,A774)</f>
        <v>0</v>
      </c>
      <c r="C774" s="34" t="n">
        <f aca="false">SUMIFS(Report!$U:$U,Report!$T:$T,"MERCADORIAS P/REVENDA",Report!$AA:$AA,"SIM",Report!$C:$C,A774)</f>
        <v>0</v>
      </c>
      <c r="D774" s="35"/>
      <c r="E774" s="35"/>
      <c r="F774" s="34" t="n">
        <f aca="false">B774+C774</f>
        <v>0</v>
      </c>
    </row>
    <row r="775" customFormat="false" ht="12.75" hidden="false" customHeight="true" outlineLevel="0" collapsed="false">
      <c r="A775" s="33" t="n">
        <v>46699</v>
      </c>
      <c r="B775" s="34" t="n">
        <f aca="false">SUMIFS(Report!$U:$U,Report!$T:$T,"&lt;&gt;"&amp;"MERCADORIAS P/REVENDA",Report!$AA:$AA,"SIM",Report!$C:$C,A775)</f>
        <v>0</v>
      </c>
      <c r="C775" s="34" t="n">
        <f aca="false">SUMIFS(Report!$U:$U,Report!$T:$T,"MERCADORIAS P/REVENDA",Report!$AA:$AA,"SIM",Report!$C:$C,A775)</f>
        <v>0</v>
      </c>
      <c r="D775" s="35"/>
      <c r="E775" s="35"/>
      <c r="F775" s="34" t="n">
        <f aca="false">B775+C775</f>
        <v>0</v>
      </c>
    </row>
    <row r="776" customFormat="false" ht="12.75" hidden="false" customHeight="true" outlineLevel="0" collapsed="false">
      <c r="A776" s="36" t="s">
        <v>1428</v>
      </c>
      <c r="B776" s="37" t="n">
        <f aca="false">SUM(B769:B775)</f>
        <v>0</v>
      </c>
      <c r="C776" s="37" t="n">
        <f aca="false">SUM(C769:C775)</f>
        <v>0</v>
      </c>
      <c r="D776" s="38"/>
      <c r="E776" s="38"/>
      <c r="F776" s="37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3" t="n">
        <v>46704</v>
      </c>
      <c r="B781" s="34" t="n">
        <f aca="false">SUMIFS(Report!$U:$U,Report!$T:$T,"&lt;&gt;"&amp;"MERCADORIAS P/REVENDA",Report!$AA:$AA,"SIM",Report!$C:$C,A781)</f>
        <v>0</v>
      </c>
      <c r="C781" s="34" t="n">
        <f aca="false">SUMIFS(Report!$U:$U,Report!$T:$T,"MERCADORIAS P/REVENDA",Report!$AA:$AA,"SIM",Report!$C:$C,A781)</f>
        <v>0</v>
      </c>
      <c r="D781" s="35"/>
      <c r="E781" s="35"/>
      <c r="F781" s="34" t="n">
        <f aca="false">B781+C781</f>
        <v>0</v>
      </c>
    </row>
    <row r="782" customFormat="false" ht="12.75" hidden="false" customHeight="true" outlineLevel="0" collapsed="false">
      <c r="A782" s="33" t="n">
        <v>46705</v>
      </c>
      <c r="B782" s="34" t="n">
        <f aca="false">SUMIFS(Report!$U:$U,Report!$T:$T,"&lt;&gt;"&amp;"MERCADORIAS P/REVENDA",Report!$AA:$AA,"SIM",Report!$C:$C,A782)</f>
        <v>0</v>
      </c>
      <c r="C782" s="34" t="n">
        <f aca="false">SUMIFS(Report!$U:$U,Report!$T:$T,"MERCADORIAS P/REVENDA",Report!$AA:$AA,"SIM",Report!$C:$C,A782)</f>
        <v>0</v>
      </c>
      <c r="D782" s="35"/>
      <c r="E782" s="35"/>
      <c r="F782" s="34" t="n">
        <f aca="false">B782+C782</f>
        <v>0</v>
      </c>
    </row>
    <row r="783" customFormat="false" ht="12.75" hidden="false" customHeight="true" outlineLevel="0" collapsed="false">
      <c r="A783" s="33" t="n">
        <v>46706</v>
      </c>
      <c r="B783" s="34" t="n">
        <f aca="false">SUMIFS(Report!$U:$U,Report!$T:$T,"&lt;&gt;"&amp;"MERCADORIAS P/REVENDA",Report!$AA:$AA,"SIM",Report!$C:$C,A783)</f>
        <v>0</v>
      </c>
      <c r="C783" s="34" t="n">
        <f aca="false">SUMIFS(Report!$U:$U,Report!$T:$T,"MERCADORIAS P/REVENDA",Report!$AA:$AA,"SIM",Report!$C:$C,A783)</f>
        <v>0</v>
      </c>
      <c r="D783" s="35"/>
      <c r="E783" s="35"/>
      <c r="F783" s="34" t="n">
        <f aca="false">B783+C783</f>
        <v>0</v>
      </c>
    </row>
    <row r="784" customFormat="false" ht="12.75" hidden="false" customHeight="true" outlineLevel="0" collapsed="false">
      <c r="A784" s="36" t="s">
        <v>1429</v>
      </c>
      <c r="B784" s="37" t="n">
        <f aca="false">SUM(B777:B783)</f>
        <v>0</v>
      </c>
      <c r="C784" s="37" t="n">
        <f aca="false">SUM(C777:C783)</f>
        <v>0</v>
      </c>
      <c r="D784" s="38"/>
      <c r="E784" s="38"/>
      <c r="F784" s="37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3" t="n">
        <v>46711</v>
      </c>
      <c r="B789" s="34" t="n">
        <f aca="false">SUMIFS(Report!$U:$U,Report!$T:$T,"&lt;&gt;"&amp;"MERCADORIAS P/REVENDA",Report!$AA:$AA,"SIM",Report!$C:$C,A789)</f>
        <v>0</v>
      </c>
      <c r="C789" s="34" t="n">
        <f aca="false">SUMIFS(Report!$U:$U,Report!$T:$T,"MERCADORIAS P/REVENDA",Report!$AA:$AA,"SIM",Report!$C:$C,A789)</f>
        <v>0</v>
      </c>
      <c r="D789" s="35"/>
      <c r="E789" s="35"/>
      <c r="F789" s="34" t="n">
        <f aca="false">B789+C789</f>
        <v>0</v>
      </c>
    </row>
    <row r="790" customFormat="false" ht="12.75" hidden="false" customHeight="true" outlineLevel="0" collapsed="false">
      <c r="A790" s="33" t="n">
        <v>46712</v>
      </c>
      <c r="B790" s="34" t="n">
        <f aca="false">SUMIFS(Report!$U:$U,Report!$T:$T,"&lt;&gt;"&amp;"MERCADORIAS P/REVENDA",Report!$AA:$AA,"SIM",Report!$C:$C,A790)</f>
        <v>0</v>
      </c>
      <c r="C790" s="34" t="n">
        <f aca="false">SUMIFS(Report!$U:$U,Report!$T:$T,"MERCADORIAS P/REVENDA",Report!$AA:$AA,"SIM",Report!$C:$C,A790)</f>
        <v>0</v>
      </c>
      <c r="D790" s="35"/>
      <c r="E790" s="35"/>
      <c r="F790" s="34" t="n">
        <f aca="false">B790+C790</f>
        <v>0</v>
      </c>
    </row>
    <row r="791" customFormat="false" ht="12.75" hidden="false" customHeight="true" outlineLevel="0" collapsed="false">
      <c r="A791" s="33" t="n">
        <v>46713</v>
      </c>
      <c r="B791" s="34" t="n">
        <f aca="false">SUMIFS(Report!$U:$U,Report!$T:$T,"&lt;&gt;"&amp;"MERCADORIAS P/REVENDA",Report!$AA:$AA,"SIM",Report!$C:$C,A791)</f>
        <v>0</v>
      </c>
      <c r="C791" s="34" t="n">
        <f aca="false">SUMIFS(Report!$U:$U,Report!$T:$T,"MERCADORIAS P/REVENDA",Report!$AA:$AA,"SIM",Report!$C:$C,A791)</f>
        <v>0</v>
      </c>
      <c r="D791" s="35"/>
      <c r="E791" s="35"/>
      <c r="F791" s="34" t="n">
        <f aca="false">B791+C791</f>
        <v>0</v>
      </c>
    </row>
    <row r="792" customFormat="false" ht="12.75" hidden="false" customHeight="true" outlineLevel="0" collapsed="false">
      <c r="A792" s="36" t="s">
        <v>1430</v>
      </c>
      <c r="B792" s="37" t="n">
        <f aca="false">SUM(B785:B791)</f>
        <v>0</v>
      </c>
      <c r="C792" s="37" t="n">
        <f aca="false">SUM(C785:C791)</f>
        <v>0</v>
      </c>
      <c r="D792" s="38"/>
      <c r="E792" s="38"/>
      <c r="F792" s="37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3" t="n">
        <v>46718</v>
      </c>
      <c r="B797" s="34" t="n">
        <f aca="false">SUMIFS(Report!$U:$U,Report!$T:$T,"&lt;&gt;"&amp;"MERCADORIAS P/REVENDA",Report!$AA:$AA,"SIM",Report!$C:$C,A797)</f>
        <v>0</v>
      </c>
      <c r="C797" s="34" t="n">
        <f aca="false">SUMIFS(Report!$U:$U,Report!$T:$T,"MERCADORIAS P/REVENDA",Report!$AA:$AA,"SIM",Report!$C:$C,A797)</f>
        <v>0</v>
      </c>
      <c r="D797" s="35"/>
      <c r="E797" s="35"/>
      <c r="F797" s="34" t="n">
        <f aca="false">B797+C797</f>
        <v>0</v>
      </c>
    </row>
    <row r="798" customFormat="false" ht="12.75" hidden="false" customHeight="true" outlineLevel="0" collapsed="false">
      <c r="A798" s="33" t="n">
        <v>46719</v>
      </c>
      <c r="B798" s="34" t="n">
        <f aca="false">SUMIFS(Report!$U:$U,Report!$T:$T,"&lt;&gt;"&amp;"MERCADORIAS P/REVENDA",Report!$AA:$AA,"SIM",Report!$C:$C,A798)</f>
        <v>0</v>
      </c>
      <c r="C798" s="34" t="n">
        <f aca="false">SUMIFS(Report!$U:$U,Report!$T:$T,"MERCADORIAS P/REVENDA",Report!$AA:$AA,"SIM",Report!$C:$C,A798)</f>
        <v>0</v>
      </c>
      <c r="D798" s="35"/>
      <c r="E798" s="35"/>
      <c r="F798" s="34" t="n">
        <f aca="false">B798+C798</f>
        <v>0</v>
      </c>
    </row>
    <row r="799" customFormat="false" ht="12.75" hidden="false" customHeight="true" outlineLevel="0" collapsed="false">
      <c r="A799" s="33" t="n">
        <v>46720</v>
      </c>
      <c r="B799" s="34" t="n">
        <f aca="false">SUMIFS(Report!$U:$U,Report!$T:$T,"&lt;&gt;"&amp;"MERCADORIAS P/REVENDA",Report!$AA:$AA,"SIM",Report!$C:$C,A799)</f>
        <v>0</v>
      </c>
      <c r="C799" s="34" t="n">
        <f aca="false">SUMIFS(Report!$U:$U,Report!$T:$T,"MERCADORIAS P/REVENDA",Report!$AA:$AA,"SIM",Report!$C:$C,A799)</f>
        <v>0</v>
      </c>
      <c r="D799" s="35"/>
      <c r="E799" s="35"/>
      <c r="F799" s="34" t="n">
        <f aca="false">B799+C799</f>
        <v>0</v>
      </c>
    </row>
    <row r="800" customFormat="false" ht="12.75" hidden="false" customHeight="true" outlineLevel="0" collapsed="false">
      <c r="A800" s="36" t="s">
        <v>1431</v>
      </c>
      <c r="B800" s="37" t="n">
        <f aca="false">SUM(B793:B799)</f>
        <v>0</v>
      </c>
      <c r="C800" s="37" t="n">
        <f aca="false">SUM(C793:C799)</f>
        <v>0</v>
      </c>
      <c r="D800" s="38"/>
      <c r="E800" s="38"/>
      <c r="F800" s="37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3" t="n">
        <v>46725</v>
      </c>
      <c r="B805" s="34" t="n">
        <f aca="false">SUMIFS(Report!$U:$U,Report!$T:$T,"&lt;&gt;"&amp;"MERCADORIAS P/REVENDA",Report!$AA:$AA,"SIM",Report!$C:$C,A805)</f>
        <v>0</v>
      </c>
      <c r="C805" s="34" t="n">
        <f aca="false">SUMIFS(Report!$U:$U,Report!$T:$T,"MERCADORIAS P/REVENDA",Report!$AA:$AA,"SIM",Report!$C:$C,A805)</f>
        <v>0</v>
      </c>
      <c r="D805" s="35"/>
      <c r="E805" s="35"/>
      <c r="F805" s="34" t="n">
        <f aca="false">B805+C805</f>
        <v>0</v>
      </c>
    </row>
    <row r="806" customFormat="false" ht="12.75" hidden="false" customHeight="true" outlineLevel="0" collapsed="false">
      <c r="A806" s="33" t="n">
        <v>46726</v>
      </c>
      <c r="B806" s="34" t="n">
        <f aca="false">SUMIFS(Report!$U:$U,Report!$T:$T,"&lt;&gt;"&amp;"MERCADORIAS P/REVENDA",Report!$AA:$AA,"SIM",Report!$C:$C,A806)</f>
        <v>0</v>
      </c>
      <c r="C806" s="34" t="n">
        <f aca="false">SUMIFS(Report!$U:$U,Report!$T:$T,"MERCADORIAS P/REVENDA",Report!$AA:$AA,"SIM",Report!$C:$C,A806)</f>
        <v>0</v>
      </c>
      <c r="D806" s="35"/>
      <c r="E806" s="35"/>
      <c r="F806" s="34" t="n">
        <f aca="false">B806+C806</f>
        <v>0</v>
      </c>
    </row>
    <row r="807" customFormat="false" ht="12.75" hidden="false" customHeight="true" outlineLevel="0" collapsed="false">
      <c r="A807" s="33" t="n">
        <v>46727</v>
      </c>
      <c r="B807" s="34" t="n">
        <f aca="false">SUMIFS(Report!$U:$U,Report!$T:$T,"&lt;&gt;"&amp;"MERCADORIAS P/REVENDA",Report!$AA:$AA,"SIM",Report!$C:$C,A807)</f>
        <v>0</v>
      </c>
      <c r="C807" s="34" t="n">
        <f aca="false">SUMIFS(Report!$U:$U,Report!$T:$T,"MERCADORIAS P/REVENDA",Report!$AA:$AA,"SIM",Report!$C:$C,A807)</f>
        <v>0</v>
      </c>
      <c r="D807" s="35"/>
      <c r="E807" s="35"/>
      <c r="F807" s="34" t="n">
        <f aca="false">B807+C807</f>
        <v>0</v>
      </c>
    </row>
    <row r="808" customFormat="false" ht="12.75" hidden="false" customHeight="true" outlineLevel="0" collapsed="false">
      <c r="A808" s="36" t="s">
        <v>1432</v>
      </c>
      <c r="B808" s="37" t="n">
        <f aca="false">SUM(B801:B807)</f>
        <v>0</v>
      </c>
      <c r="C808" s="37" t="n">
        <f aca="false">SUM(C801:C807)</f>
        <v>0</v>
      </c>
      <c r="D808" s="38"/>
      <c r="E808" s="38"/>
      <c r="F808" s="37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3" t="n">
        <v>46732</v>
      </c>
      <c r="B813" s="34" t="n">
        <f aca="false">SUMIFS(Report!$U:$U,Report!$T:$T,"&lt;&gt;"&amp;"MERCADORIAS P/REVENDA",Report!$AA:$AA,"SIM",Report!$C:$C,A813)</f>
        <v>0</v>
      </c>
      <c r="C813" s="34" t="n">
        <f aca="false">SUMIFS(Report!$U:$U,Report!$T:$T,"MERCADORIAS P/REVENDA",Report!$AA:$AA,"SIM",Report!$C:$C,A813)</f>
        <v>0</v>
      </c>
      <c r="D813" s="35"/>
      <c r="E813" s="35"/>
      <c r="F813" s="34" t="n">
        <f aca="false">B813+C813</f>
        <v>0</v>
      </c>
    </row>
    <row r="814" customFormat="false" ht="12.75" hidden="false" customHeight="true" outlineLevel="0" collapsed="false">
      <c r="A814" s="33" t="n">
        <v>46733</v>
      </c>
      <c r="B814" s="34" t="n">
        <f aca="false">SUMIFS(Report!$U:$U,Report!$T:$T,"&lt;&gt;"&amp;"MERCADORIAS P/REVENDA",Report!$AA:$AA,"SIM",Report!$C:$C,A814)</f>
        <v>0</v>
      </c>
      <c r="C814" s="34" t="n">
        <f aca="false">SUMIFS(Report!$U:$U,Report!$T:$T,"MERCADORIAS P/REVENDA",Report!$AA:$AA,"SIM",Report!$C:$C,A814)</f>
        <v>0</v>
      </c>
      <c r="D814" s="35"/>
      <c r="E814" s="35"/>
      <c r="F814" s="34" t="n">
        <f aca="false">B814+C814</f>
        <v>0</v>
      </c>
    </row>
    <row r="815" customFormat="false" ht="12.75" hidden="false" customHeight="true" outlineLevel="0" collapsed="false">
      <c r="A815" s="33" t="n">
        <v>46734</v>
      </c>
      <c r="B815" s="34" t="n">
        <f aca="false">SUMIFS(Report!$U:$U,Report!$T:$T,"&lt;&gt;"&amp;"MERCADORIAS P/REVENDA",Report!$AA:$AA,"SIM",Report!$C:$C,A815)</f>
        <v>0</v>
      </c>
      <c r="C815" s="34" t="n">
        <f aca="false">SUMIFS(Report!$U:$U,Report!$T:$T,"MERCADORIAS P/REVENDA",Report!$AA:$AA,"SIM",Report!$C:$C,A815)</f>
        <v>0</v>
      </c>
      <c r="D815" s="35"/>
      <c r="E815" s="35"/>
      <c r="F815" s="34" t="n">
        <f aca="false">B815+C815</f>
        <v>0</v>
      </c>
    </row>
    <row r="816" customFormat="false" ht="12.75" hidden="false" customHeight="true" outlineLevel="0" collapsed="false">
      <c r="A816" s="36" t="s">
        <v>1433</v>
      </c>
      <c r="B816" s="37" t="n">
        <f aca="false">SUM(B809:B815)</f>
        <v>0</v>
      </c>
      <c r="C816" s="37" t="n">
        <f aca="false">SUM(C809:C815)</f>
        <v>0</v>
      </c>
      <c r="D816" s="38"/>
      <c r="E816" s="38"/>
      <c r="F816" s="37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3" t="n">
        <v>46739</v>
      </c>
      <c r="B821" s="34" t="n">
        <f aca="false">SUMIFS(Report!$U:$U,Report!$T:$T,"&lt;&gt;"&amp;"MERCADORIAS P/REVENDA",Report!$AA:$AA,"SIM",Report!$C:$C,A821)</f>
        <v>0</v>
      </c>
      <c r="C821" s="34" t="n">
        <f aca="false">SUMIFS(Report!$U:$U,Report!$T:$T,"MERCADORIAS P/REVENDA",Report!$AA:$AA,"SIM",Report!$C:$C,A821)</f>
        <v>0</v>
      </c>
      <c r="D821" s="35"/>
      <c r="E821" s="35"/>
      <c r="F821" s="34" t="n">
        <f aca="false">B821+C821</f>
        <v>0</v>
      </c>
    </row>
    <row r="822" customFormat="false" ht="12.75" hidden="false" customHeight="true" outlineLevel="0" collapsed="false">
      <c r="A822" s="33" t="n">
        <v>46740</v>
      </c>
      <c r="B822" s="34" t="n">
        <f aca="false">SUMIFS(Report!$U:$U,Report!$T:$T,"&lt;&gt;"&amp;"MERCADORIAS P/REVENDA",Report!$AA:$AA,"SIM",Report!$C:$C,A822)</f>
        <v>0</v>
      </c>
      <c r="C822" s="34" t="n">
        <f aca="false">SUMIFS(Report!$U:$U,Report!$T:$T,"MERCADORIAS P/REVENDA",Report!$AA:$AA,"SIM",Report!$C:$C,A822)</f>
        <v>0</v>
      </c>
      <c r="D822" s="35"/>
      <c r="E822" s="35"/>
      <c r="F822" s="34" t="n">
        <f aca="false">B822+C822</f>
        <v>0</v>
      </c>
    </row>
    <row r="823" customFormat="false" ht="12.75" hidden="false" customHeight="true" outlineLevel="0" collapsed="false">
      <c r="A823" s="33" t="n">
        <v>46741</v>
      </c>
      <c r="B823" s="34" t="n">
        <f aca="false">SUMIFS(Report!$U:$U,Report!$T:$T,"&lt;&gt;"&amp;"MERCADORIAS P/REVENDA",Report!$AA:$AA,"SIM",Report!$C:$C,A823)</f>
        <v>0</v>
      </c>
      <c r="C823" s="34" t="n">
        <f aca="false">SUMIFS(Report!$U:$U,Report!$T:$T,"MERCADORIAS P/REVENDA",Report!$AA:$AA,"SIM",Report!$C:$C,A823)</f>
        <v>0</v>
      </c>
      <c r="D823" s="35"/>
      <c r="E823" s="35"/>
      <c r="F823" s="34" t="n">
        <f aca="false">B823+C823</f>
        <v>0</v>
      </c>
    </row>
    <row r="824" customFormat="false" ht="12.75" hidden="false" customHeight="true" outlineLevel="0" collapsed="false">
      <c r="A824" s="36" t="s">
        <v>1434</v>
      </c>
      <c r="B824" s="37" t="n">
        <f aca="false">SUM(B817:B823)</f>
        <v>0</v>
      </c>
      <c r="C824" s="37" t="n">
        <f aca="false">SUM(C817:C823)</f>
        <v>0</v>
      </c>
      <c r="D824" s="38"/>
      <c r="E824" s="38"/>
      <c r="F824" s="37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3" t="n">
        <v>46746</v>
      </c>
      <c r="B829" s="34" t="n">
        <f aca="false">SUMIFS(Report!$U:$U,Report!$T:$T,"&lt;&gt;"&amp;"MERCADORIAS P/REVENDA",Report!$AA:$AA,"SIM",Report!$C:$C,A829)</f>
        <v>0</v>
      </c>
      <c r="C829" s="34" t="n">
        <f aca="false">SUMIFS(Report!$U:$U,Report!$T:$T,"MERCADORIAS P/REVENDA",Report!$AA:$AA,"SIM",Report!$C:$C,A829)</f>
        <v>0</v>
      </c>
      <c r="D829" s="35"/>
      <c r="E829" s="35"/>
      <c r="F829" s="34" t="n">
        <f aca="false">B829+C829</f>
        <v>0</v>
      </c>
    </row>
    <row r="830" customFormat="false" ht="12.75" hidden="false" customHeight="true" outlineLevel="0" collapsed="false">
      <c r="A830" s="33" t="n">
        <v>46747</v>
      </c>
      <c r="B830" s="34" t="n">
        <f aca="false">SUMIFS(Report!$U:$U,Report!$T:$T,"&lt;&gt;"&amp;"MERCADORIAS P/REVENDA",Report!$AA:$AA,"SIM",Report!$C:$C,A830)</f>
        <v>0</v>
      </c>
      <c r="C830" s="34" t="n">
        <f aca="false">SUMIFS(Report!$U:$U,Report!$T:$T,"MERCADORIAS P/REVENDA",Report!$AA:$AA,"SIM",Report!$C:$C,A830)</f>
        <v>0</v>
      </c>
      <c r="D830" s="35"/>
      <c r="E830" s="35"/>
      <c r="F830" s="34" t="n">
        <f aca="false">B830+C830</f>
        <v>0</v>
      </c>
    </row>
    <row r="831" customFormat="false" ht="12.75" hidden="false" customHeight="true" outlineLevel="0" collapsed="false">
      <c r="A831" s="33" t="n">
        <v>46748</v>
      </c>
      <c r="B831" s="34" t="n">
        <f aca="false">SUMIFS(Report!$U:$U,Report!$T:$T,"&lt;&gt;"&amp;"MERCADORIAS P/REVENDA",Report!$AA:$AA,"SIM",Report!$C:$C,A831)</f>
        <v>0</v>
      </c>
      <c r="C831" s="34" t="n">
        <f aca="false">SUMIFS(Report!$U:$U,Report!$T:$T,"MERCADORIAS P/REVENDA",Report!$AA:$AA,"SIM",Report!$C:$C,A831)</f>
        <v>0</v>
      </c>
      <c r="D831" s="35"/>
      <c r="E831" s="35"/>
      <c r="F831" s="34" t="n">
        <f aca="false">B831+C831</f>
        <v>0</v>
      </c>
    </row>
    <row r="832" customFormat="false" ht="12.75" hidden="false" customHeight="true" outlineLevel="0" collapsed="false">
      <c r="A832" s="36" t="s">
        <v>1435</v>
      </c>
      <c r="B832" s="37" t="n">
        <f aca="false">SUM(B825:B831)</f>
        <v>0</v>
      </c>
      <c r="C832" s="37" t="n">
        <f aca="false">SUM(C825:C831)</f>
        <v>0</v>
      </c>
      <c r="D832" s="38"/>
      <c r="E832" s="38"/>
      <c r="F832" s="37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6" t="s">
        <v>1436</v>
      </c>
      <c r="B837" s="37" t="n">
        <f aca="false">SUM(B833:B836)</f>
        <v>0</v>
      </c>
      <c r="C837" s="37" t="n">
        <f aca="false">SUM(C833:C836)</f>
        <v>0</v>
      </c>
      <c r="D837" s="38"/>
      <c r="E837" s="38"/>
      <c r="F837" s="3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9" t="s">
        <v>1437</v>
      </c>
      <c r="B1" s="39"/>
      <c r="C1" s="39"/>
      <c r="D1" s="39"/>
    </row>
    <row r="2" customFormat="false" ht="12.75" hidden="false" customHeight="true" outlineLevel="0" collapsed="false">
      <c r="A2" s="40" t="s">
        <v>1438</v>
      </c>
      <c r="B2" s="40"/>
      <c r="C2" s="40"/>
      <c r="D2" s="40"/>
    </row>
    <row r="4" customFormat="false" ht="24.75" hidden="false" customHeight="true" outlineLevel="0" collapsed="false">
      <c r="A4" s="41" t="s">
        <v>1439</v>
      </c>
      <c r="B4" s="41" t="s">
        <v>1440</v>
      </c>
      <c r="C4" s="41" t="s">
        <v>1441</v>
      </c>
    </row>
    <row r="5" customFormat="false" ht="12.75" hidden="false" customHeight="true" outlineLevel="0" collapsed="false">
      <c r="A5" s="42" t="s">
        <v>1285</v>
      </c>
      <c r="B5" s="42" t="n">
        <v>2026</v>
      </c>
      <c r="C5" s="43" t="n">
        <v>537222.65</v>
      </c>
    </row>
    <row r="6" customFormat="false" ht="12.75" hidden="false" customHeight="true" outlineLevel="0" collapsed="false">
      <c r="A6" s="42" t="s">
        <v>1286</v>
      </c>
      <c r="B6" s="42" t="n">
        <v>2026</v>
      </c>
      <c r="C6" s="43" t="n">
        <v>475241.32</v>
      </c>
    </row>
    <row r="7" customFormat="false" ht="12.75" hidden="false" customHeight="true" outlineLevel="0" collapsed="false">
      <c r="A7" s="42" t="s">
        <v>1287</v>
      </c>
      <c r="B7" s="42" t="n">
        <v>2026</v>
      </c>
      <c r="C7" s="43" t="n">
        <v>548119.47</v>
      </c>
    </row>
    <row r="8" customFormat="false" ht="12.75" hidden="false" customHeight="true" outlineLevel="0" collapsed="false">
      <c r="A8" s="42" t="s">
        <v>1288</v>
      </c>
      <c r="B8" s="42" t="n">
        <v>2026</v>
      </c>
      <c r="C8" s="43" t="n">
        <v>557442.07</v>
      </c>
    </row>
    <row r="9" customFormat="false" ht="12.75" hidden="false" customHeight="true" outlineLevel="0" collapsed="false">
      <c r="A9" s="42" t="s">
        <v>1289</v>
      </c>
      <c r="B9" s="42" t="n">
        <v>2026</v>
      </c>
      <c r="C9" s="43" t="n">
        <v>569583.19</v>
      </c>
    </row>
    <row r="10" customFormat="false" ht="12.75" hidden="false" customHeight="true" outlineLevel="0" collapsed="false">
      <c r="A10" s="42" t="s">
        <v>1290</v>
      </c>
      <c r="B10" s="42" t="n">
        <v>2026</v>
      </c>
      <c r="C10" s="43" t="n">
        <v>573030.89</v>
      </c>
    </row>
    <row r="11" customFormat="false" ht="12.75" hidden="false" customHeight="true" outlineLevel="0" collapsed="false">
      <c r="A11" s="42" t="s">
        <v>1291</v>
      </c>
      <c r="B11" s="42" t="n">
        <v>2026</v>
      </c>
      <c r="C11" s="43" t="n">
        <v>442838.69</v>
      </c>
    </row>
    <row r="12" customFormat="false" ht="13.5" hidden="false" customHeight="true" outlineLevel="0" collapsed="false">
      <c r="A12" s="42" t="s">
        <v>1292</v>
      </c>
      <c r="B12" s="42" t="n">
        <v>2026</v>
      </c>
      <c r="C12" s="44" t="n">
        <v>0</v>
      </c>
    </row>
    <row r="13" customFormat="false" ht="13.5" hidden="false" customHeight="true" outlineLevel="0" collapsed="false">
      <c r="A13" s="42" t="s">
        <v>1293</v>
      </c>
      <c r="B13" s="42" t="n">
        <v>2026</v>
      </c>
      <c r="C13" s="44" t="n">
        <v>0</v>
      </c>
    </row>
    <row r="14" customFormat="false" ht="13.5" hidden="false" customHeight="true" outlineLevel="0" collapsed="false">
      <c r="A14" s="42" t="s">
        <v>1294</v>
      </c>
      <c r="B14" s="42" t="n">
        <v>2026</v>
      </c>
      <c r="C14" s="44" t="n">
        <v>0</v>
      </c>
    </row>
    <row r="15" customFormat="false" ht="13.5" hidden="false" customHeight="true" outlineLevel="0" collapsed="false">
      <c r="A15" s="42" t="s">
        <v>1295</v>
      </c>
      <c r="B15" s="42" t="n">
        <v>2026</v>
      </c>
      <c r="C15" s="44" t="n">
        <v>0</v>
      </c>
    </row>
    <row r="16" customFormat="false" ht="13.5" hidden="false" customHeight="true" outlineLevel="0" collapsed="false">
      <c r="A16" s="42" t="s">
        <v>1296</v>
      </c>
      <c r="B16" s="42" t="n">
        <v>2026</v>
      </c>
      <c r="C16" s="44" t="n">
        <v>0</v>
      </c>
    </row>
    <row r="18" customFormat="false" ht="13.5" hidden="false" customHeight="true" outlineLevel="0" collapsed="false">
      <c r="A18" s="45" t="s">
        <v>1442</v>
      </c>
      <c r="B18" s="45"/>
      <c r="C18" s="46" t="n">
        <v>46230</v>
      </c>
    </row>
    <row r="20" customFormat="false" ht="12.75" hidden="false" customHeight="true" outlineLevel="0" collapsed="false">
      <c r="A20" s="40" t="s">
        <v>1443</v>
      </c>
      <c r="B20" s="40"/>
      <c r="C20" s="40"/>
      <c r="D20" s="40"/>
      <c r="E20" s="40"/>
      <c r="F20" s="40"/>
      <c r="G20" s="40"/>
      <c r="H20" s="40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7" t="s">
        <v>1444</v>
      </c>
    </row>
    <row r="3" customFormat="false" ht="12.75" hidden="false" customHeight="true" outlineLevel="0" collapsed="false">
      <c r="A3" s="28" t="s">
        <v>1445</v>
      </c>
      <c r="E3" s="48" t="n">
        <v>1.0068</v>
      </c>
      <c r="F3" s="1" t="s">
        <v>1446</v>
      </c>
    </row>
    <row r="6" customFormat="false" ht="12.75" hidden="false" customHeight="true" outlineLevel="0" collapsed="false">
      <c r="A6" s="29" t="s">
        <v>1439</v>
      </c>
      <c r="B6" s="26" t="s">
        <v>1447</v>
      </c>
      <c r="C6" s="26" t="s">
        <v>1448</v>
      </c>
      <c r="D6" s="26" t="s">
        <v>1449</v>
      </c>
      <c r="E6" s="26" t="s">
        <v>1450</v>
      </c>
    </row>
    <row r="7" customFormat="false" ht="12.75" hidden="false" customHeight="true" outlineLevel="0" collapsed="false">
      <c r="A7" s="28" t="s">
        <v>1285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8" t="s">
        <v>1286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540875.76402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8" t="s">
        <v>1287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478472.960976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8" t="s">
        <v>1288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551846.682396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8" t="s">
        <v>1289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561232.676076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8" t="s">
        <v>1290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573456.355692</v>
      </c>
      <c r="D12" s="17" t="n">
        <f aca="false">IFERROR(INDEX('Resumo Mensal'!$C$2:$C$25,MATCH($A12,'Resumo Mensal'!$A$2:$A$25,0)),0)</f>
        <v>67379.24</v>
      </c>
      <c r="E12" s="17" t="n">
        <f aca="false">IF(AND(ISNUMBER(C12),D12&gt;0),D12-C12,"")</f>
        <v>-506077.115692</v>
      </c>
    </row>
    <row r="13" customFormat="false" ht="12.75" hidden="false" customHeight="true" outlineLevel="0" collapsed="false">
      <c r="A13" s="28" t="s">
        <v>1291</v>
      </c>
      <c r="B13" s="17" t="n">
        <f aca="false">IFERROR(INDEX('Venda Anual (Base)'!$C$5:$C$16,MATCH($A13,'Venda Anual (Base)'!$A$5:$A$16,0)),"")</f>
        <v>442838.69</v>
      </c>
      <c r="C13" s="17" t="n">
        <f aca="false">(B12*$E$3)</f>
        <v>576927.500052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-127433.180052</v>
      </c>
    </row>
    <row r="14" customFormat="false" ht="12.75" hidden="false" customHeight="true" outlineLevel="0" collapsed="false">
      <c r="A14" s="28" t="s">
        <v>1292</v>
      </c>
      <c r="B14" s="17" t="n">
        <f aca="false">IFERROR(INDEX('Venda Anual (Base)'!$C$5:$C$16,MATCH($A14,'Venda Anual (Base)'!$A$5:$A$16,0)),"")</f>
        <v>0</v>
      </c>
      <c r="C14" s="17" t="n">
        <f aca="false">(B13*$E$3)</f>
        <v>445849.993092</v>
      </c>
      <c r="D14" s="17" t="n">
        <f aca="false">IFERROR(INDEX('Resumo Mensal'!$C$2:$C$25,MATCH($A14,'Resumo Mensal'!$A$2:$A$25,0)),0)</f>
        <v>230514.07</v>
      </c>
      <c r="E14" s="17" t="n">
        <f aca="false">IF(AND(ISNUMBER(C14),D14&gt;0),D14-C14,"")</f>
        <v>-215335.923092</v>
      </c>
    </row>
    <row r="15" customFormat="false" ht="12.75" hidden="false" customHeight="true" outlineLevel="0" collapsed="false">
      <c r="A15" s="28" t="s">
        <v>1293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15736.45</v>
      </c>
      <c r="E15" s="17" t="n">
        <f aca="false">IF(AND(ISNUMBER(C15),D15&gt;0),D15-C15,"")</f>
        <v>15736.45</v>
      </c>
    </row>
    <row r="16" customFormat="false" ht="12.75" hidden="false" customHeight="true" outlineLevel="0" collapsed="false">
      <c r="A16" s="28" t="s">
        <v>1294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4044.85</v>
      </c>
      <c r="E16" s="17" t="n">
        <f aca="false">IF(AND(ISNUMBER(C16),D16&gt;0),D16-C16,"")</f>
        <v>4044.85</v>
      </c>
    </row>
    <row r="17" customFormat="false" ht="12.75" hidden="false" customHeight="true" outlineLevel="0" collapsed="false">
      <c r="A17" s="28" t="s">
        <v>1295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8" t="s">
        <v>1296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9" t="s">
        <v>1309</v>
      </c>
      <c r="B19" s="27" t="n">
        <f aca="false">SUM(B7:B18)</f>
        <v>3703478.28</v>
      </c>
      <c r="C19" s="27" t="n">
        <f aca="false">SUM(C7:C18)</f>
        <v>3728661.932304</v>
      </c>
      <c r="D19" s="27" t="n">
        <f aca="false">SUM(D7:D18)</f>
        <v>767168.93</v>
      </c>
      <c r="E19" s="27" t="n">
        <f aca="false">IF(COUNT(E7:E18)=0,"sem dados comparaveis ainda",SUM(E7:E18))</f>
        <v>-829064.918836</v>
      </c>
    </row>
    <row r="21" customFormat="false" ht="12.75" hidden="false" customHeight="true" outlineLevel="0" collapsed="false">
      <c r="A21" s="28" t="s">
        <v>1451</v>
      </c>
    </row>
    <row r="23" customFormat="false" ht="12.75" hidden="false" customHeight="true" outlineLevel="0" collapsed="false">
      <c r="A23" s="28" t="s">
        <v>1452</v>
      </c>
    </row>
    <row r="25" customFormat="false" ht="12.75" hidden="false" customHeight="true" outlineLevel="0" collapsed="false">
      <c r="A25" s="28" t="s">
        <v>1453</v>
      </c>
      <c r="B25" s="15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8" t="s">
        <v>1454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2026-08-11T17:48:17Z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